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8_{DAFB419E-1EFE-4791-835A-9E24E0723D4C}" xr6:coauthVersionLast="47" xr6:coauthVersionMax="47" xr10:uidLastSave="{00000000-0000-0000-0000-000000000000}"/>
  <bookViews>
    <workbookView xWindow="-120" yWindow="-120" windowWidth="21840" windowHeight="13140" activeTab="1" xr2:uid="{CCE1F6E7-0294-4852-8E68-74598E1BE928}"/>
  </bookViews>
  <sheets>
    <sheet name="leads" sheetId="4" r:id="rId1"/>
    <sheet name="Pivot Table" sheetId="6" r:id="rId2"/>
    <sheet name="deals" sheetId="2" r:id="rId3"/>
    <sheet name="Marketing Summary" sheetId="5" r:id="rId4"/>
  </sheets>
  <definedNames>
    <definedName name="ExternalData_1" localSheetId="2" hidden="1">deals!$A$1:$N$871</definedName>
    <definedName name="ExternalData_2" localSheetId="0" hidden="1">leads!$A$1:$D$8001</definedName>
    <definedName name="Slicer_deal_category">#N/A</definedName>
    <definedName name="Slicer_lead_type">#N/A</definedName>
    <definedName name="Slicer_origin">#N/A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5" l="1"/>
  <c r="G3" i="5"/>
  <c r="G4" i="5"/>
  <c r="G5" i="5"/>
  <c r="G6" i="5"/>
  <c r="G7" i="5"/>
  <c r="G8" i="5"/>
  <c r="F2" i="5"/>
  <c r="F3" i="5"/>
  <c r="F4" i="5"/>
  <c r="F5" i="5"/>
  <c r="F6" i="5"/>
  <c r="F7" i="5"/>
  <c r="F8" i="5"/>
  <c r="D2" i="5"/>
  <c r="D3" i="5"/>
  <c r="D4" i="5"/>
  <c r="D5" i="5"/>
  <c r="D6" i="5"/>
  <c r="D7" i="5"/>
  <c r="D8" i="5"/>
  <c r="C2" i="5"/>
  <c r="C3" i="5"/>
  <c r="C4" i="5"/>
  <c r="C5" i="5"/>
  <c r="C6" i="5"/>
  <c r="C7" i="5"/>
  <c r="C8" i="5"/>
  <c r="B2" i="5"/>
  <c r="B3" i="5"/>
  <c r="B4" i="5"/>
  <c r="B5" i="5"/>
  <c r="B6" i="5"/>
  <c r="B7" i="5"/>
  <c r="B8" i="5"/>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G9" i="5" l="1"/>
  <c r="F9" i="5"/>
  <c r="E2" i="5"/>
  <c r="E5" i="5"/>
  <c r="E6" i="5"/>
  <c r="E3" i="5"/>
  <c r="E4" i="5"/>
  <c r="E7" i="5"/>
  <c r="E8" i="5"/>
  <c r="C9" i="5"/>
  <c r="B9" i="5"/>
  <c r="D9" i="5"/>
  <c r="E9"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CD7F27-63DB-47CC-99B4-C6C96E60EB66}" keepAlive="1" name="Query - olist_closed_deals_dataset" description="Connection to the 'olist_closed_deals_dataset' query in the workbook." type="5" refreshedVersion="8" background="1" saveData="1">
    <dbPr connection="Provider=Microsoft.Mashup.OleDb.1;Data Source=$Workbook$;Location=olist_closed_deals_dataset;Extended Properties=&quot;&quot;" command="SELECT * FROM [olist_closed_deals_dataset]"/>
  </connection>
  <connection id="2" xr16:uid="{7AC002E8-43BB-42F2-ADC5-71871EAE9299}" keepAlive="1" name="Query - olist_marketing_qualified_leads_dataset" description="Connection to the 'olist_marketing_qualified_leads_dataset' query in the workbook." type="5" refreshedVersion="8" background="1" saveData="1">
    <dbPr connection="Provider=Microsoft.Mashup.OleDb.1;Data Source=$Workbook$;Location=olist_marketing_qualified_leads_dataset;Extended Properties=&quot;&quot;" command="SELECT * FROM [olist_marketing_qualified_leads_dataset]"/>
  </connection>
  <connection id="3" xr16:uid="{9B79863A-EA8D-41AD-A7BE-77A2FFD57254}" keepAlive="1" name="Query - olist_marketing_qualified_leads_dataset (2)" description="Connection to the 'olist_marketing_qualified_leads_dataset (2)' query in the workbook." type="5" refreshedVersion="8" background="1" saveData="1">
    <dbPr connection="Provider=Microsoft.Mashup.OleDb.1;Data Source=$Workbook$;Location=&quot;olist_marketing_qualified_leads_dataset (2)&quot;;Extended Properties=&quot;&quot;" command="SELECT * FROM [olist_marketing_qualified_leads_dataset (2)]"/>
  </connection>
</connections>
</file>

<file path=xl/sharedStrings.xml><?xml version="1.0" encoding="utf-8"?>
<sst xmlns="http://schemas.openxmlformats.org/spreadsheetml/2006/main" count="33554" uniqueCount="9477">
  <si>
    <t>mql_id</t>
  </si>
  <si>
    <t>seller_id</t>
  </si>
  <si>
    <t>sdr_id</t>
  </si>
  <si>
    <t>sr_id</t>
  </si>
  <si>
    <t>won_date</t>
  </si>
  <si>
    <t>business_segment</t>
  </si>
  <si>
    <t>lead_type</t>
  </si>
  <si>
    <t>lead_behaviour_profile</t>
  </si>
  <si>
    <t>has_company</t>
  </si>
  <si>
    <t>has_gtin</t>
  </si>
  <si>
    <t>average_stock</t>
  </si>
  <si>
    <t>business_type</t>
  </si>
  <si>
    <t>declared_product_catalog_size</t>
  </si>
  <si>
    <t>declared_monthly_revenue</t>
  </si>
  <si>
    <t>5420aad7fec3549a85876ba1c529bd84</t>
  </si>
  <si>
    <t>2c43fb513632d29b3b58df74816f1b06</t>
  </si>
  <si>
    <t>a8387c01a09e99ce014107505b92388c</t>
  </si>
  <si>
    <t>4ef15afb4b2723d8f3d81e51ec7afefe</t>
  </si>
  <si>
    <t>pet</t>
  </si>
  <si>
    <t>online_medium</t>
  </si>
  <si>
    <t>cat</t>
  </si>
  <si>
    <t>reseller</t>
  </si>
  <si>
    <t>a555fb36b9368110ede0f043dfc3b9a0</t>
  </si>
  <si>
    <t>bbb7d7893a450660432ea6652310ebb7</t>
  </si>
  <si>
    <t>09285259593c61296eef10c734121d5b</t>
  </si>
  <si>
    <t>d3d1e91a157ea7f90548eef82f1955e3</t>
  </si>
  <si>
    <t>car_accessories</t>
  </si>
  <si>
    <t>industry</t>
  </si>
  <si>
    <t>eagle</t>
  </si>
  <si>
    <t>327174d3648a2d047e8940d7d15204ca</t>
  </si>
  <si>
    <t>612170e34b97004b3ba37eae81836b4c</t>
  </si>
  <si>
    <t>b90f87164b5f8c2cfa5c8572834dbe3f</t>
  </si>
  <si>
    <t>6565aa9ce3178a5caf6171827af3a9ba</t>
  </si>
  <si>
    <t>home_appliances</t>
  </si>
  <si>
    <t>online_big</t>
  </si>
  <si>
    <t>f5fee8f7da74f4887f5bcae2bafb6dd6</t>
  </si>
  <si>
    <t>21e1781e36faf92725dde4730a88ca0f</t>
  </si>
  <si>
    <t>56bf83c4bb35763a51c2baab501b4c67</t>
  </si>
  <si>
    <t>food_drink</t>
  </si>
  <si>
    <t>online_small</t>
  </si>
  <si>
    <t>ffe640179b554e295c167a2f6be528e0</t>
  </si>
  <si>
    <t>ed8cb7b190ceb6067227478e48cf8dde</t>
  </si>
  <si>
    <t>4b339f9567d060bcea4f5136b9f5949e</t>
  </si>
  <si>
    <t>wolf</t>
  </si>
  <si>
    <t>manufacturer</t>
  </si>
  <si>
    <t>b94fba7670eeb44dce2a0d8eb790e9f5</t>
  </si>
  <si>
    <t>1c742ac33582852aaf3bcfbf5893abcf</t>
  </si>
  <si>
    <t>fdb16d3cbbeb5798f2f66c4096be026d</t>
  </si>
  <si>
    <t>495d4e95a8cf8bbf8b432b612a2aa328</t>
  </si>
  <si>
    <t>health_beauty</t>
  </si>
  <si>
    <t>c3e30ed7ac989117c7e1e719b4ac128f</t>
  </si>
  <si>
    <t>92d7568ad0c5c76fd7d341b2d46f24d6</t>
  </si>
  <si>
    <t>85fc447d336637ba1df43e793199fbc8</t>
  </si>
  <si>
    <t>computers</t>
  </si>
  <si>
    <t>b02c89251106e1fdd9d92744be9f94f2</t>
  </si>
  <si>
    <t>44ed138eca6214d572ce1d813fb0049b</t>
  </si>
  <si>
    <t>34d40cdaf94010a1d05b0d6212f9e909</t>
  </si>
  <si>
    <t>offline</t>
  </si>
  <si>
    <t>a90a37898cc5f2718385a2fb981caaff</t>
  </si>
  <si>
    <t>0b28859cd04d23edefee9c591fb03cd8</t>
  </si>
  <si>
    <t>f42a2bd194f7802ab052a815c8de65b7</t>
  </si>
  <si>
    <t>household_utilities</t>
  </si>
  <si>
    <t>0173e8d8b1d94a355b440fb67388f532</t>
  </si>
  <si>
    <t>87d73636a3acf123e842bb890a4db036</t>
  </si>
  <si>
    <t>9d12ef1a7eca3ec58c545c678af7869c</t>
  </si>
  <si>
    <t>9e4d1098a3b0f5da39b0bc48f9876645</t>
  </si>
  <si>
    <t>4e4e70d504b4c0006c8287dedc99d0fc</t>
  </si>
  <si>
    <t>f7a0d94e966c5665355a182d5b199fcf</t>
  </si>
  <si>
    <t>construction_tools_house_garden</t>
  </si>
  <si>
    <t>408a9c4a79800232ac656249af3162eb</t>
  </si>
  <si>
    <t>b566ab0ef88016e00422755e305103c6</t>
  </si>
  <si>
    <t>de63de0d10a6012430098db33c679b0b</t>
  </si>
  <si>
    <t>c556184b3fe2087834850b68fa435cee</t>
  </si>
  <si>
    <t>2d2322d842118867781fc737e96d59a1</t>
  </si>
  <si>
    <t>2695de1affa7750089c0455f8ce27021</t>
  </si>
  <si>
    <t>67455a0673f5cf26deae5b270c003e83</t>
  </si>
  <si>
    <t>e7012030d0fdd1d3ca504f6de7909c35</t>
  </si>
  <si>
    <t>9ae085775a198122c5586fa830ff7f2b</t>
  </si>
  <si>
    <t>toys</t>
  </si>
  <si>
    <t>ab11f58a6bf7036a656364b0ba68fb74</t>
  </si>
  <si>
    <t>9e7c5f4d7770eab65738cca38f9efccf</t>
  </si>
  <si>
    <t>068066e24f0c643eb1d089c7dd20cd73</t>
  </si>
  <si>
    <t>sports_leisure</t>
  </si>
  <si>
    <t>bae38661a27f6228ba38c36e766ed769</t>
  </si>
  <si>
    <t>6a6b1614baaaf766293c17d8cb8c5a9d</t>
  </si>
  <si>
    <t>stationery</t>
  </si>
  <si>
    <t>20-50</t>
  </si>
  <si>
    <t>450b97a48568c3118ff397f73abe4e4a</t>
  </si>
  <si>
    <t>df91910b6a03bb2e3358fa6a35e32f6f</t>
  </si>
  <si>
    <t>060c0a26f19f4d66b42e0d8796688490</t>
  </si>
  <si>
    <t>9878253904482726e741460a99adba86</t>
  </si>
  <si>
    <t>92d46311e4fa7583d14c351fdc881af6</t>
  </si>
  <si>
    <t>food_supplement</t>
  </si>
  <si>
    <t>ed3d878bf23177e7075ce07578841047</t>
  </si>
  <si>
    <t>249f0e9905a6e06ad6c6bea7547ab9f6</t>
  </si>
  <si>
    <t>fbf4aef3f6915dc0c3c97d6812522f6a</t>
  </si>
  <si>
    <t>home_decor</t>
  </si>
  <si>
    <t>119ce5d79e3c006a9e46967bff271cb2</t>
  </si>
  <si>
    <t>b494891378bd8f4560abe576c52deacd</t>
  </si>
  <si>
    <t>online_top</t>
  </si>
  <si>
    <t>1f4e960dc47c49ab5c2a495e00055f64</t>
  </si>
  <si>
    <t>8c45b4bc4b5c1e2a4e789b4466a39b77</t>
  </si>
  <si>
    <t>c638112b43f1d1b86dcabb0da720c901</t>
  </si>
  <si>
    <t>bed_bath_table</t>
  </si>
  <si>
    <t>05d287893f5f083739da863da2c4b6f8</t>
  </si>
  <si>
    <t>49f6ca9231352dedda1ad1176ce70531</t>
  </si>
  <si>
    <t>0b97be8b4b408a3a0780a32e0a143a7f</t>
  </si>
  <si>
    <t>7d13fca15225358621be4086e1eb0964</t>
  </si>
  <si>
    <t>watches</t>
  </si>
  <si>
    <t>2552a7b886c1710f36be92ac29b1362d</t>
  </si>
  <si>
    <t>efa89b428cbc422ba9313b4fc6feafc7</t>
  </si>
  <si>
    <t>fashion_accessories</t>
  </si>
  <si>
    <t>online_beginner</t>
  </si>
  <si>
    <t>59c0665c39a2bb9c8776d66f4e8b8f66</t>
  </si>
  <si>
    <t>cb3666965a560e723403683bd378a5f7</t>
  </si>
  <si>
    <t>jewerly</t>
  </si>
  <si>
    <t>4151b0029636a1c55afcce9283ac7902</t>
  </si>
  <si>
    <t>e819bcfade7b5d88a27325eb6cfd62c5</t>
  </si>
  <si>
    <t>fc4166d1b1e192f650ee2d807b54c943</t>
  </si>
  <si>
    <t>70c27847eca8195c983ed7e798c56743</t>
  </si>
  <si>
    <t>85e43237b3fb87d881c757f44f1b0357</t>
  </si>
  <si>
    <t>556a6409838156ea299c9d1f9e2dde43</t>
  </si>
  <si>
    <t>shark</t>
  </si>
  <si>
    <t>9ce2e101957dc53e3e89cc8e1599aa60</t>
  </si>
  <si>
    <t>a4fc6eadaff1576af888509a53420f6a</t>
  </si>
  <si>
    <t>9a6b65aedf8177783035f3a53ca21ed1</t>
  </si>
  <si>
    <t>0975b0dd18febd1008391fa53dff0891</t>
  </si>
  <si>
    <t>370c9f455f93a9a96cbe9bea48e70033</t>
  </si>
  <si>
    <t>party</t>
  </si>
  <si>
    <t>4bb1ec1ff58ad39558e8468054bfc469</t>
  </si>
  <si>
    <t>4fae87d32467e18eb46e4a76a0a0b9ce</t>
  </si>
  <si>
    <t>small_appliances</t>
  </si>
  <si>
    <t>c34eb63cd098bf4be03d53462d7ecba2</t>
  </si>
  <si>
    <t>3525be8392a4fa3274c459bcfee41eef</t>
  </si>
  <si>
    <t>e428d5580f729d23e6070e43c492e424</t>
  </si>
  <si>
    <t>8b181ee5518df84f18f4e1a43fe07923</t>
  </si>
  <si>
    <t>e3c91316d8f28b18d96869aebbb7c3ec</t>
  </si>
  <si>
    <t>d594982fd877af63ace38ea1fca27c76</t>
  </si>
  <si>
    <t>audio_video_electronics</t>
  </si>
  <si>
    <t>72e81de94dfc0373b006ca75e9c851a1</t>
  </si>
  <si>
    <t>2f1e89e231b096f4ff1f55dfe8607a7b</t>
  </si>
  <si>
    <t>e7dff61b78bebffa71678e126ce669ad</t>
  </si>
  <si>
    <t>1-5</t>
  </si>
  <si>
    <t>1cbfa9c878ef8692c1ae21e4cfa11000</t>
  </si>
  <si>
    <t>90269579385b838ce9bd577dcec278a4</t>
  </si>
  <si>
    <t>b055fc7de322786cd9ddc996cb6e72ff</t>
  </si>
  <si>
    <t>398cb257329ef7af7f1943a8974a3cbc</t>
  </si>
  <si>
    <t>a8d2884db49e0769ad4a0b8dce2e143c</t>
  </si>
  <si>
    <t>d65f74c704563bcb8baa915fbf8cfa1e</t>
  </si>
  <si>
    <t>6aa3b86a83d784b05f0e37e26b20860d</t>
  </si>
  <si>
    <t>d955b97b28c2966211c9de2fe22fefbd</t>
  </si>
  <si>
    <t>26e2c91ef821e1ff8985f408788fe35b</t>
  </si>
  <si>
    <t>1d7cc0f1d0b54eac3609c5222246595b</t>
  </si>
  <si>
    <t>dedcab67899479e4ea5dcc4eba47f587</t>
  </si>
  <si>
    <t>78f9eb91b8c7b3b3967fab18283ec614</t>
  </si>
  <si>
    <t>ca4b77513ac2040591b0d8fae6958380</t>
  </si>
  <si>
    <t>20fcec0873b39b4df3df34140d77d6e7</t>
  </si>
  <si>
    <t>cee3c487c56d29554a22d112af618301</t>
  </si>
  <si>
    <t>084b6fbb10729ed4da8c3d3f5a3ae7c9</t>
  </si>
  <si>
    <t>0a0fb2b07d841f84fb6714e35c723075</t>
  </si>
  <si>
    <t>other</t>
  </si>
  <si>
    <t>0a1643cb73c25878cc845d5594059afe</t>
  </si>
  <si>
    <t>ae9d6bb89361dff26edbccc7e1c2911d</t>
  </si>
  <si>
    <t>92c7eacf759c266a7663d63876d84223</t>
  </si>
  <si>
    <t>da3eab58892c04039f4cd5ecb09ae260</t>
  </si>
  <si>
    <t>f72a53e19c3310188cedd074226312c9</t>
  </si>
  <si>
    <t>6e4a902d1054e4e17aa6eab87fac1c75</t>
  </si>
  <si>
    <t>d25814a309be54d1d2279a4ff921ea28</t>
  </si>
  <si>
    <t>2d42ebcda99fd55f6f4bc2f1ca035d50</t>
  </si>
  <si>
    <t>e3ed7cb7b47e4079cb9fef895846b3e2</t>
  </si>
  <si>
    <t>04843805947f0fc584fc1969b6e50fe7</t>
  </si>
  <si>
    <t>413e4eb37de01f40522e28ecdc268639</t>
  </si>
  <si>
    <t>d9d057968270cdb30c14cba606d5dc90</t>
  </si>
  <si>
    <t>c1e598764329cc9c377ef1d029be8ceb</t>
  </si>
  <si>
    <t>d4dcd3a31f5f19aea2f258a568517a4f</t>
  </si>
  <si>
    <t>9cca8d684240e24dd459f2d439fae30c</t>
  </si>
  <si>
    <t>28760737b4b82d4479ddff8db5e9f71f</t>
  </si>
  <si>
    <t>0d99b130d767e50e22b528261ffe5550</t>
  </si>
  <si>
    <t>0dccb6973ef48a00fbcccfe907181ab0</t>
  </si>
  <si>
    <t>7c9ac4388867d4cc3f1cf9c05ad7e944</t>
  </si>
  <si>
    <t>751e274377499a8503fd6243ad9c56f6</t>
  </si>
  <si>
    <t>9749123c950bf8363ace42cb1c2d0815</t>
  </si>
  <si>
    <t>2c5d0b35798bffadf8f67ef0af84d183</t>
  </si>
  <si>
    <t>93a55b2252867fd7df54c78cbd5c6d95</t>
  </si>
  <si>
    <t>e5860ae00103b3869a25d940345bf0fd</t>
  </si>
  <si>
    <t>1185ae3e5ac0463c854dad54fc8fc9e1</t>
  </si>
  <si>
    <t>bags_backpacks</t>
  </si>
  <si>
    <t>014c073ef65e4a7ef73acd61cf606164</t>
  </si>
  <si>
    <t>2646baaf662d4d92ac48f047e35db92d</t>
  </si>
  <si>
    <t>3a91a097116d6c8b32d41e0c81dd1e9c</t>
  </si>
  <si>
    <t>e433f5fd4050e3352b5d83522b7fe24b</t>
  </si>
  <si>
    <t>1030d227d3fe9ed0555666c4ffd14ab1</t>
  </si>
  <si>
    <t>5cc5fe3c6e303fb7656ee7b0ca21ed58</t>
  </si>
  <si>
    <t>1c69de363482d0cbc9b6da97cb49757a</t>
  </si>
  <si>
    <t>dc64d75cc406bb0697be983831430e60</t>
  </si>
  <si>
    <t>415ae4e297c08fd8790a5b1e1ba8482e</t>
  </si>
  <si>
    <t>08d1c9478fb0d7d7fcac9c0da4e82fc7</t>
  </si>
  <si>
    <t>a55b94066766f2d29fc22a3bb52d78f6</t>
  </si>
  <si>
    <t>5181ea7b0d346ed14c5c07f0ff22b2b4</t>
  </si>
  <si>
    <t>5-20</t>
  </si>
  <si>
    <t>f5da97d441cd42b0b26c10145b71a923</t>
  </si>
  <si>
    <t>ee2fbacc2fc3794e656cc4d933d59ce7</t>
  </si>
  <si>
    <t>682e8ae60182137d74d90ada9e0947d8</t>
  </si>
  <si>
    <t>7fc87cc3e89b3d1d5cabdca32f8485aa</t>
  </si>
  <si>
    <t>home_office_furniture</t>
  </si>
  <si>
    <t>77abef21c838da55e14ffc88016ce91f</t>
  </si>
  <si>
    <t>eba08391609dfda5c016fdd264f9383b</t>
  </si>
  <si>
    <t>46d9834fa62209a6504b2aabe46d7bfb</t>
  </si>
  <si>
    <t>8b3317388df29d5fa94360a486ad3356</t>
  </si>
  <si>
    <t>009ff90f082aaa9fcd6e14caf65c7cc6</t>
  </si>
  <si>
    <t>134285d1f41da5c13a756ee8142c8a4e</t>
  </si>
  <si>
    <t>29b97ecc5839e61efb7bdc25e979d8c6</t>
  </si>
  <si>
    <t>e9e446d01bd10a97a8ffcfc4a3a20cb2</t>
  </si>
  <si>
    <t>8d6be534a8bdd08e11efe57c6ce3dd21</t>
  </si>
  <si>
    <t>6061155addc1e54b4cfb51c1c2a32ad8</t>
  </si>
  <si>
    <t>4979feabd6097fb6100fd36c3c32aae0</t>
  </si>
  <si>
    <t>bba8d0c234a52b87b3957037a215d1a4</t>
  </si>
  <si>
    <t>5985e72b3752e4749926885db1b45be4</t>
  </si>
  <si>
    <t>044668ccd5316b12a7cf0d54a156e3e9</t>
  </si>
  <si>
    <t>048bb2f901e2c6f99bc9d26b78b47129</t>
  </si>
  <si>
    <t>fc813dd7e04b8a1c9c10e8e9c10cd5f9</t>
  </si>
  <si>
    <t>music_instruments</t>
  </si>
  <si>
    <t>58caf27a48e7930aefd5437298d64a70</t>
  </si>
  <si>
    <t>922f6795c9e65f2485d4e63af76586ff</t>
  </si>
  <si>
    <t>45749fb708130f78d0db07d8d80f030b</t>
  </si>
  <si>
    <t>cat, wolf</t>
  </si>
  <si>
    <t>2b094148a9d10109b903715267c4dd14</t>
  </si>
  <si>
    <t>224167f6e956da2f71c0e8dbdaa8bbf0</t>
  </si>
  <si>
    <t>e5f15cc640c8a7408103dd190ced966c</t>
  </si>
  <si>
    <t>30a81d8cf85fb2ada1b1b094c9583a95</t>
  </si>
  <si>
    <t>a15880813bd2f137e9f6922cbb7255bf</t>
  </si>
  <si>
    <t>7e417525a6ce49b708fd384e580fe3c4</t>
  </si>
  <si>
    <t>3bcc8997df233ab581f30dd65f14698c</t>
  </si>
  <si>
    <t>b6cac2bb2d83cae903e336e6a993c795</t>
  </si>
  <si>
    <t>afac78e614dac1a1470030ea55c08eef</t>
  </si>
  <si>
    <t>0ddefe3c7a032b91f4e25b9c3a08fca1</t>
  </si>
  <si>
    <t>d0b2ef3bdc9ed0fce3d672ec52dc9c00</t>
  </si>
  <si>
    <t>45dfe11016c782d99a19f93dd34c300d</t>
  </si>
  <si>
    <t>496515dec2a1c280f145f6ccb34851fb</t>
  </si>
  <si>
    <t>6f835fd4be26989b1b064399da346143</t>
  </si>
  <si>
    <t>17c77fd570aa86b74387fae66d9d4edd</t>
  </si>
  <si>
    <t>3e35a8bb43569389d3cebef0ce820f69</t>
  </si>
  <si>
    <t>cc4ec90b270b9f1de8dc2d8864425252</t>
  </si>
  <si>
    <t>a7d0f8dd44f57ef6de7f7f02e3d82630</t>
  </si>
  <si>
    <t>f0b314f185b80cf35d986e298db53fe3</t>
  </si>
  <si>
    <t>a663d9c3797e90eac99ff60939416a56</t>
  </si>
  <si>
    <t>902a621ebb8a96c516d34a58334eb0ee</t>
  </si>
  <si>
    <t>2aef4c8187ab057d6f1b7e0e636aa481</t>
  </si>
  <si>
    <t>a1ad46372861ecf61fdab04c7bf5082e</t>
  </si>
  <si>
    <t>8e3338430e8b66d28aa88fa892a00063</t>
  </si>
  <si>
    <t>7893b5468710641ad87f8b4aa1b8777d</t>
  </si>
  <si>
    <t>3084dcdea01fe4f2d556540e6b2e873d</t>
  </si>
  <si>
    <t>a82596c6fd3ed643b18a2a942eb6ddc9</t>
  </si>
  <si>
    <t>a213f1bd6458f4a158f3746cb2514559</t>
  </si>
  <si>
    <t>36f6d5bde803873f6bffe9949f258935</t>
  </si>
  <si>
    <t>a56e351445e5863fc8960640ba9190c7</t>
  </si>
  <si>
    <t>4ddc45a9de1065695a90e87be37471c0</t>
  </si>
  <si>
    <t>9d590e1df0faffd9ceaa1f0f0ea9af2f</t>
  </si>
  <si>
    <t>d2c1295f655a2d436edda96084211820</t>
  </si>
  <si>
    <t>f49987b20beada69981c57899ffd1095</t>
  </si>
  <si>
    <t>1cfef7cfd8d26b1ecb8b0eccca6366ca</t>
  </si>
  <si>
    <t>5cb4a72356883c59790dc8309cddea2f</t>
  </si>
  <si>
    <t>2708ccf204c47df56b5469327e900581</t>
  </si>
  <si>
    <t>fcdd820084f17e9982427971e4e9d47f</t>
  </si>
  <si>
    <t>44ebc4e28c99d8aeaead73b4b70cc5e9</t>
  </si>
  <si>
    <t>131fcb0a0c9a47bba4474aacff0f14b7</t>
  </si>
  <si>
    <t>62e44187d92348c552952aa4bf152e90</t>
  </si>
  <si>
    <t>3d5d0dc7073a299e31fa718ce1bc00b6</t>
  </si>
  <si>
    <t>5931bbfb35cc483290f5dd6a9fda8ee5</t>
  </si>
  <si>
    <t>0db0dce302e414422ed38aabd133ae04</t>
  </si>
  <si>
    <t>0f2ad81c100f7a6c7475bd26ceb76cbf</t>
  </si>
  <si>
    <t>3492e68f37fd1df87f4f2f2ea247f445</t>
  </si>
  <si>
    <t>cfccca319397a5ea2bb11bd90b0d925d</t>
  </si>
  <si>
    <t>ba143b05f0110f0dc71ad71b4466ce92</t>
  </si>
  <si>
    <t>books</t>
  </si>
  <si>
    <t>7281f75a3496aa1e3643f44cd5773a65</t>
  </si>
  <si>
    <t>309405cfad0d11cd1ec6bb5d02c70c6b</t>
  </si>
  <si>
    <t>1fcceea4a8f4e128f39d1fe92d66a0d9</t>
  </si>
  <si>
    <t>e52d2f15bba4aff8a1e2bd12b40fdfbc</t>
  </si>
  <si>
    <t>1e2a84cd1c6fcd7b7a07f49f1cf7f6cc</t>
  </si>
  <si>
    <t>f4009c6b30765309a251c26bc458e0e5</t>
  </si>
  <si>
    <t>eagle, wolf</t>
  </si>
  <si>
    <t>200+</t>
  </si>
  <si>
    <t>1ab8d42d9e4a6b86010ac0a10c58fa86</t>
  </si>
  <si>
    <t>11fb6f6d341adbe19e81733701704635</t>
  </si>
  <si>
    <t>b5372c821691eff5fb470f33af079a64</t>
  </si>
  <si>
    <t>42fac6337d0f14ecdc18a82bfe6dd076</t>
  </si>
  <si>
    <t>165d6a6256273a3430fa4891413ac2f0</t>
  </si>
  <si>
    <t>e0cfd7ece071eb006b1670ea64d0904e</t>
  </si>
  <si>
    <t>de1dbe3b8d524c96d50c30f2467c4bc6</t>
  </si>
  <si>
    <t>841fba8f46ab4edd1bb086f53735000e</t>
  </si>
  <si>
    <t>4e6e15ac583426150b75fc9b2951c7b1</t>
  </si>
  <si>
    <t>a333655afd62d4ef51f55ac7c58abb34</t>
  </si>
  <si>
    <t>080261e4427a081fc6e637b654f590ee</t>
  </si>
  <si>
    <t>ade45994b717ccee333492330fbf037b</t>
  </si>
  <si>
    <t>f9c43d70a22ac65ce5fa816a4c34f8f0</t>
  </si>
  <si>
    <t>784fca1939f4ad6c73be249a80b17d18</t>
  </si>
  <si>
    <t>baby</t>
  </si>
  <si>
    <t>42e452a93e736373dd9281c113eff2b7</t>
  </si>
  <si>
    <t>da6a60cc8cc724fe51be021ff8be779c</t>
  </si>
  <si>
    <t>67c34b9630469b3c13b7982316ffe7a1</t>
  </si>
  <si>
    <t>6e985a12b7b98f0a15b7bf90cc882f61</t>
  </si>
  <si>
    <t>bde34e7721e5a33091503ba45b3f8ea5</t>
  </si>
  <si>
    <t>a69aa24cec11168e7e39a3fbc727e925</t>
  </si>
  <si>
    <t>1124225a47b3f07185073f3df3b449bf</t>
  </si>
  <si>
    <t>faf3ee2764599d114d7e8f25d4c19845</t>
  </si>
  <si>
    <t>ac68bc93ecc07d7daec8ce924ca09b0c</t>
  </si>
  <si>
    <t>6025c79c035c3d772133b8b8238463b2</t>
  </si>
  <si>
    <t>cd46a0224c83d17b825ebc226df3479c</t>
  </si>
  <si>
    <t>e1643dff33666ca629e3644c02738179</t>
  </si>
  <si>
    <t>3cc3bc10218cf509ba24613cda41d940</t>
  </si>
  <si>
    <t>cc63f0dd2acba93ffed4fe9f8e0321fa</t>
  </si>
  <si>
    <t>b223756da60ed5012d1d302bc9f50f6e</t>
  </si>
  <si>
    <t>bb2afe2061d53c6968aa0cffa233a8ec</t>
  </si>
  <si>
    <t>4144092976e61a9c32e1c7b205d85452</t>
  </si>
  <si>
    <t>ba56ae8ab7eb61b0c3f064f9661eb15c</t>
  </si>
  <si>
    <t>b30be338efa14f74a40949dbafd02b57</t>
  </si>
  <si>
    <t>c8cc60ffd415254af5d9b9f34f32c369</t>
  </si>
  <si>
    <t>7c68935a1dfb1fc8fb714797e7cbf805</t>
  </si>
  <si>
    <t>6267923376872bb45a1c804aed0f1e73</t>
  </si>
  <si>
    <t>8551ef0d517bfc756cb31e0477ac4adc</t>
  </si>
  <si>
    <t>c1849d4d32d7a6cecd5aa471809d3135</t>
  </si>
  <si>
    <t>fc0a87e43ede1f423412583293815598</t>
  </si>
  <si>
    <t>90c523952c5622d268addb6d93a7212f</t>
  </si>
  <si>
    <t>57648ec099f2451be828fb2e27d8f46a</t>
  </si>
  <si>
    <t>0ab97fdbae52ec0e877efdf9b310528e</t>
  </si>
  <si>
    <t>d768d7e09a6f9ff4146a1659635cf304</t>
  </si>
  <si>
    <t>f233b575e585413f12fe2f847d922447</t>
  </si>
  <si>
    <t>282f16e20d50cb18d05182e80f6b9dd6</t>
  </si>
  <si>
    <t>cdb36ea731ecf2d69881eaff7220b10e</t>
  </si>
  <si>
    <t>7d2af2d0dc5a86742cda2e5da38c1ac7</t>
  </si>
  <si>
    <t>06bc22c1b089be523e97524b67084ca0</t>
  </si>
  <si>
    <t>71729348559edea55a3e7a2bc2a2986d</t>
  </si>
  <si>
    <t>d6e0ddfc5b05597877a7d5036789a3a1</t>
  </si>
  <si>
    <t>4125d9385a25e82d2f72d3a0fd55bc3f</t>
  </si>
  <si>
    <t>66744053f818d4032f5ba881340db020</t>
  </si>
  <si>
    <t>5f5a58930c3c35f3b5af264f34fb8c85</t>
  </si>
  <si>
    <t>air_conditioning</t>
  </si>
  <si>
    <t>6dcca2f79e4a4672f7c91f58385b4582</t>
  </si>
  <si>
    <t>94eead2f1cdacbf7ba5c5a0bdbe4cf1f</t>
  </si>
  <si>
    <t>e73083572cc595460842f5090da94662</t>
  </si>
  <si>
    <t>facd538cb53fa082bffaeee65521020a</t>
  </si>
  <si>
    <t>6fba9ab96aa12c4c9d01e74b66a74485</t>
  </si>
  <si>
    <t>09c34a8e333be37851747c27525a4e53</t>
  </si>
  <si>
    <t>fa027edbceb48e6657770c2985172201</t>
  </si>
  <si>
    <t>8fbd63429be6d3e5e6d1a709b6464802</t>
  </si>
  <si>
    <t>83d5aac46c097426773520489cda201c</t>
  </si>
  <si>
    <t>a28120fc27b206d3bc355b57040baf7a</t>
  </si>
  <si>
    <t>a562fd35af2738ce6d88f785ef4eb134</t>
  </si>
  <si>
    <t>b16d3dadc47d4eb18be3d88bad0775ce</t>
  </si>
  <si>
    <t>288ba9abad93ef50e6a76089ae84aab3</t>
  </si>
  <si>
    <t>a8fee0ab6206634206f782c32e41a2a4</t>
  </si>
  <si>
    <t>50-200</t>
  </si>
  <si>
    <t>ab1417ecaf41d8fb741fade9be0b8ab1</t>
  </si>
  <si>
    <t>dd5450b022b2d00a2145a66331e1aef6</t>
  </si>
  <si>
    <t>d6137197f40a5b7916e5e9cbbbab739e</t>
  </si>
  <si>
    <t>f887581ec486ee8eec9ed933310848e0</t>
  </si>
  <si>
    <t>bd0027406f48f714d12dc1de747133cf</t>
  </si>
  <si>
    <t>f89e46b812b06f22508f89873565ce6c</t>
  </si>
  <si>
    <t>9b6edcffd428da99ae60cc01049a8403</t>
  </si>
  <si>
    <t>845e8036c3f7bf62099352f5ed910240</t>
  </si>
  <si>
    <t>d6140c51d9f0507b9a747e63e335be7d</t>
  </si>
  <si>
    <t>ce9d7ae0d0fe0a747bc46cf3f089cfaa</t>
  </si>
  <si>
    <t>7f12bc8cffb170e083ea5c5296272b97</t>
  </si>
  <si>
    <t>f049a72cf58fd31b11f8919cade515e7</t>
  </si>
  <si>
    <t>d9734d3817f40bb704b7cc4984ec39b0</t>
  </si>
  <si>
    <t>117cfc326c6d50da67ca858ff5c0c852</t>
  </si>
  <si>
    <t>8f24f9bb371471be344cdb6fbcd99688</t>
  </si>
  <si>
    <t>c6d5704d1ed91beed0114bcd9d3367bb</t>
  </si>
  <si>
    <t>1bd7d4eac464cde6f86349cbe0d61385</t>
  </si>
  <si>
    <t>049197f741ca0cde891420fc72fba3e5</t>
  </si>
  <si>
    <t>a85d745228d0257adc11fd790a31cee5</t>
  </si>
  <si>
    <t>116e5ef667d05e59c8b95acd02670ff3</t>
  </si>
  <si>
    <t>bc18cd01dacdd62719e6b4d59248c5e1</t>
  </si>
  <si>
    <t>f1fdf2d13186575751aa25876536d85c</t>
  </si>
  <si>
    <t>d1d35acfd20d413bbda1eae8e208f0b5</t>
  </si>
  <si>
    <t>b64d51f0435e884e8de603b1655155ae</t>
  </si>
  <si>
    <t>48a8b46e7ea342b913b50c7087f78162</t>
  </si>
  <si>
    <t>56e361f411e38dcef17cdc2a3d99628b</t>
  </si>
  <si>
    <t>30c5ba4650eee4a5550cdfa16fb4f195</t>
  </si>
  <si>
    <t>cac876b37d3abcd6bd76caca30277996</t>
  </si>
  <si>
    <t>60a7799873854c9ccd549ec39c8efddf</t>
  </si>
  <si>
    <t>a414555ce331b8c8aea4a9cb8395194d</t>
  </si>
  <si>
    <t>428a96d781ccb96d757bbf82f8242d95</t>
  </si>
  <si>
    <t>c54679b132454625907c773d273d4126</t>
  </si>
  <si>
    <t>21c55cb2ff8f7ce34b89f7cc8cf71d9f</t>
  </si>
  <si>
    <t>4a82168aaef173cbb6e46ae88728f919</t>
  </si>
  <si>
    <t>4952d2ac78b534c78d7a21c60a236e4c</t>
  </si>
  <si>
    <t>41b9c7bfadf5f42b93b7bfbae1b84494</t>
  </si>
  <si>
    <t>d90b1c32b55f731e8a2072bfad782fdd</t>
  </si>
  <si>
    <t>d8d9567d0bfb0bc7eb845a205ba42657</t>
  </si>
  <si>
    <t>6dfdc6a7e91f5d20a16c956c33974ca5</t>
  </si>
  <si>
    <t>3ab971ce71839580d2ae5b4e40fe8044</t>
  </si>
  <si>
    <t>ffdd99e05df27c02a2fb1669d49e0c76</t>
  </si>
  <si>
    <t>02f623a8eb246f3c5f7c2f96462654e6</t>
  </si>
  <si>
    <t>e73b38ff519142fdc3723ddf4a3a5825</t>
  </si>
  <si>
    <t>11a559e252a8d167a8ccea7abcf357f3</t>
  </si>
  <si>
    <t>eea8870139b7780b13870d4299006da2</t>
  </si>
  <si>
    <t>cec13d4723ba59aae2a6663b99129a49</t>
  </si>
  <si>
    <t>271a299f0893b2173e77162c5c768b89</t>
  </si>
  <si>
    <t>0ca9bd8db4679bc89692acdfcd96b6c4</t>
  </si>
  <si>
    <t>1b061b1cec6b5898e5326992d9461610</t>
  </si>
  <si>
    <t>351cc0833086e30c04f3b0a15dbc3e93</t>
  </si>
  <si>
    <t>c028b7dd285d13e19ff7a4cabf8bf700</t>
  </si>
  <si>
    <t>6aa3928696eab49a19a466e665a649fd</t>
  </si>
  <si>
    <t>90513943523077ad07582e989457ccec</t>
  </si>
  <si>
    <t>539ed9e19811677513447759be5eccfc</t>
  </si>
  <si>
    <t>080cc5a4ec71a747e260e274bdb13b64</t>
  </si>
  <si>
    <t>d7827b2af99326a03b0ed9c7a24db0d3</t>
  </si>
  <si>
    <t>3f2a136272ab1bc4ee09e0695becffd1</t>
  </si>
  <si>
    <t>6c6d00f0561125a66cffac53cfe3f913</t>
  </si>
  <si>
    <t>a4fa73f413400524fef474c93faa5e02</t>
  </si>
  <si>
    <t>bd4431c1a8dfa744b59e1e2a8bc99b9e</t>
  </si>
  <si>
    <t>bd503b6e91ef50d1c4c169476158e8eb</t>
  </si>
  <si>
    <t>4a1917ef994878940e1fb03eeb787ad7</t>
  </si>
  <si>
    <t>phone_mobile</t>
  </si>
  <si>
    <t>f6127362ba4727c54d742b7ab1ae7c1c</t>
  </si>
  <si>
    <t>c0aff2da32c17759d30b22fb0af6649d</t>
  </si>
  <si>
    <t>2448225d3dfa0dc52632c746aa76b66e</t>
  </si>
  <si>
    <t>cb6c9f5888a7a090c75beaf615925792</t>
  </si>
  <si>
    <t>f49a02e0f135ae9f2bcf60f55bcd0174</t>
  </si>
  <si>
    <t>f212a20c700f5a7c3d4de5ef38e02c42</t>
  </si>
  <si>
    <t>c36d210f50e7ef3103da68ab61efd093</t>
  </si>
  <si>
    <t>59cea8e446d3834393058e7e0666b6fb</t>
  </si>
  <si>
    <t>384b5bdbe32117213b87f8f5e0604be4</t>
  </si>
  <si>
    <t>2cb98e27ce1c18abdb42209b34c382a7</t>
  </si>
  <si>
    <t>6c465ed53d17739467c95fe414d8e056</t>
  </si>
  <si>
    <t>3289d8c3eef4873f91ce0b1343c0dd58</t>
  </si>
  <si>
    <t>f74b25a7dc1504cf5a3b964a990266ff</t>
  </si>
  <si>
    <t>55c26bcb609f480eb7868594245febb5</t>
  </si>
  <si>
    <t>57e65b6fc1f2e47c402deeee25bba1aa</t>
  </si>
  <si>
    <t>5c3460cd3e8a984382ae254e7dd20d9f</t>
  </si>
  <si>
    <t>f6c6ab65a1c732f154b371401448be6d</t>
  </si>
  <si>
    <t>107fce5988735e531cae0da812db9a62</t>
  </si>
  <si>
    <t>e979bb42fb660609fe056a6bea03761f</t>
  </si>
  <si>
    <t>e903c166f2335f821f495e4419b4821b</t>
  </si>
  <si>
    <t>bcafb8538edd43b166274b25c60b7458</t>
  </si>
  <si>
    <t>e430deb739cc669ad740c421931bc8f8</t>
  </si>
  <si>
    <t>0e72c1a751b496722a6cb1f10653b62a</t>
  </si>
  <si>
    <t>2b736f73615495dbfc8c911ef6378747</t>
  </si>
  <si>
    <t>abcb0f101902cd0ca5bfddc35ddab560</t>
  </si>
  <si>
    <t>cd9e8a4a222eb86428130d42fc684ca5</t>
  </si>
  <si>
    <t>ae7ab174effdead6c241e547e4ca13f0</t>
  </si>
  <si>
    <t>d8de81eff6dfe582a05bc6981879f01a</t>
  </si>
  <si>
    <t>f85612e1b253b37d88329fdc16e8f32f</t>
  </si>
  <si>
    <t>aadd608980d2f5f7ee3942cc912eef00</t>
  </si>
  <si>
    <t>1d953075c2f0dd990bacf27b83b330f1</t>
  </si>
  <si>
    <t>d88a45e680327e0b22a34020d8f78252</t>
  </si>
  <si>
    <t>9261d76c62caaf0b24677c2ceb7f8f20</t>
  </si>
  <si>
    <t>a552e1db6a1c7dbac243c72a8d3140bb</t>
  </si>
  <si>
    <t>def312fb44a52de894acf688498ce1fc</t>
  </si>
  <si>
    <t>e2e57ded5b59a2058dd5855564c6b5ea</t>
  </si>
  <si>
    <t>160851d3ece7aa1a510f8d1a4bb8a8af</t>
  </si>
  <si>
    <t>098d6dd896e6740f88282b48495d47ef</t>
  </si>
  <si>
    <t>c004e5ea15737026cecaee0447e00b75</t>
  </si>
  <si>
    <t>d0b16c2b9e945575082a7e81f6f933b0</t>
  </si>
  <si>
    <t>7ff588a03c2aeae4fbd23f9ae64b760d</t>
  </si>
  <si>
    <t>512182619d12ae0863827b7e5ab97f19</t>
  </si>
  <si>
    <t>880ce4951cf857ab1d9e0b75c1d856f4</t>
  </si>
  <si>
    <t>0951c34dc17cf35be31bb59fa96435df</t>
  </si>
  <si>
    <t>9e6967d3cf386d284251784b18ccb485</t>
  </si>
  <si>
    <t>8292c2c5afbab7549123a2640e22044a</t>
  </si>
  <si>
    <t>e9c2dc0dd4ac38448289be644ac94f42</t>
  </si>
  <si>
    <t>7270ec1d67725ee992193adf9e9f2637</t>
  </si>
  <si>
    <t>964ff64dc05b13811c6d0f41e0aa5f6b</t>
  </si>
  <si>
    <t>a93dc621a446eb77129989e557dd50d0</t>
  </si>
  <si>
    <t>ec5b3cd9d6bf0a880edfda73562a7cea</t>
  </si>
  <si>
    <t>e911087c91c63c9d3e7ee83e372d10f7</t>
  </si>
  <si>
    <t>1997c740529040d6a2244d2e818acb50</t>
  </si>
  <si>
    <t>6a10f542e6f79265c34a405dbc928e37</t>
  </si>
  <si>
    <t>6fcc97197c64771f3c18aea3aa9d3913</t>
  </si>
  <si>
    <t>2b63542749aa9caf15f21816da1db341</t>
  </si>
  <si>
    <t>4de20dd98d2ca78fd643bdc4f0a6359b</t>
  </si>
  <si>
    <t>1cbdc7cf130a41fd13a3c2a7d2fcfda7</t>
  </si>
  <si>
    <t>4a907eba6a8d0223e39ee7d45672e26b</t>
  </si>
  <si>
    <t>75fe775fe1a7ad296e77ea7e66b35ac3</t>
  </si>
  <si>
    <t>1e8e96e5a2857a7645534e99f20928b7</t>
  </si>
  <si>
    <t>9e545d0501bd685bba148d9f631093f1</t>
  </si>
  <si>
    <t>8cfebc3e119ed2fe0dd172eb59b0a595</t>
  </si>
  <si>
    <t>40105cb0aec41563d24ccc7b90ae7083</t>
  </si>
  <si>
    <t>bf3e0df27b04abb4c107ab4df9955b29</t>
  </si>
  <si>
    <t>b1116e9a35b2fa91eb4a0af8e73cdc3a</t>
  </si>
  <si>
    <t>853beae72ddb4f7a9b8c7c50dc0127e2</t>
  </si>
  <si>
    <t>17595577347283c0140226df762e2e6b</t>
  </si>
  <si>
    <t>3c803c1d8fef5385ca87aa1f8952338e</t>
  </si>
  <si>
    <t>271b8923c6a549e02d3c9fd1f8c0422b</t>
  </si>
  <si>
    <t>3b9c2023b5da0ffe9aa0a39285c836c6</t>
  </si>
  <si>
    <t>d7cb3f744255259a4ded02cb354f5bcf</t>
  </si>
  <si>
    <t>fe1fa775d818957a76304c35e1939355</t>
  </si>
  <si>
    <t>618b0524377e106190c0c91cacdb4b78</t>
  </si>
  <si>
    <t>5641240ccf2611004c76234f4afb8f90</t>
  </si>
  <si>
    <t>231e2c768bf979ec59ff743f16a442ce</t>
  </si>
  <si>
    <t>3cab34e6c6a51d1f2ca8e76908c62368</t>
  </si>
  <si>
    <t>44717f64ec2a457979cf83c429077666</t>
  </si>
  <si>
    <t>handcrafted</t>
  </si>
  <si>
    <t>bfaf03e3d41e25b94457fadfbc4521eb</t>
  </si>
  <si>
    <t>b0289c0c1f9f84008e7b4dbf795c4676</t>
  </si>
  <si>
    <t>e2e3fb19cb1f4edf8c601bab9adbad86</t>
  </si>
  <si>
    <t>31be790e64fc99f8ff48ec2bd18a3104</t>
  </si>
  <si>
    <t>9675f0018d103531e073a3da2945df41</t>
  </si>
  <si>
    <t>b0ec35adb04cfa85d3e0ff3f79c186a3</t>
  </si>
  <si>
    <t>3172362312fcf09d96f02125f66b74f5</t>
  </si>
  <si>
    <t>fa7cc273072520346449b9e89329768a</t>
  </si>
  <si>
    <t>0de705dc7d8026cc9b2128b775e4c35e</t>
  </si>
  <si>
    <t>120476eb7a04c149d14772edaf5d9bf2</t>
  </si>
  <si>
    <t>1accc1c92278a9bc2bbc6a8002026b25</t>
  </si>
  <si>
    <t>7df961ce758538004de6db0f5b9d7b6f</t>
  </si>
  <si>
    <t>0e327f32dbb22d433600688b7e9af0db</t>
  </si>
  <si>
    <t>cee4320453079d554562dee0753d7d43</t>
  </si>
  <si>
    <t>b34f6eba10f46bf9a657a01c108a8284</t>
  </si>
  <si>
    <t>3db893ff5d6c0e9dccfed451a741853f</t>
  </si>
  <si>
    <t>21f3118106d69d16dfe7d5aaf37cb242</t>
  </si>
  <si>
    <t>8f118ab2a5c0d99362fb67e29856acab</t>
  </si>
  <si>
    <t>94d76e96eedd976258cd3278ce56d5f2</t>
  </si>
  <si>
    <t>626dc1c3716c817b064632fded168e35</t>
  </si>
  <si>
    <t>b5e7d871b063f34de611e8b448e63f2e</t>
  </si>
  <si>
    <t>4433c8475916d6e6ebb8cf4994d2f1d1</t>
  </si>
  <si>
    <t>04ed0495537199603d4930fc5c0dd026</t>
  </si>
  <si>
    <t>667f061b738858573caad66f5cc56b32</t>
  </si>
  <si>
    <t>96c1c7f1f24470915da80563cd1202ea</t>
  </si>
  <si>
    <t>843966e79e757cf797b7dfe514e30af1</t>
  </si>
  <si>
    <t>1f74801bb8b05750ce5e7597b685bd13</t>
  </si>
  <si>
    <t>cf8f0678e67cb002c2b68f9f68629885</t>
  </si>
  <si>
    <t>bed6d1f6c4664ab8cf3abf3821727756</t>
  </si>
  <si>
    <t>299d8968ef74c5086cb3ee21f13ed27a</t>
  </si>
  <si>
    <t>377bc18334c78dd2f1535ef22a3ad225</t>
  </si>
  <si>
    <t>e9dcae4d924ac8fff2334db6e5b99482</t>
  </si>
  <si>
    <t>51fdd5d43db628fada4588f89aba3e8e</t>
  </si>
  <si>
    <t>081c243a74472af67b65145cff5221c7</t>
  </si>
  <si>
    <t>58f1a6197ed863543e0136bdedb3fce2</t>
  </si>
  <si>
    <t>39ecc5282d4511dca4c757113e1312d1</t>
  </si>
  <si>
    <t>65febd49fd28ec955651299159b1f527</t>
  </si>
  <si>
    <t>02c1f06978b821b2996ec257932f2947</t>
  </si>
  <si>
    <t>9b1585752613ec342d03bbab9997ec48</t>
  </si>
  <si>
    <t>072446c6aa02c85a9a91d6a75116def5</t>
  </si>
  <si>
    <t>cbf09e831b0c11f6f23ffb51004db972</t>
  </si>
  <si>
    <t>0d8b45d95dc4bd9712dc67f87db79a8e</t>
  </si>
  <si>
    <t>4f0d637c1197fd65405ebd755ac9f86b</t>
  </si>
  <si>
    <t>f88920d4589dae7abec2eb05fca153e3</t>
  </si>
  <si>
    <t>026c6180cd86d6069dad573ce69b465e</t>
  </si>
  <si>
    <t>10b83e434ddcd9c79ad2b9be2fd0aa84</t>
  </si>
  <si>
    <t>0691fc6052b1918d775ac6ff8275eb01</t>
  </si>
  <si>
    <t>dcebacc996ed40656c7097704c600386</t>
  </si>
  <si>
    <t>d50f6d198921d51b24544738b29d2b0e</t>
  </si>
  <si>
    <t>e4dcab5f7c33b62eb67f0a87c1b7f162</t>
  </si>
  <si>
    <t>9485222b0bad29d3b0e860fa5ec1fdd4</t>
  </si>
  <si>
    <t>9f73f765160d33280216b73b6378c068</t>
  </si>
  <si>
    <t>28fadc495e06e64b5d15d54959f2cee1</t>
  </si>
  <si>
    <t>fe75268bb28b40ef89979d0ec2c54497</t>
  </si>
  <si>
    <t>dbdd0ec73a4817971d962698f2fea022</t>
  </si>
  <si>
    <t>bd0c413c4350a9a29fb9bec5de64e2a6</t>
  </si>
  <si>
    <t>2aeedd049dc20e7171f43110fd0d6821</t>
  </si>
  <si>
    <t>409b474080e928bbb5664659407b5947</t>
  </si>
  <si>
    <t>6a60bd6a4afd5fc86b75b47ec502df7b</t>
  </si>
  <si>
    <t>2b73fd917ee9cc38ec528df06d5b8561</t>
  </si>
  <si>
    <t>46bec94e1e0fc413b6adb1d1bd175477</t>
  </si>
  <si>
    <t>06f38e7909709a72b521a4a9d1c05841</t>
  </si>
  <si>
    <t>73df8d9e8f8c54d0d42feb9bf58c718c</t>
  </si>
  <si>
    <t>8928ccba6d94d5f1481c1065330c6066</t>
  </si>
  <si>
    <t>dd22fbe4df5d84be25176054640b696d</t>
  </si>
  <si>
    <t>58b26e6eaeb6ed078b51e6cde7925d71</t>
  </si>
  <si>
    <t>2aa8585964d74f71e334a6c3de2ddc27</t>
  </si>
  <si>
    <t>15992174039ff729f588d6c82cf022c1</t>
  </si>
  <si>
    <t>6cd5309bfee39493f71de0350e837b3d</t>
  </si>
  <si>
    <t>239ce949b3bcb25a0c47779fe37c80e0</t>
  </si>
  <si>
    <t>caa9bc43a9fe8cf9c564ddd8a03cc4a6</t>
  </si>
  <si>
    <t>b8bb2a1d59f4ecae0646fc039b75391e</t>
  </si>
  <si>
    <t>fe87f472055fbcf1d7e691c00b1560dc</t>
  </si>
  <si>
    <t>6d78dcbeb39103c047f486abd2519ee4</t>
  </si>
  <si>
    <t>366b6b05f39997f102dc5179de14d43c</t>
  </si>
  <si>
    <t>4fbe9e8a0ace3a44f0a9e1d7fe41da02</t>
  </si>
  <si>
    <t>9169e322ad3419286d1e5ee8f1c3b3f0</t>
  </si>
  <si>
    <t>perfume</t>
  </si>
  <si>
    <t>6c6094f256f51e83fe02bce6091163e7</t>
  </si>
  <si>
    <t>da4d149c0ddbac90557103ac0a0ec356</t>
  </si>
  <si>
    <t>0b32d6a87c09c32b3cd90dfd5ef5699f</t>
  </si>
  <si>
    <t>4dd7866cf496e0c2fcfc93a4589dc1be</t>
  </si>
  <si>
    <t>f63f7107398c54c17b5d14eadfa76842</t>
  </si>
  <si>
    <t>bc2579cde838eb0fa8477f7efb1298d1</t>
  </si>
  <si>
    <t>10fa97233fb64af4b6ce8316d0bc2eca</t>
  </si>
  <si>
    <t>693660429f9dc4ff704eb3d88dad54d7</t>
  </si>
  <si>
    <t>cdd41e8e7e609526df11a959b953cc0d</t>
  </si>
  <si>
    <t>7d7866a99a8656a42c7ff6352a433410</t>
  </si>
  <si>
    <t>3c13b54db21952663b5775d142be0ed2</t>
  </si>
  <si>
    <t>657969cca82e884d272385ec0ef06edd</t>
  </si>
  <si>
    <t>a0604c9d9ef23fbf7cb7be5091201041</t>
  </si>
  <si>
    <t>b7140ce94c4514bf136a2c3f98e0476c</t>
  </si>
  <si>
    <t>88e3fa7a7462c4ce017655ee2ea2ad46</t>
  </si>
  <si>
    <t>a50397ac35dc51ce40c4c3117828e4ec</t>
  </si>
  <si>
    <t>867b587b7c0da5f1af73b47803e60859</t>
  </si>
  <si>
    <t>d65d93b215feab3f997441e1e0a98ca5</t>
  </si>
  <si>
    <t>5bee2861956d76fe35e91c33bc4a81b3</t>
  </si>
  <si>
    <t>dda37071807e404c5bb2a1590c66326f</t>
  </si>
  <si>
    <t>1e2001dab6238763e58c775cba225a16</t>
  </si>
  <si>
    <t>85be0b7181c48c393007b0002fdec79c</t>
  </si>
  <si>
    <t>0cdad77786224a7cefea567b8c75c3c1</t>
  </si>
  <si>
    <t>37d92d59a2b02e0256aa1d2bddcfa50d</t>
  </si>
  <si>
    <t>671585f5a2af58b6e276bc01003c0d2b</t>
  </si>
  <si>
    <t>503831c6265361a08aa4113b4d867178</t>
  </si>
  <si>
    <t>4a1f694197d05fe70026b016a7316b41</t>
  </si>
  <si>
    <t>bc55d3363ee659d6ab6c908b932c7705</t>
  </si>
  <si>
    <t>3d3ccf2b2f8134b10dce9dd446f0e075</t>
  </si>
  <si>
    <t>1b34d47c57a081fbfeec93a1065e69bd</t>
  </si>
  <si>
    <t>2cb6eb1b7185064167657fa09f541105</t>
  </si>
  <si>
    <t>fef0383cea937628ff95eb48ba1ffd17</t>
  </si>
  <si>
    <t>0fe3372ef9bebf177e6cb95fa0340fb6</t>
  </si>
  <si>
    <t>f89b10e626692ac7a87c19d69f261db2</t>
  </si>
  <si>
    <t>964cb238d75d1e6c6e1f88adcdf14f42</t>
  </si>
  <si>
    <t>1d0949fd6674f963b44662838ef3ae09</t>
  </si>
  <si>
    <t>167bde8a09cb3196874f3f7e2753a98d</t>
  </si>
  <si>
    <t>a463cac2327534f6f02563ffbdf92918</t>
  </si>
  <si>
    <t>c84592044b180dec206770c38603814b</t>
  </si>
  <si>
    <t>4b4234f02431d2179f5d18fd1db0ef8e</t>
  </si>
  <si>
    <t>c3e1abd72a42fe690fcd89cf5720fe29</t>
  </si>
  <si>
    <t>05ede5cedad6c61ef99376296b0699ef</t>
  </si>
  <si>
    <t>4d0041cdbe51b4617d95c70b19decc74</t>
  </si>
  <si>
    <t>8aa7c17161d6a6270218e8a7b0806263</t>
  </si>
  <si>
    <t>4e0bb097aa0fb4e2f9a146b77698427a</t>
  </si>
  <si>
    <t>90d2301e323b1809708324229782def2</t>
  </si>
  <si>
    <t>77e81c45f03c23a7b43dbb0bdd905dff</t>
  </si>
  <si>
    <t>e5d0a99e3684733914f594116839e0c2</t>
  </si>
  <si>
    <t>2fa13c8bd5705d279f7ed5cc9ec61c68</t>
  </si>
  <si>
    <t>790d8fa56e05ff05080e6e66fae0272a</t>
  </si>
  <si>
    <t>9e54d45e5f30ed4f296bd25d4edada20</t>
  </si>
  <si>
    <t>0c117e6a0b3f700bd997a11500a5c2e2</t>
  </si>
  <si>
    <t>596d3b6f78d5a703bfce24b801d2fbdb</t>
  </si>
  <si>
    <t>3461d99a30c72933c66cac4f1c02bd14</t>
  </si>
  <si>
    <t>18e694e0e48ed6f7aa3f24aade5fd697</t>
  </si>
  <si>
    <t>0338bf13624f52beaca91ec4a23c860c</t>
  </si>
  <si>
    <t>667ee4b0aece58908fae3fd1649b7e6c</t>
  </si>
  <si>
    <t>245e57794c369c8617378e285ee9755c</t>
  </si>
  <si>
    <t>fd435faa3c0422b60440ea3480d0e77c</t>
  </si>
  <si>
    <t>b9ed46d1ff01c4fb8e3f2453091804d0</t>
  </si>
  <si>
    <t>7816cd9c5b1238e320545f5bf7eb80e8</t>
  </si>
  <si>
    <t>38427015e9934ea855bd9adcdf32055f</t>
  </si>
  <si>
    <t>713a71465d58d5315a36788861dfec4a</t>
  </si>
  <si>
    <t>c3daacb733cbbe636db5b70ace98d520</t>
  </si>
  <si>
    <t>4d54524ebf3e26769edc397a2eb26462</t>
  </si>
  <si>
    <t>593f4a8705fd0d72d47efb651bdfb135</t>
  </si>
  <si>
    <t>8dc50970bc5ef0bf96e6dc401caf0c1c</t>
  </si>
  <si>
    <t>be8eca3856293b0591f6240af2b62091</t>
  </si>
  <si>
    <t>c963a25b8671419c6ce9eebe8fd03218</t>
  </si>
  <si>
    <t>42e63e1b4d6aa921fd566bdef26e5ef4</t>
  </si>
  <si>
    <t>2aafae69bf4c41fbd94053d9413e87ee</t>
  </si>
  <si>
    <t>d57b5430f8c6a9fa9d91cb60bd237336</t>
  </si>
  <si>
    <t>3c6b1149911003e599410f60c7735bc6</t>
  </si>
  <si>
    <t>3505514e9f9ba3724fc51cb3278e0e67</t>
  </si>
  <si>
    <t>9ebf0ac03992f6240c8339820ed03581</t>
  </si>
  <si>
    <t>fdd68c10c38eb2811cbf1e13bc95b5a1</t>
  </si>
  <si>
    <t>65d5e688c5bba88c62953b3a97264d54</t>
  </si>
  <si>
    <t>f7066703eb3987f21f0d102ea8caaeb5</t>
  </si>
  <si>
    <t>013d100f608a64ec8275c038aedeb064</t>
  </si>
  <si>
    <t>8423896e04d8cc356ddbb29d4cc9288d</t>
  </si>
  <si>
    <t>d66c11a9572221d92fbb8c4897db5f9b</t>
  </si>
  <si>
    <t>54007efbb2ae51f02c995466f0738caa</t>
  </si>
  <si>
    <t>7d91f9d655df761fd0cf119733a61e74</t>
  </si>
  <si>
    <t>1991b2c8479598ad84ed59f5446bb589</t>
  </si>
  <si>
    <t>77d0bfeb12a6711682cc61a508f87313</t>
  </si>
  <si>
    <t>180d9ac0990bb42907fe9cc7aa3eb5a1</t>
  </si>
  <si>
    <t>01fd077212124329bac32490e8ef80d9</t>
  </si>
  <si>
    <t>0c28423a88b5dbffd0d1ee2aec41efd0</t>
  </si>
  <si>
    <t>c0199604c0ca0863cd20b95aadd24427</t>
  </si>
  <si>
    <t>af1ea7c59c7e37f0b95b48bc972ceb67</t>
  </si>
  <si>
    <t>7461606ae81596a71b8a98fd0f2460b2</t>
  </si>
  <si>
    <t>cb92c899ab0e2c0fcf4d4e11e9930f6a</t>
  </si>
  <si>
    <t>9d213f303afae4983637247556438ede</t>
  </si>
  <si>
    <t>6bdffb19c15963b8e630b6a1861b477f</t>
  </si>
  <si>
    <t>76bf0e3e7d311d9069d4512cc1a232d7</t>
  </si>
  <si>
    <t>834e43588167648b6f83961cf22f940e</t>
  </si>
  <si>
    <t>4ff8d644ff76721b86fdc7c75c48d4a6</t>
  </si>
  <si>
    <t>688026f6edb29cc7c96b287b186b03c9</t>
  </si>
  <si>
    <t>59ddca14932ec5557c099a51c4d5a58e</t>
  </si>
  <si>
    <t>439c56de17208ac25a2abee9beca46f7</t>
  </si>
  <si>
    <t>8c9348f33ae3dada25c99c99ade2af78</t>
  </si>
  <si>
    <t>ed1f42da2c5662307df13fe5648b05bf</t>
  </si>
  <si>
    <t>89c4c1dfaab405a37514bda5243b0206</t>
  </si>
  <si>
    <t>9577014358ebabb5010e7513a7439a82</t>
  </si>
  <si>
    <t>f1b854361f4e15d5851b494df66f22b2</t>
  </si>
  <si>
    <t>c6c02ef92aa0dcb6c333a27cfb22d47c</t>
  </si>
  <si>
    <t>c8665a4dd081a2c436b1cd921079d0d9</t>
  </si>
  <si>
    <t>22c0b2a19a05fff19e92fab5a0b7728b</t>
  </si>
  <si>
    <t>138dbe45fc62f1e244378131a6801526</t>
  </si>
  <si>
    <t>41fb0fd43593de7d24448de9f5aea38e</t>
  </si>
  <si>
    <t>b25ec1aff84400104d63eadc3b3052fa</t>
  </si>
  <si>
    <t>7b27ab2fbcbe3b67935da0694742ed0e</t>
  </si>
  <si>
    <t>3917f19baf48b61b7c9a106ea10ad953</t>
  </si>
  <si>
    <t>bea6f48261d29b0dba555367e277f670</t>
  </si>
  <si>
    <t>eb72802c83dc7547529c9546d1a9b8ef</t>
  </si>
  <si>
    <t>84ca5950143557353793f24e65e1af22</t>
  </si>
  <si>
    <t>b67d6c666e8dce1d078c882825e12704</t>
  </si>
  <si>
    <t>68482ad368c7b9779cf50a7164815379</t>
  </si>
  <si>
    <t>980640c45d7a4635885491d077167e4d</t>
  </si>
  <si>
    <t>70699f79c6aeddeb2d322d7074c2f366</t>
  </si>
  <si>
    <t>d84ecc09e7c9517825a219be37aca08b</t>
  </si>
  <si>
    <t>29ed0987440c24898ae109b05a1d3f8e</t>
  </si>
  <si>
    <t>dc7192adf8ba09569261f4a8d576afe0</t>
  </si>
  <si>
    <t>85fb7822c0e202d4b3bb8c1ad5e0280c</t>
  </si>
  <si>
    <t>43037711a5c131786d1633e96185d278</t>
  </si>
  <si>
    <t>99bc9f7d864b6291861728d671d61890</t>
  </si>
  <si>
    <t>3b2386b23bc4807a467c2ea5770cdd80</t>
  </si>
  <si>
    <t>0c1a046883bb8a4141228501feece7c1</t>
  </si>
  <si>
    <t>c30eb4a935f1ea375393aa691a69b19c</t>
  </si>
  <si>
    <t>ab65e1a4d850fa15d38469a1ad02ce90</t>
  </si>
  <si>
    <t>ffad1e7127fb622cb64a900751590acd</t>
  </si>
  <si>
    <t>2f45fb6d3d46af0423ad2813249ac4a2</t>
  </si>
  <si>
    <t>7b98de631987e26dd6d803490c43a13c</t>
  </si>
  <si>
    <t>c733f4f772bfa7b8702ccb81887f8333</t>
  </si>
  <si>
    <t>77d81755dbf8e62faa0fb683e1a802c6</t>
  </si>
  <si>
    <t>a06df17094fd9599cad32555b897a0d3</t>
  </si>
  <si>
    <t>70bf57d811208f8923b41bbd499a67a4</t>
  </si>
  <si>
    <t>a7949e3bfe0d90df9ba1700365ac42c9</t>
  </si>
  <si>
    <t>4018093c0809ddcb1f633ed5cc3f5eb2</t>
  </si>
  <si>
    <t>c2bb2199cb1cff125e02122597fbfb29</t>
  </si>
  <si>
    <t>4de7a9f2b6acffd74c9f148f8902b854</t>
  </si>
  <si>
    <t>shark, cat</t>
  </si>
  <si>
    <t>5f7526ec1bdd6eebdf4f7d0054cfe163</t>
  </si>
  <si>
    <t>bc8c8d665ec4664d286be0d521722b19</t>
  </si>
  <si>
    <t>1024cf4dc7f44bc2296769309fcfb4e5</t>
  </si>
  <si>
    <t>a63bfbaa882c8f4542891b4e2246cc7f</t>
  </si>
  <si>
    <t>352409af828b39fe2353dfbe5e813752</t>
  </si>
  <si>
    <t>33d677f27a69b84051204ee4ae76eaca</t>
  </si>
  <si>
    <t>b1e32544dc409b126235d7b5bc98246e</t>
  </si>
  <si>
    <t>92887d76687f9477f1c7f759bc4a225b</t>
  </si>
  <si>
    <t>bf5b131e6aee15fa373fb4d113b4a65c</t>
  </si>
  <si>
    <t>8a8835a43bda99fd37310ad76c457510</t>
  </si>
  <si>
    <t>ee488918cd8d11b893067864f9dabddb</t>
  </si>
  <si>
    <t>0873d9f8f36123f8d910f4760e788cfb</t>
  </si>
  <si>
    <t>145bce9926e5e1adbddd13d9ee519c3e</t>
  </si>
  <si>
    <t>59bbc819b99a733f02f0d6b49d1c253d</t>
  </si>
  <si>
    <t>aa65c38536b38e859fdecdcea7335154</t>
  </si>
  <si>
    <t>61b18775be84fb700a6b2d0ba097bf66</t>
  </si>
  <si>
    <t>24227051b98de30e484412134e0d0e49</t>
  </si>
  <si>
    <t>761681a821d8275bc79f552116d06869</t>
  </si>
  <si>
    <t>e29db7c8b090e8df0246f5a54cd72799</t>
  </si>
  <si>
    <t>1a8e2d9c38b84a9702ac7922924b0573</t>
  </si>
  <si>
    <t>5290b66ff9e0c1115614365d8e20f10c</t>
  </si>
  <si>
    <t>ab2a1539d7cdbddcfb6b568447ed767d</t>
  </si>
  <si>
    <t>b145d383541b505a53c5715a21385f80</t>
  </si>
  <si>
    <t>a66aed6f85eb3f719792329338875b72</t>
  </si>
  <si>
    <t>a58f8a3280b2dd6440d88af9decb9b1f</t>
  </si>
  <si>
    <t>c32fc744b9160ac853450488e3cfea93</t>
  </si>
  <si>
    <t>4c898465f7e0becf53dd933ab2a1b6f9</t>
  </si>
  <si>
    <t>08083b94b3c7e0847502a026125dbfbd</t>
  </si>
  <si>
    <t>3469f647707d7517364600b07bd45816</t>
  </si>
  <si>
    <t>165b1235e9e9942cb5fae67103576fb0</t>
  </si>
  <si>
    <t>19c777b5bed02ee09375ce374cf653f1</t>
  </si>
  <si>
    <t>13a6bea45beacabbd2d7551940020653</t>
  </si>
  <si>
    <t>fc723a87e241c9b3c2e5fd4df4ff8e9d</t>
  </si>
  <si>
    <t>9803a40e82e45418ab7fb84091af5231</t>
  </si>
  <si>
    <t>a7a8f7739ddc1abdd3bf7d4f9d8a911f</t>
  </si>
  <si>
    <t>ec8463980a4e0ea9f8517aea1ed0c419</t>
  </si>
  <si>
    <t>9e7f111f15db1aa3830cd806660d7b97</t>
  </si>
  <si>
    <t>80b2f7568a7016771f58c5b981da3ae3</t>
  </si>
  <si>
    <t>768a02c350549c32585575742d6c29da</t>
  </si>
  <si>
    <t>e52a436a49da33527c29e1b5fbd09317</t>
  </si>
  <si>
    <t>647715020a35f278c5ff9de26e2a4f9b</t>
  </si>
  <si>
    <t>f9eda05b67bef472deaddbba84aca289</t>
  </si>
  <si>
    <t>a0a7ffa593070c447c15f66e0aab9785</t>
  </si>
  <si>
    <t>ffa6adafb71b807dc13159e26431354c</t>
  </si>
  <si>
    <t>55dbee9943100076f718829ec0359185</t>
  </si>
  <si>
    <t>14c9e2cbff9aaf67afd967798a651733</t>
  </si>
  <si>
    <t>4fdeceef54c4e757fdbf8ea9132b22c9</t>
  </si>
  <si>
    <t>447d377bdb757058acb569025ee18a93</t>
  </si>
  <si>
    <t>d348734a9ee240ebc4c0937a6e755621</t>
  </si>
  <si>
    <t>f0533bc9cc3111a0b2f8198157a34571</t>
  </si>
  <si>
    <t>0f7a3e9f4a5a415ee8d01aa7ad65ab7a</t>
  </si>
  <si>
    <t>1f7dfad2cb384ea4d2d7e1ffbd78c407</t>
  </si>
  <si>
    <t>04921466d09d50f6541fdd33b322c876</t>
  </si>
  <si>
    <t>8de8fe3af4449ed695d2434c933ed73e</t>
  </si>
  <si>
    <t>9b6e0fb52eba76006d3d11ead82fad4d</t>
  </si>
  <si>
    <t>ceb123995e945aab9f7c259819f70a2e</t>
  </si>
  <si>
    <t>e84d3444422cda735543114cf5df6b95</t>
  </si>
  <si>
    <t>db2956745b3a8e9f3785c99f34b5d25e</t>
  </si>
  <si>
    <t>70e177868d7bc383ce3ea10b6f976ada</t>
  </si>
  <si>
    <t>c5f7e746b7e6d07def6c0dae9903279b</t>
  </si>
  <si>
    <t>cdca41db5ada4bf3e8e608a495066165</t>
  </si>
  <si>
    <t>bf28429c4b2c63d4a66f2a1ef89e7cfa</t>
  </si>
  <si>
    <t>479f751686a3b7f1783994dd56619558</t>
  </si>
  <si>
    <t>684ffe8bd167b50565e8546d7a99ec63</t>
  </si>
  <si>
    <t>b43f5f80ddc7bcfebd6cd94e13554e4a</t>
  </si>
  <si>
    <t>0fca1de8751a104ca87890f19f363d4d</t>
  </si>
  <si>
    <t>860e39bc33e7c4ca4c26ec67979cc290</t>
  </si>
  <si>
    <t>4bfc7a4a1cf8d4d2121c27422d9e50b5</t>
  </si>
  <si>
    <t>03ba283fed2772f4e477eea4f0f236b8</t>
  </si>
  <si>
    <t>98d634015211a1cd9b861e59b6d1b79b</t>
  </si>
  <si>
    <t>9f11e692a2a53a8382be86ee9713763c</t>
  </si>
  <si>
    <t>6267b2cd3c8d9bfa2cc778c11d54e76c</t>
  </si>
  <si>
    <t>f613b01d52b86da04ae810f173d5aaef</t>
  </si>
  <si>
    <t>f093be9f8ecb3904adb95cbe76434e1c</t>
  </si>
  <si>
    <t>a045219c760c6f765dfb3c5a6abf54c0</t>
  </si>
  <si>
    <t>6e1706430e9dda78c8d2d5dd1f36d545</t>
  </si>
  <si>
    <t>ba7fb7aa93b1203a1f5e19b0857870e3</t>
  </si>
  <si>
    <t>bec568278124768c474ee90971ca94d1</t>
  </si>
  <si>
    <t>d2108470e2824da1f619e91a0e4784d0</t>
  </si>
  <si>
    <t>762fafdaa57a532ee0119731697579dd</t>
  </si>
  <si>
    <t>d8da124409cad437d5d2c35b101e3b91</t>
  </si>
  <si>
    <t>d263fa444c1504a75cbca5cc465f592a</t>
  </si>
  <si>
    <t>gifts</t>
  </si>
  <si>
    <t>37e3398f030e206491f4a61b69d39faa</t>
  </si>
  <si>
    <t>cb9942fc1981289d7e809573bc69c7db</t>
  </si>
  <si>
    <t>6b13bcea409754a002210eb96b8aad4a</t>
  </si>
  <si>
    <t>b5d3329593899c7a29511c6110bdc575</t>
  </si>
  <si>
    <t>2cadea330183af560c84a87409e5c0e0</t>
  </si>
  <si>
    <t>56e421575126bfe4c0592353bab5cfe6</t>
  </si>
  <si>
    <t>1f080fb8ad65b21e195b903bd366ae68</t>
  </si>
  <si>
    <t>50cd562760a5819b07a9da2239046ef0</t>
  </si>
  <si>
    <t>95081451c156a9d11136ecfc5422a20f</t>
  </si>
  <si>
    <t>888a8ba5a910f3b25c9b95dedfdc04b2</t>
  </si>
  <si>
    <t>b30aab8e0bdb2b3876d33df69222cc5b</t>
  </si>
  <si>
    <t>1160b456c2b0d88893e20daf51f80f39</t>
  </si>
  <si>
    <t>bd57c88dfa162e7a0f5284a25935af65</t>
  </si>
  <si>
    <t>da96552c519b38a0d1b5dabc42e6be00</t>
  </si>
  <si>
    <t>b03a9c9814f98280b6d91cb560eeda5b</t>
  </si>
  <si>
    <t>3fc2d2c3597b3e7b87c17651f98f6c22</t>
  </si>
  <si>
    <t>6514418ce691fad2663207c14a1fc1f4</t>
  </si>
  <si>
    <t>70217dd96da535e0b862ae12245c8906</t>
  </si>
  <si>
    <t>3f9be91358837bff69df67edfa3e42e8</t>
  </si>
  <si>
    <t>e633a3d4fb3db2c7665c170c80db6717</t>
  </si>
  <si>
    <t>c1319b7d63c25ad7838d268fec93d0fa</t>
  </si>
  <si>
    <t>29237848f862237c97d24f2cd71f89c9</t>
  </si>
  <si>
    <t>b6a59a960c14aab3c683a673d03ca2ab</t>
  </si>
  <si>
    <t>a4caf71cf38708eaf17117f78fa61c9f</t>
  </si>
  <si>
    <t>871708b5b0c28260241a7ddbcec894c3</t>
  </si>
  <si>
    <t>3d98ceed3d2937a5e819cd5b239220a3</t>
  </si>
  <si>
    <t>4867209cb29b56b92893d7bde3ce8012</t>
  </si>
  <si>
    <t>e9356c402558dcf285db53208880d47e</t>
  </si>
  <si>
    <t>e9179018f5d095c744e8a333264f99d1</t>
  </si>
  <si>
    <t>5c490b208aeecdb2af2f4b6fb696a6fe</t>
  </si>
  <si>
    <t>5e8fbfbb0b53e303caf57d7408627b73</t>
  </si>
  <si>
    <t>a397cbaf77babef6e8fbbe9b72c7bee7</t>
  </si>
  <si>
    <t>946a07c34ff7e9eafa2d0ad6c45340ec</t>
  </si>
  <si>
    <t>518f741fa426a51c73533c621e5c8107</t>
  </si>
  <si>
    <t>d4ffeb15b67e81ff9af2b4252d99fb7e</t>
  </si>
  <si>
    <t>7c01802bb3674e5af58547b0395bcb2d</t>
  </si>
  <si>
    <t>5e9f5bd34e0830569f05c9d4f56e04a8</t>
  </si>
  <si>
    <t>abcb67d98a01dcf18478fd47823a8dad</t>
  </si>
  <si>
    <t>b3a449163f5fe8657f2f0c83f41e7a5a</t>
  </si>
  <si>
    <t>8f8161d3a6bdf6a3ba5b28fd35725356</t>
  </si>
  <si>
    <t>c03fd7fd50f9f421847d970502fe5d26</t>
  </si>
  <si>
    <t>6e4e57e5aacf1a8feffa258c2c6ff947</t>
  </si>
  <si>
    <t>d8bf0fc082fd4a77fc2e5679b6c00133</t>
  </si>
  <si>
    <t>384008daaa0f14b58912d8648101fdd0</t>
  </si>
  <si>
    <t>8a432f4e5b471f8da497d7dc517666e2</t>
  </si>
  <si>
    <t>2b9eb12abdcf58e92fcf797a1eb2983d</t>
  </si>
  <si>
    <t>108ca0788dee2b34051cd325dd9eafed</t>
  </si>
  <si>
    <t>586e57a7ef16035bd85e2dcf44248130</t>
  </si>
  <si>
    <t>03a2a6dcbe45d639c4dc2a0d24769c40</t>
  </si>
  <si>
    <t>99fc32e3c05e03597a692c4fd9a9d162</t>
  </si>
  <si>
    <t>6a38087bc8ad4f89ff453561005f6dea</t>
  </si>
  <si>
    <t>e866f5b284008f65db1641dae437f9c2</t>
  </si>
  <si>
    <t>d9a84e1403de8da0c3aa531d6d108ba6</t>
  </si>
  <si>
    <t>e5c8f30b30415b1fc94d820ba9d4d08c</t>
  </si>
  <si>
    <t>f12d3c2a14729ae461b920c11fe20fdc</t>
  </si>
  <si>
    <t>fa5e2d8f160a9160ba19cf589cdc017b</t>
  </si>
  <si>
    <t>cdb142290473bb9442f55741e430682e</t>
  </si>
  <si>
    <t>3efcf88e3453fc6d9ce464e51d3a81d4</t>
  </si>
  <si>
    <t>a8739afb32aaa45e01815ca76f76f54b</t>
  </si>
  <si>
    <t>1360d3a80eca6292f33a04f7aebb5fee</t>
  </si>
  <si>
    <t>12e6ecc830aa50dcace131431d90f426</t>
  </si>
  <si>
    <t>9375fea0a120ddcc052f02b81cde38fe</t>
  </si>
  <si>
    <t>a6a52627793bc24c517d364354c20f6f</t>
  </si>
  <si>
    <t>3da19335c0dfd2c484d977ca16bfebd2</t>
  </si>
  <si>
    <t>5bf397d04035b5f45cc41e82ec106803</t>
  </si>
  <si>
    <t>7318634fbf3172a58af7c638ddc76184</t>
  </si>
  <si>
    <t>bbe9a13ea83539951c8edfc200565bad</t>
  </si>
  <si>
    <t>963637be23e343ea96024053fdecd723</t>
  </si>
  <si>
    <t>e00c0a3af0718a2ecf6618c84cd1b1ff</t>
  </si>
  <si>
    <t>9b4e84017d08b6576f1282367901c964</t>
  </si>
  <si>
    <t>8bee95b757e33c86511de3f9311100b9</t>
  </si>
  <si>
    <t>4dcfeaf97d0aec9f35e384d9c3624b39</t>
  </si>
  <si>
    <t>d1ef48b38baca7e831711c4a0aeb398f</t>
  </si>
  <si>
    <t>a6807243689c76d0e34230e8e6ce5ca9</t>
  </si>
  <si>
    <t>e5cbe890e679490127e9a390b46bbd20</t>
  </si>
  <si>
    <t>0d7c4c62f923a1527f1e9e5bb30e5d60</t>
  </si>
  <si>
    <t>e6bb1e7ea5580c5b9f0970407b3f8c7b</t>
  </si>
  <si>
    <t>24b23168fdaa0d98e9119081cd4fdd3e</t>
  </si>
  <si>
    <t>0b0c50f6ddac7e6e7ed9d513ec122c74</t>
  </si>
  <si>
    <t>4e92cdeada5b8e753d95bc8c5c219f6d</t>
  </si>
  <si>
    <t>723cd880edaacdb998898b67c8f9da30</t>
  </si>
  <si>
    <t>c263e540e76c57607b5e1b613fbc8732</t>
  </si>
  <si>
    <t>a2fbfee48b1a9b455b126c70e421ec91</t>
  </si>
  <si>
    <t>3c0e7686e6e39489f6a45f6c7ec0dddb</t>
  </si>
  <si>
    <t>7020bbe82544a814b5665a2887119267</t>
  </si>
  <si>
    <t>18f5d73a3c6b68160f6aa7fd089423b3</t>
  </si>
  <si>
    <t>36f98ad67cc981f50ce8aed093d5783c</t>
  </si>
  <si>
    <t>010ed37e44e2fdc175b4c5c6c930805a</t>
  </si>
  <si>
    <t>8c6d188ef073e289887bc52bc37f3e61</t>
  </si>
  <si>
    <t>b83a52c035258ed43d787106b1765e35</t>
  </si>
  <si>
    <t>99a6380f4dd5ed504cd8003d94d0be25</t>
  </si>
  <si>
    <t>0d6080ffaadf8f8fd9648afb791c29c2</t>
  </si>
  <si>
    <t>83c465a786b06574376909b35ef6752a</t>
  </si>
  <si>
    <t>973f72ab89f64e22470778a9bd1ea10f</t>
  </si>
  <si>
    <t>6c99c983ce3b6ba0ab813e6790e81691</t>
  </si>
  <si>
    <t>bb221b9bbbf25cc108cffe12fe10fbc2</t>
  </si>
  <si>
    <t>5e105f5c9f63f5f1fd75d6cb942e55b1</t>
  </si>
  <si>
    <t>fff8db9478d2fd72df65a67ee6b62f67</t>
  </si>
  <si>
    <t>bdae679a9b282249bc23b9b69dae9a99</t>
  </si>
  <si>
    <t>d2ac71782272659e7171150d20d59158</t>
  </si>
  <si>
    <t>3387acafd8bea46d73fc50cc9f7e2a9a</t>
  </si>
  <si>
    <t>085df4d5a370218b679cfab2121cd194</t>
  </si>
  <si>
    <t>52a50b42accf164f9f019941e5759d9b</t>
  </si>
  <si>
    <t>b68eec99f3b66e98022e60843901fe3e</t>
  </si>
  <si>
    <t>45f04cd6eccb0a2ab2ed62d4939ca2d2</t>
  </si>
  <si>
    <t>cbcb32994827a5c4ef1b8a630a4fa66e</t>
  </si>
  <si>
    <t>da7039f29f90ce5b4846ffc0fcc93beb</t>
  </si>
  <si>
    <t>3ce39e5e8a82aa26e73fb52221089d5e</t>
  </si>
  <si>
    <t>59055625da956ae84296c08491141984</t>
  </si>
  <si>
    <t>614a4db226bdaf4ffdbf60e37eda9213</t>
  </si>
  <si>
    <t>47ff0b75e3609b6b80fbd1450384a623</t>
  </si>
  <si>
    <t>3de2f5d6b216073b662a9e202fb4b556</t>
  </si>
  <si>
    <t>f22a247b79dd22ecd91dc8e3b2a1b07c</t>
  </si>
  <si>
    <t>b53cbe6da81db747a73e52a5a48d2703</t>
  </si>
  <si>
    <t>87193a47e93a5c1912254392431f524d</t>
  </si>
  <si>
    <t>a02248212328cdea5940d1c050f6c6e1</t>
  </si>
  <si>
    <t>b12cce16926aca79e4dc5483947792cc</t>
  </si>
  <si>
    <t>de615d957b9c5f4b8fd48893f7267a15</t>
  </si>
  <si>
    <t>98932494b926a74eda339b76ce0b4bc0</t>
  </si>
  <si>
    <t>50523d9bd9d5d9a44bbc2f778954c5ae</t>
  </si>
  <si>
    <t>9966324e28b7fa38165d2d3d12d53b7f</t>
  </si>
  <si>
    <t>08a7223e876a045d511074e8c9c8e937</t>
  </si>
  <si>
    <t>7cae39bbb9e55772693688c5afd957e6</t>
  </si>
  <si>
    <t>47a752e75a196b3b4edd825252ccf97f</t>
  </si>
  <si>
    <t>bb7ad8a45c027be8ab075b8e465f8ca0</t>
  </si>
  <si>
    <t>f1a425f699458e09372b5da49c06fd33</t>
  </si>
  <si>
    <t>3b945b144f631e998d7e484cc48b3783</t>
  </si>
  <si>
    <t>450b9ff6579ee8138f673984554e8a93</t>
  </si>
  <si>
    <t>1cbd32d00d01bb8087a5eb088612fd9c</t>
  </si>
  <si>
    <t>e3c586bec59ecb0430e34fb6bc37fb8d</t>
  </si>
  <si>
    <t>28d365edb9c888771df5915b575f8f34</t>
  </si>
  <si>
    <t>c2174952a0255de7fb31b91a037f1e16</t>
  </si>
  <si>
    <t>67edf85a314145ec81e546794dbc31cc</t>
  </si>
  <si>
    <t>6c5532cd89a43796f19e4ac21f3b8c72</t>
  </si>
  <si>
    <t>4f6bf26bd1ecc9aa855e9cce6869b566</t>
  </si>
  <si>
    <t>115f08592f4c2bb29013efbbc46608fc</t>
  </si>
  <si>
    <t>ffc470761de7d0232558ba5e786e57b7</t>
  </si>
  <si>
    <t>ff89e8ee1db049c810a2da86c84c6bd5</t>
  </si>
  <si>
    <t>07de60b03d150fb3ea09eab5da5e4c8b</t>
  </si>
  <si>
    <t>2b9b8e32584fe9897d8aedde5bc04ed7</t>
  </si>
  <si>
    <t>86ff3eaef0267069cc891a2ed9d10a17</t>
  </si>
  <si>
    <t>bb10ba1898d78d59bb76db2493ca511c</t>
  </si>
  <si>
    <t>299c89a525fee36c567f4fe72f038100</t>
  </si>
  <si>
    <t>d94101ad400cbaf86b951c78f8172039</t>
  </si>
  <si>
    <t>fc7adf89a5d4fb88c007094fdae351c4</t>
  </si>
  <si>
    <t>f5f0711534e0b5d69c8e4206dd17cd88</t>
  </si>
  <si>
    <t>f66425655311542de5db64f27d0d5651</t>
  </si>
  <si>
    <t>04f8b803895d585e29bf21162e49cc84</t>
  </si>
  <si>
    <t>3ea08c48e851106d2f584349daba335f</t>
  </si>
  <si>
    <t>57a80e778f3d755b4f2166e6a60826fd</t>
  </si>
  <si>
    <t>bea51724befa11664f1d44a92ba8f4c3</t>
  </si>
  <si>
    <t>5c3fd6f239bbbd47b94fb424c8827b2e</t>
  </si>
  <si>
    <t>528f22dfa20a3de9375b2b38e49cc617</t>
  </si>
  <si>
    <t>099c0eddd44f937ac2facf3a72263b7f</t>
  </si>
  <si>
    <t>2d34636518ba88f5349b732fcf8ba2e4</t>
  </si>
  <si>
    <t>644b522e92999426ab230d94a4bb4512</t>
  </si>
  <si>
    <t>e6cf587c2552879f7471e7e8c993ea1c</t>
  </si>
  <si>
    <t>d2e8ac40dc18011d5ecd890846f36ec1</t>
  </si>
  <si>
    <t>503ad3c3811010c6ba4577f411724b13</t>
  </si>
  <si>
    <t>ee7230dec6c5cf2229f0a706a265ca49</t>
  </si>
  <si>
    <t>e8dba4d70f7f2b20e775d09cae01142d</t>
  </si>
  <si>
    <t>05b99715f32c973f929cd22735389966</t>
  </si>
  <si>
    <t>bbe87dce25ba8b38bb61cc7210a3f10b</t>
  </si>
  <si>
    <t>f9cb3124b5a22b133f21273ef2cb0695</t>
  </si>
  <si>
    <t>9e3f08af3b6caa76962b05087eed5425</t>
  </si>
  <si>
    <t>2a0433fde38b262e5db7db757057c7c0</t>
  </si>
  <si>
    <t>94165aea8a35c3c21499cbcae239b16c</t>
  </si>
  <si>
    <t>a244f80bac3293a03b71b032e0e09ce5</t>
  </si>
  <si>
    <t>43ac443db8d4fbfb1454aa1364404264</t>
  </si>
  <si>
    <t>dca7085d5af68e91d19ed7cb75e1dd86</t>
  </si>
  <si>
    <t>54212aa507a8696b0766046bd3aecdc3</t>
  </si>
  <si>
    <t>3efcdd8c4998017c9578b28a059f72e4</t>
  </si>
  <si>
    <t>267116eae2e631a965ef86be260f9278</t>
  </si>
  <si>
    <t>53be01f4f05aebe9d0c69268ac1999ce</t>
  </si>
  <si>
    <t>3d2531eccfbde1d7c8db7a3a12fb267a</t>
  </si>
  <si>
    <t>501f06dacc74edd54022151f71c8960b</t>
  </si>
  <si>
    <t>770145ac7913d8d3ace8aa83a1304938</t>
  </si>
  <si>
    <t>c07c69d716213f5eb297e2721115daca</t>
  </si>
  <si>
    <t>cf8ca2db83470a73b7cebdd86ea96fb9</t>
  </si>
  <si>
    <t>9c6dc3ff593093879a0eaf172f13589a</t>
  </si>
  <si>
    <t>b6584a94139a5dd427c5b2d918116197</t>
  </si>
  <si>
    <t>7375737cbc45eaf7c478be2858e294ca</t>
  </si>
  <si>
    <t>89d394e1e062b0c231c559196aa7e18c</t>
  </si>
  <si>
    <t>e3ad7bdd4df4a7d9653820d9d67d4e49</t>
  </si>
  <si>
    <t>2f7c0e24a8a8fa5c807b59f66c2e9637</t>
  </si>
  <si>
    <t>ed68030ad096167305ee933b382d92f4</t>
  </si>
  <si>
    <t>81cce42d33ddf3d4f89f1d476b5e35e7</t>
  </si>
  <si>
    <t>d238f0c1fbf6fccb32a3f8efcf03e3b8</t>
  </si>
  <si>
    <t>68c701b433babf6e12018f1a674d3228</t>
  </si>
  <si>
    <t>35dae000552fd88cce58a6571998738c</t>
  </si>
  <si>
    <t>184725737946a1a938bbbd1a9e978103</t>
  </si>
  <si>
    <t>012fa44d6752ee07c167165cb8c6f11c</t>
  </si>
  <si>
    <t>528e4514f9339c1c3dd7535fd1a2d8cb</t>
  </si>
  <si>
    <t>d73084414361442cb1fd4d659b395c38</t>
  </si>
  <si>
    <t>2ba91c7ad80ff88b23b7db823b43c233</t>
  </si>
  <si>
    <t>fb24fdefb6d2dd80651f6c1a87bc0d7f</t>
  </si>
  <si>
    <t>bf0d50a6410d487dc97d2baac0a8c0be</t>
  </si>
  <si>
    <t>ab712090eb9a27881b63080c859147de</t>
  </si>
  <si>
    <t>18d5b01a5ca858cf540df954e063978d</t>
  </si>
  <si>
    <t>3d25d97d74b25fda24861545538d0475</t>
  </si>
  <si>
    <t>ce77b964b9986a57b37b928be67d9959</t>
  </si>
  <si>
    <t>f220cfabf79009211ae4493c75c742a9</t>
  </si>
  <si>
    <t>1b69e7630792e60471efca457d5b57af</t>
  </si>
  <si>
    <t>16b2e31fefe580e6aab327e53949bc14</t>
  </si>
  <si>
    <t>9da15f4a4ea758d9eeb49000dbe57e22</t>
  </si>
  <si>
    <t>67577e94367b2efc073a5c9085a0e31d</t>
  </si>
  <si>
    <t>5a4473aa20aec979dea3eee0822165aa</t>
  </si>
  <si>
    <t>4b28b220ac44eb9727640e0b78cc622c</t>
  </si>
  <si>
    <t>573becd44db78cee00182ec4a5594806</t>
  </si>
  <si>
    <t>04ecc73f538bcc74df709fe9281e08b8</t>
  </si>
  <si>
    <t>0a85ebe4e328db81ac9109781205e2f7</t>
  </si>
  <si>
    <t>7fd23d812013ce3b530b821d855bccbf</t>
  </si>
  <si>
    <t>7f5e4d5efad7e44b91115dd1decb65f3</t>
  </si>
  <si>
    <t>9e7dc95c541eb2d8bf26affe1089821f</t>
  </si>
  <si>
    <t>b18791c7580856ccf7c72d22acd59873</t>
  </si>
  <si>
    <t>fca7ac68a9bcfe7ec3a017257471f198</t>
  </si>
  <si>
    <t>48fa294ea8e32148c8dba7a692b72bfc</t>
  </si>
  <si>
    <t>e4ccb212806eb5e35794b3ebbdf1f6b6</t>
  </si>
  <si>
    <t>1b4b28463457a256e9a784ebe2a8f630</t>
  </si>
  <si>
    <t>c7f1da0a5723f5afd7996648fa9c20d5</t>
  </si>
  <si>
    <t>42fa4ee7240e9b8eb4576358ec142ba7</t>
  </si>
  <si>
    <t>7c3e1a45e4127c0eb25d7a8b7250da5b</t>
  </si>
  <si>
    <t>89a51f50b8095ea78d5768f34c13a76f</t>
  </si>
  <si>
    <t>8e12ae4ee6dc484ecf2277a19b845658</t>
  </si>
  <si>
    <t>f9ec7093df3a7b346b7bcf7864069ca3</t>
  </si>
  <si>
    <t>e75d0b169ffeb90d4b805790ce68a239</t>
  </si>
  <si>
    <t>7238a95bb63ef7e498389fb863b834a1</t>
  </si>
  <si>
    <t>7ccf00b6949c12d2df1963c60fad4f25</t>
  </si>
  <si>
    <t>294e164108bc80d8fbf5ee39c448461c</t>
  </si>
  <si>
    <t>08fdf1038af7dd3070bdcd18922e23b2</t>
  </si>
  <si>
    <t>850913d59ce317156b00f3705f1c3edb</t>
  </si>
  <si>
    <t>fe7fdf179234f77c4d0ab2ea82a82c52</t>
  </si>
  <si>
    <t>e19d488f67425e5a884abb42dfa0c458</t>
  </si>
  <si>
    <t>unknown</t>
  </si>
  <si>
    <t>b2fb7865dfca2461177cbad7ec520b0e</t>
  </si>
  <si>
    <t>e1c76f339ebd5460999f25a2aa8c92c5</t>
  </si>
  <si>
    <t>5ebfa70416c6e41452ddde4ce2b536ac</t>
  </si>
  <si>
    <t>72c38a04bd6a1c3dbc5298425a0db86d</t>
  </si>
  <si>
    <t>9064926a39ede3627d76ffcc643bd773</t>
  </si>
  <si>
    <t>6de5884cc604dc6798577fbf91e86836</t>
  </si>
  <si>
    <t>44f24b3c093ffe8bb756db22f86a9a2f</t>
  </si>
  <si>
    <t>ce4f1d45100bd92470c482527f73f72d</t>
  </si>
  <si>
    <t>b05d4080611fca7960d66263f2b29fa5</t>
  </si>
  <si>
    <t>7d2d952e020034f05b4b7a7222563d89</t>
  </si>
  <si>
    <t>f593b9ead8801922f74f0a5329e31486</t>
  </si>
  <si>
    <t>e157c96a8e7711636119c6af8e7cf85f</t>
  </si>
  <si>
    <t>c2dd0b60035ad00b08f81244a20b4860</t>
  </si>
  <si>
    <t>57df9869a600bd6b7c405f2a862eccfb</t>
  </si>
  <si>
    <t>5ca05341418f09367540f05484d0b650</t>
  </si>
  <si>
    <t>fdde1d384dea864917f6b8f2d330986e</t>
  </si>
  <si>
    <t>92732d8798add606646430bbd6748bfd</t>
  </si>
  <si>
    <t>2fc89ae84d3c48eda4b268408f6ad6d7</t>
  </si>
  <si>
    <t>8aa25d565a8891e68d123138a137622b</t>
  </si>
  <si>
    <t>bfee0cb1dc3d4e4a2d625daeafaa3d3e</t>
  </si>
  <si>
    <t>b47ea67781941189af94d2e217161684</t>
  </si>
  <si>
    <t>4e480be820e37de1444325ff358c9296</t>
  </si>
  <si>
    <t>f5386ed31571beed0361427ff58a9778</t>
  </si>
  <si>
    <t>ce4755084bc097113867e6454f8f5e52</t>
  </si>
  <si>
    <t>000dd3543ac84d906eae52e7c779bb2a</t>
  </si>
  <si>
    <t>500b5e25308adf85bbc0bbc52c3dc05b</t>
  </si>
  <si>
    <t>d1d99ef14bb813e29718b9b4df53de52</t>
  </si>
  <si>
    <t>ca7c6bd577e559472af1c699de9e764e</t>
  </si>
  <si>
    <t>16a50d670cfa9afa1ebd0022240fb0f9</t>
  </si>
  <si>
    <t>2866098c2a38fb723ee05f5b65635df0</t>
  </si>
  <si>
    <t>cc1d6397370f680339bb84ca6ad55267</t>
  </si>
  <si>
    <t>767f9c7cc8d4c288b891893b61f3a2ca</t>
  </si>
  <si>
    <t>91bf42fe769d7f395d8f11b747000def</t>
  </si>
  <si>
    <t>19d7a4faa5de92caef9ad5128e6b1467</t>
  </si>
  <si>
    <t>c5b432382d5978b94676426a32725dff</t>
  </si>
  <si>
    <t>3cbdc3237aa8afe44324bda4a1ccf676</t>
  </si>
  <si>
    <t>c56202b66d431a16fbc0260c3d2bd1f6</t>
  </si>
  <si>
    <t>d687681225767af6d214d1b3ae13f66a</t>
  </si>
  <si>
    <t>fa49eb69043e202e2370b17f86bb10a8</t>
  </si>
  <si>
    <t>13511db12ac61e2f89c53b72a944a60b</t>
  </si>
  <si>
    <t>31aa9651503a33c7f28f2a6e4d46b6e0</t>
  </si>
  <si>
    <t>d3dcf0604eabf0224fbd5948b5e02f69</t>
  </si>
  <si>
    <t>c9b03be66eee564123ecf4b66c25986a</t>
  </si>
  <si>
    <t>7ade73f1b9b4e965f9009a4c3a7e2c15</t>
  </si>
  <si>
    <t>2b6a1d360326583e2b95118913845eb5</t>
  </si>
  <si>
    <t>87d3c3aeb3ead335511b3ce315eb341e</t>
  </si>
  <si>
    <t>3b3f06f94891410cd5cec559abe7cff8</t>
  </si>
  <si>
    <t>9cec48faacf156410e6c576bcefdade5</t>
  </si>
  <si>
    <t>dd61b41d5b91a9a09e504f025a87553b</t>
  </si>
  <si>
    <t>ae45df84722b1d15c5f32b23a095746c</t>
  </si>
  <si>
    <t>8b0a6e823972477463ff90b9e804a70c</t>
  </si>
  <si>
    <t>cad9969167c09b48ae6f1d123f7fa68d</t>
  </si>
  <si>
    <t>44d37f9019983d92ead37f855133415b</t>
  </si>
  <si>
    <t>8f014a85666ef7e6a98b99a7e136bacc</t>
  </si>
  <si>
    <t>c242ee43f6d34d89ee71b02fbc5e88a7</t>
  </si>
  <si>
    <t>85044848b1b767db2a4a58526adef4b4</t>
  </si>
  <si>
    <t>7290c4082936311a3295b7c9ca7bda8f</t>
  </si>
  <si>
    <t>9c1c0c36cd23c20897e473901a8fb149</t>
  </si>
  <si>
    <t>0ace14f7dd3d8e29870664c6fa021440</t>
  </si>
  <si>
    <t>ce20a2ec1514c25e16f2b5b39bc818f0</t>
  </si>
  <si>
    <t>1d015de3059eb8754a365b5bbc735818</t>
  </si>
  <si>
    <t>2157c762d011d8bdf2097f45d80df0ef</t>
  </si>
  <si>
    <t>f2258c61a8b46c0620005f5949fb11b8</t>
  </si>
  <si>
    <t>cad10cc982ab6a391570c211b995c17c</t>
  </si>
  <si>
    <t>f4854d16f1c74c2e64a5b01933a04ada</t>
  </si>
  <si>
    <t>fe1f84058e11c26fe9582167f47c343c</t>
  </si>
  <si>
    <t>52427b6097c05044266c10cf110bb16c</t>
  </si>
  <si>
    <t>b89f350d98e85cdac1137510bd7b566e</t>
  </si>
  <si>
    <t>da740a2d739707c310f3762453b41359</t>
  </si>
  <si>
    <t>f085a186e0ab15cb03a8bf46e07a8397</t>
  </si>
  <si>
    <t>cd39b2fcf60d4580dbe25b82be3fd1ab</t>
  </si>
  <si>
    <t>72bb43f9683adea77d240b7985e2dfa2</t>
  </si>
  <si>
    <t>5b6359f4589fe6e5a4856110f0480240</t>
  </si>
  <si>
    <t>e77e2e91d8ba596f5bce16b906255fe0</t>
  </si>
  <si>
    <t>3532ba8963b76ecaa46dc6d6f055a31a</t>
  </si>
  <si>
    <t>7d7d2b7a51328016102d4528c411d630</t>
  </si>
  <si>
    <t>6451343e4f4041fb19ddf7b9dc58538b</t>
  </si>
  <si>
    <t>651530bf5c607240ccdd89a30c9c9712</t>
  </si>
  <si>
    <t>5ee85f64aafcce6b24e3e1171a475ea6</t>
  </si>
  <si>
    <t>d8887be1427e48581e65fed5faf03bce</t>
  </si>
  <si>
    <t>33dd30594303eb0ebe12a556d612c437</t>
  </si>
  <si>
    <t>2fdef625a264874c1a4081ca24dd479d</t>
  </si>
  <si>
    <t>5670f4db5b62c43d542e1b2d56b0cf7c</t>
  </si>
  <si>
    <t>b8a54e345fa5fa48d9f72b7cd514240d</t>
  </si>
  <si>
    <t>98151b0a22aa6e9ac06a7bb854fa6959</t>
  </si>
  <si>
    <t>a78562b316f0578286ddea6e6eaf2c63</t>
  </si>
  <si>
    <t>929f342384a6607afe143d789ade1316</t>
  </si>
  <si>
    <t>c0760e4171db0cd649bda18fcd314e33</t>
  </si>
  <si>
    <t>4c18691b6037662be2df78a765d98ab5</t>
  </si>
  <si>
    <t>9ef248df74556f4768271660f5ef5f7b</t>
  </si>
  <si>
    <t>aa2640d851ec322526f1295bbeb20092</t>
  </si>
  <si>
    <t>4532f03593699ffdfd5fc1b58540190e</t>
  </si>
  <si>
    <t>19d62d484cba71963c93f0f00ab42013</t>
  </si>
  <si>
    <t>dada30935bcfc75c69e651430ea8815f</t>
  </si>
  <si>
    <t>f2c87addc7e39e1c73457c4ec85ed728</t>
  </si>
  <si>
    <t>e9631bea70bc3ae4018bff0eac2c0986</t>
  </si>
  <si>
    <t>5b0cc932433fa5184b5b94bfe6bcc256</t>
  </si>
  <si>
    <t>1dbafa1bd602541ba5249cf8cc388acf</t>
  </si>
  <si>
    <t>252b493131fc46ee4a19fbfcbd565676</t>
  </si>
  <si>
    <t>d92949512f85bf2db92ad19b662922f6</t>
  </si>
  <si>
    <t>0502e5d79bd91b34b68cef9b3b45230c</t>
  </si>
  <si>
    <t>dcee66ccb49a492ae42c446c0cc01b3a</t>
  </si>
  <si>
    <t>cd2169d9f31ff6fbb9ca3373b0c9e354</t>
  </si>
  <si>
    <t>4a357e43fba47afd6d96c6f6524ade53</t>
  </si>
  <si>
    <t>9aa388272ee334b6ae07bc73706e254a</t>
  </si>
  <si>
    <t>fceb58eea3ffda92cf9ab32fd9e5fe0d</t>
  </si>
  <si>
    <t>dc00a47754c9e2eda1f84b0bff6ee95e</t>
  </si>
  <si>
    <t>63d196328512c582293ce6c845521bb6</t>
  </si>
  <si>
    <t>1fe5540d7c1c37a595fefbacd5570d9e</t>
  </si>
  <si>
    <t>cd60cded04fede4abccff6e0dea36f6e</t>
  </si>
  <si>
    <t>dd3c4f2160ceb84483c6ef84ddc541e0</t>
  </si>
  <si>
    <t>6fd8a9e989f62bd98e7d20c2f81b1519</t>
  </si>
  <si>
    <t>bce6a5ecf98e99fd2a8868b15c51f04b</t>
  </si>
  <si>
    <t>e03c43e6cfff88b9e06badf1de66b950</t>
  </si>
  <si>
    <t>5f4ffce0fafd72596bcb09d1467981c2</t>
  </si>
  <si>
    <t>33d81348225fe436802063fc73e6f2c5</t>
  </si>
  <si>
    <t>902c99f1ac505c0d18778b61bcd636f7</t>
  </si>
  <si>
    <t>ac2adbbec7f0d2fffad8e21d5e8a58e1</t>
  </si>
  <si>
    <t>2e7ea2aafec5835e781b21d6d1faf1f1</t>
  </si>
  <si>
    <t>8dcedd6884e553e55dfb6298a6f6cd94</t>
  </si>
  <si>
    <t>b3809b8d4394588a47c8470ea331e135</t>
  </si>
  <si>
    <t>ba0773260354774c193b04f6af910192</t>
  </si>
  <si>
    <t>674207551483fec113276b67b0d871ff</t>
  </si>
  <si>
    <t>f5772c97a8e2bcf909674d8701480d55</t>
  </si>
  <si>
    <t>63c6951772f3f4fc4e40ffd24207fd19</t>
  </si>
  <si>
    <t>4926b735eb624e5de200880635cc272a</t>
  </si>
  <si>
    <t>2ec7ffe99ecc5afc2e48920c9d1fbff6</t>
  </si>
  <si>
    <t>28f36aa85fbadc0663c2df15a5af35db</t>
  </si>
  <si>
    <t>455befea1bb853c75ccbca94cff26e5c</t>
  </si>
  <si>
    <t>0383bd4aa37e8dd109be3864bc703eda</t>
  </si>
  <si>
    <t>9fbe791853dbd2e3894d85162a8ff934</t>
  </si>
  <si>
    <t>80f3f5f7b631b0e974a4a4627672e73a</t>
  </si>
  <si>
    <t>dace965ca58120f92f8d742a9fa1864b</t>
  </si>
  <si>
    <t>20c1fd3638caa5d1dce50b6c0b7fc409</t>
  </si>
  <si>
    <t>ea4e9ce63a2134743b4a92777437fcdd</t>
  </si>
  <si>
    <t>5177d7712d018e49b0015adfdc2bb393</t>
  </si>
  <si>
    <t>19d2a3535e887b30be7081676fb1a499</t>
  </si>
  <si>
    <t>3f972cdb5e257034c5ad72bd3b0ed184</t>
  </si>
  <si>
    <t>a0ed0c00bfd64109d4ea03c97cc12486</t>
  </si>
  <si>
    <t>b440cc1f36911a5256b3dc30a1d599ba</t>
  </si>
  <si>
    <t>8116eb23b96c15ec02dd90632371494c</t>
  </si>
  <si>
    <t>5b7fc89c42ee0f99a9db33e8baed5c52</t>
  </si>
  <si>
    <t>39cd336c2436c88d88096f7ef9305026</t>
  </si>
  <si>
    <t>d3acf9ea06733ab725beeec8333da403</t>
  </si>
  <si>
    <t>48e954b2da4f6a750c844173b347ed40</t>
  </si>
  <si>
    <t>bfa4c8f989b5998d069da0a75550a7ce</t>
  </si>
  <si>
    <t>694892adec9a8e54155c2a2e99b6bd0c</t>
  </si>
  <si>
    <t>0dabd1a1be08da96cd6fa993b9afb0a8</t>
  </si>
  <si>
    <t>a0b6a15b3b776d289bb0eca2d9115eaa</t>
  </si>
  <si>
    <t>9ab8da6ebb84a25f23233a3a2e8cfc11</t>
  </si>
  <si>
    <t>f177c11663deb4c3c07af399b26f5110</t>
  </si>
  <si>
    <t>80a19b2bee623d67010812c64f360300</t>
  </si>
  <si>
    <t>abc39d62971a3ef6d4b285f65513006f</t>
  </si>
  <si>
    <t>820f7970418d010d52a1c1db2d3c1d65</t>
  </si>
  <si>
    <t>28c7d8743fbc8679f484868cc0fcaefb</t>
  </si>
  <si>
    <t>c22f68de5bdce96fee03e21ca08d898d</t>
  </si>
  <si>
    <t>b15dd2f0fabf60d00bb3bc95834fb45d</t>
  </si>
  <si>
    <t>0456932dafd6f6b56f142efaa19ea8ed</t>
  </si>
  <si>
    <t>c38c6d00a783927b6a3df86ea650ed4f</t>
  </si>
  <si>
    <t>c9535ee549d198a4b146a5a81e0a6450</t>
  </si>
  <si>
    <t>186cdd1b2df32caa72cfb410bba768d3</t>
  </si>
  <si>
    <t>6fb435d98ce368e0b727cec0f8a2ccfb</t>
  </si>
  <si>
    <t>fac1a9017ade7bdc94058fc1c969f355</t>
  </si>
  <si>
    <t>719a6e5ecb3067f0725a36f477404c5c</t>
  </si>
  <si>
    <t>269c5fc9fcadee614364c3620c30a1f9</t>
  </si>
  <si>
    <t>e0bcbf50b9afa71ee130b94dfe8bcf2e</t>
  </si>
  <si>
    <t>516e7738bd8f735ac19a010ee5450d8d</t>
  </si>
  <si>
    <t>10d6786c2646e4ef82973b3045096882</t>
  </si>
  <si>
    <t>fb66238168277301f44d960416bf5c1f</t>
  </si>
  <si>
    <t>79304cca1ad8a247a9bafffd5f4db436</t>
  </si>
  <si>
    <t>8ba4b332e611171e234324cf3f9f28e3</t>
  </si>
  <si>
    <t>8999714b474171439f0c56236609a287</t>
  </si>
  <si>
    <t>4ac30efebddcd090914475c8201899b4</t>
  </si>
  <si>
    <t>d8bbc05a9852cf8c785e2b05c5ba1bd9</t>
  </si>
  <si>
    <t>5544a079319b0984ee5d3ea03ea57da2</t>
  </si>
  <si>
    <t>b37245bd5e22836dea166c9bf1ce3715</t>
  </si>
  <si>
    <t>8caafb23d9d6b7e75485fcc2bdc260e0</t>
  </si>
  <si>
    <t>98f57d973e7f90b1b813f13e5ebd847c</t>
  </si>
  <si>
    <t>dd27d8e77c7920dc26f5da40bf65ce73</t>
  </si>
  <si>
    <t>8df878a8e746bb16f57beaa0615b5693</t>
  </si>
  <si>
    <t>de83e0600df76319c24c3670ebcb2d5f</t>
  </si>
  <si>
    <t>07c70f3b440791aa82c370d17910f32f</t>
  </si>
  <si>
    <t>85182120f8a3331fcddb54f27a77dda2</t>
  </si>
  <si>
    <t>bf38970e96dee81ef0b4b76c2feb1a2a</t>
  </si>
  <si>
    <t>bb219facd42c2384181e8f3330b42df9</t>
  </si>
  <si>
    <t>c14a716bc18a0f87296c2ec10bfe8929</t>
  </si>
  <si>
    <t>788e857f317e53de488d393e65a80f45</t>
  </si>
  <si>
    <t>86b283c5d439e7c9a64dca8e850c5ebc</t>
  </si>
  <si>
    <t>a99634624f85b4f63f87bc334b846962</t>
  </si>
  <si>
    <t>d6beac7184414a6487a7edade4c0f2ef</t>
  </si>
  <si>
    <t>b8caedd58f7afe8fea08b95f272bc080</t>
  </si>
  <si>
    <t>b64eccfaa3c560d142a15ca43a0ddc98</t>
  </si>
  <si>
    <t>3844ab927429de8fcb426e4886024ee9</t>
  </si>
  <si>
    <t>9678fa54dc9751a0633fe25843f900b4</t>
  </si>
  <si>
    <t>c7471f493e0cf386881d09659a4a32a4</t>
  </si>
  <si>
    <t>85ac6feb584b665e85664974c546cfec</t>
  </si>
  <si>
    <t>74636e24f01da9268b0ed88dacd8513e</t>
  </si>
  <si>
    <t>75743dbfcf177f2885a59b460017feee</t>
  </si>
  <si>
    <t>2039c5e51785b5dde7cf93ccb3b7be2c</t>
  </si>
  <si>
    <t>418f995ca45e4394daa4447bd637ec4d</t>
  </si>
  <si>
    <t>bb94878eed7bad1bdd88e19f6c322f8e</t>
  </si>
  <si>
    <t>37ff30ea1566d0236fbe68c74def55bd</t>
  </si>
  <si>
    <t>9ac4f14370b1e24ddc58be041b7f99df</t>
  </si>
  <si>
    <t>803fce03a8d1123afbbdbbbad0c4377d</t>
  </si>
  <si>
    <t>fe53fc6949a462475c07fcb57ead57ce</t>
  </si>
  <si>
    <t>9bde09f29256de88f4897345646c850c</t>
  </si>
  <si>
    <t>a11a0e0ca67423425691db355cff69b0</t>
  </si>
  <si>
    <t>1d656ca6611216968c7c89914031e043</t>
  </si>
  <si>
    <t>89757206b887aed36f3e18d858460fea</t>
  </si>
  <si>
    <t>abcbe3ee8523b90b416337f0abd94a53</t>
  </si>
  <si>
    <t>6bd503a8230299c9316fb0f726933927</t>
  </si>
  <si>
    <t>746ac26956df2d6be2b2c66c26b62fda</t>
  </si>
  <si>
    <t>3903c788ded8dc03b5ebab37a2f3e9a1</t>
  </si>
  <si>
    <t>7f6401a2da5927d2c2fe3b6b946a9f37</t>
  </si>
  <si>
    <t>837db36e3b34fffca8725343601a74a7</t>
  </si>
  <si>
    <t>51d81424aa2d36bf4248ae8a4a3cc885</t>
  </si>
  <si>
    <t>62b967c1884c0e9ca8b9dba64be0b136</t>
  </si>
  <si>
    <t>323cff2ceea1814239bc2c7e614d260d</t>
  </si>
  <si>
    <t>51b030d05fdce1d571c4f55eed93d323</t>
  </si>
  <si>
    <t>e58a75d874cd483e80fb3ba9aa35db51</t>
  </si>
  <si>
    <t>62a081b993506561f522af260073cb18</t>
  </si>
  <si>
    <t>094ced053e257ae8cae57205592d6712</t>
  </si>
  <si>
    <t>df2782c019d0d66a88af774011e8ab29</t>
  </si>
  <si>
    <t>2bee35533016f9992645dd6df0eca7e4</t>
  </si>
  <si>
    <t>bc419ad99b06b6b3e155039d714e2061</t>
  </si>
  <si>
    <t>54583ab379489add547fe47b628db589</t>
  </si>
  <si>
    <t>92ad56ab29e347d1779a07879d38c67a</t>
  </si>
  <si>
    <t>c846aef46d0aa00378cc6c24fd7fb474</t>
  </si>
  <si>
    <t>c92c413cead7d8b67a89850ba352e1d1</t>
  </si>
  <si>
    <t>c092292535a57dacd95a8765f5518f87</t>
  </si>
  <si>
    <t>00dc5000951c268cc8655294daf67b1b</t>
  </si>
  <si>
    <t>00065220becb8785e2cf78355eb9bf68</t>
  </si>
  <si>
    <t>7b6ad2297d3beb569ddf3ee1ce22ffa8</t>
  </si>
  <si>
    <t>c70c1b0d8ca86052f45a432a38b73958</t>
  </si>
  <si>
    <t>07e3b175a6c00f310d4e7e4b17df1304</t>
  </si>
  <si>
    <t>8ec9a02e1c573e5ebf9133968d9b0042</t>
  </si>
  <si>
    <t>64c6e872abc90f8a480908b92521e25a</t>
  </si>
  <si>
    <t>a53f60f05f822b5c621a50ff6a5cb362</t>
  </si>
  <si>
    <t>d75057842b733134576d690d1d9509a2</t>
  </si>
  <si>
    <t>a86bf7a9ba609d0527f10ea8f0a5446c</t>
  </si>
  <si>
    <t>89599d85cfa823d8886146af161ea5b3</t>
  </si>
  <si>
    <t>88ef59b51bdaa941d10a853429f2b6ce</t>
  </si>
  <si>
    <t>d6f0ffd9dd59848ed1b74ad799489755</t>
  </si>
  <si>
    <t>7d81e74a4755b552267cd5e081563028</t>
  </si>
  <si>
    <t>9af787c1e7409f0866ade669dba8f697</t>
  </si>
  <si>
    <t>9b1f656ca3060f8af17a50d8a024b533</t>
  </si>
  <si>
    <t>6e668e75a724c96385d31729d5f7759b</t>
  </si>
  <si>
    <t>f50d9d5fa45cba8c1a6b643987810c34</t>
  </si>
  <si>
    <t>d5f8ca8f1c429e41c73b370ad2fb45a1</t>
  </si>
  <si>
    <t>f3c747c1913de1af068d8feb79900063</t>
  </si>
  <si>
    <t>religious</t>
  </si>
  <si>
    <t>30c1778642a506dbd803a0fa5ece533e</t>
  </si>
  <si>
    <t>157497483bb7876340ea4441c9bd1774</t>
  </si>
  <si>
    <t>95f2351eb791917e3e1cee823cf25969</t>
  </si>
  <si>
    <t>b031973a2fadbc89767531a45ca39e40</t>
  </si>
  <si>
    <t>4388a23da67b154b780b78dd7ea4636e</t>
  </si>
  <si>
    <t>0255dc67cb6bad298606136951ab1877</t>
  </si>
  <si>
    <t>c262b62c257bb4e97a9618c9bf4bacf5</t>
  </si>
  <si>
    <t>a2d528e2abdf88afe0d245519b3b3d65</t>
  </si>
  <si>
    <t>bd47dc58209bc820d555f935bf055e40</t>
  </si>
  <si>
    <t>77a515caa36327151d1cc6c32a9f00e1</t>
  </si>
  <si>
    <t>8257329475414b1eaf3dc731440e01a7</t>
  </si>
  <si>
    <t>ba90964cff9b9e0e6f32b23b82465f7b</t>
  </si>
  <si>
    <t>8661d5d36e6ade1beb145e7154f96310</t>
  </si>
  <si>
    <t>791a644d62fbd7a1fdabda6fc610bf33</t>
  </si>
  <si>
    <t>d0dde222e608c66b65d44776bd8b4092</t>
  </si>
  <si>
    <t>df1183c2b82ee7ce304ed60ced00949c</t>
  </si>
  <si>
    <t>33bedbbf5f4322acc36ecf15bd34cc57</t>
  </si>
  <si>
    <t>0ffe89723de9b21041556d02e9b21a8b</t>
  </si>
  <si>
    <t>5f1a8a8fddbc8a5ff4bf0f111dc69ff4</t>
  </si>
  <si>
    <t>43402bdf22aa2310e8f99e2f94f78628</t>
  </si>
  <si>
    <t>3559ec2c1c4f29266d1c1eb0f1164549</t>
  </si>
  <si>
    <t>28f10b1c5e5abb9d4857745bede6147c</t>
  </si>
  <si>
    <t>efe655d620d2d3d55ab8b2b6c86a945d</t>
  </si>
  <si>
    <t>414cc02d780baaa13439c37bd89641ef</t>
  </si>
  <si>
    <t>ddbfc14f2f93b8eeb75d4b11a876b7ba</t>
  </si>
  <si>
    <t>1961c3e1272bfeceb05d0b78b5bbfdaf</t>
  </si>
  <si>
    <t>games_consoles</t>
  </si>
  <si>
    <t>eagle, cat</t>
  </si>
  <si>
    <t>b6b8870c2b130a562fbe89fb0bb9518a</t>
  </si>
  <si>
    <t>68175a6b26cdbc4b3a51ed5353276e4d</t>
  </si>
  <si>
    <t>1dec44d3b8974e86ab337f1755cd893e</t>
  </si>
  <si>
    <t>7adbd3210a7b3cc2235e225eef33574d</t>
  </si>
  <si>
    <t>356222b46d95b7fb1215f652ea9fd2f3</t>
  </si>
  <si>
    <t>0b9164d3b23215d4dfee8a045a3a1b3d</t>
  </si>
  <si>
    <t>b39ac02ff5021fed10cb9988a23d5d02</t>
  </si>
  <si>
    <t>7c7d0dee362960b1d9b01fe7284e19ba</t>
  </si>
  <si>
    <t>bc916355c4b4bff29473d27f0a214b84</t>
  </si>
  <si>
    <t>9f716fbca2fbec913c646e6c60f25b60</t>
  </si>
  <si>
    <t>19d0170c5a9f7120fdcb2c34e9373f68</t>
  </si>
  <si>
    <t>b8cb8fd0484ee4f796b41e363dcd303d</t>
  </si>
  <si>
    <t>1ce04284ef15be769958c668292573b8</t>
  </si>
  <si>
    <t>33cbbec1e7e1044aaf11d152172c776f</t>
  </si>
  <si>
    <t>dc5cd6ec5b2df75ead63c98d5963e732</t>
  </si>
  <si>
    <t>d82168bc00226dc72728bc957d2539bc</t>
  </si>
  <si>
    <t>ca7ca7ea7912312362a50c3754c1cc2d</t>
  </si>
  <si>
    <t>97e50a621f8e801f4baf69e08687c192</t>
  </si>
  <si>
    <t>f46657d673d95ccf8d12b1075ab7c653</t>
  </si>
  <si>
    <t>f0ec78809fe0bc3edb11c9fe5b97b059</t>
  </si>
  <si>
    <t>7a2c5f44c553096c00bd05e62c4f3771</t>
  </si>
  <si>
    <t>6ebf4eceee4dd9847201c82e77ef8123</t>
  </si>
  <si>
    <t>ac894bcbadb0692e692ba49e19bc219b</t>
  </si>
  <si>
    <t>02df983480ff75ead8a031a3c7a849ad</t>
  </si>
  <si>
    <t>796e2f57fd87b9b44251e692e269f0bf</t>
  </si>
  <si>
    <t>594f9aaa48e5bf431f011ddc5669b0d5</t>
  </si>
  <si>
    <t>b9e0ea8939615cd9008530f5f4e5e54d</t>
  </si>
  <si>
    <t>4675c38ffdf3a0c9e9665f629c5c713b</t>
  </si>
  <si>
    <t>f5baaf0afe419681731ec3d30dafd954</t>
  </si>
  <si>
    <t>fb6e76ca64c0cc2c2dee53219e685f4b</t>
  </si>
  <si>
    <t>15aea757696aaf9af950992f299b6789</t>
  </si>
  <si>
    <t>e504a4e2efaa45cbff7e268a2c58c956</t>
  </si>
  <si>
    <t>8ba72c13888964788024b12e39aef6de</t>
  </si>
  <si>
    <t>6b90f847357d8981edd79a1eb1bf0acb</t>
  </si>
  <si>
    <t>5b2aad03528f0d771e8332451010d045</t>
  </si>
  <si>
    <t>eaeec4fdcdc91ead735718ae9bebcd8e</t>
  </si>
  <si>
    <t>cc7ae92e162840095c5bfa89acbcc478</t>
  </si>
  <si>
    <t>5a4236931428800e9d9cc04af0987118</t>
  </si>
  <si>
    <t>fea6d3c362395ffa975ea4fd8d5d8ebb</t>
  </si>
  <si>
    <t>9e96cf88816c531ac19a680a2fdb78a7</t>
  </si>
  <si>
    <t>6fec8c1ba9b9aa79bd26e09fc8aae3eb</t>
  </si>
  <si>
    <t>603bb4eeb3f0927e59e253357a9ca06b</t>
  </si>
  <si>
    <t>f4812a8b0f238b290cb25f11a975edf3</t>
  </si>
  <si>
    <t>5e7730e8ae6bffdee755a8d31e6b77a4</t>
  </si>
  <si>
    <t>34aba6f934aa1a8de795d088a6875d28</t>
  </si>
  <si>
    <t>2c2c9832d1bb38c5b0034a3b47d313ee</t>
  </si>
  <si>
    <t>d79c868179307f1cf78d0a12c56e2bf9</t>
  </si>
  <si>
    <t>25ca84afdd32ede184dba55631c55274</t>
  </si>
  <si>
    <t>shark, wolf</t>
  </si>
  <si>
    <t>a2de60ae969948c62475144651c21281</t>
  </si>
  <si>
    <t>08220245c361752c4f7bdc9a39821dbe</t>
  </si>
  <si>
    <t>f2e5f6f0caaa54cb5161d5cd753cf57f</t>
  </si>
  <si>
    <t>d622a61456dcbf4cc960221e15ac48b7</t>
  </si>
  <si>
    <t>2d425507027fe5ccf5e23dc6bf98af4b</t>
  </si>
  <si>
    <t>34fe2ce0770697c1b8b35c13a8e2f7d4</t>
  </si>
  <si>
    <t>9af7ea3259a69623a41b6e8bf98a52b4</t>
  </si>
  <si>
    <t>1832c08bba48a37868d4093259e8c288</t>
  </si>
  <si>
    <t>5b7ce8c2b0fe4c2f52a0763046914ef4</t>
  </si>
  <si>
    <t>45f4ec2f92cda096fc01052b9f53dd89</t>
  </si>
  <si>
    <t>d63f306de130e0391d38a792541723b8</t>
  </si>
  <si>
    <t>88a7d45c0b4b7c6d948ffff9e0be1de4</t>
  </si>
  <si>
    <t>49388b546c8a96b96e9f15b5980b1cd7</t>
  </si>
  <si>
    <t>26b54d75fad5660ca6471905fe1793cf</t>
  </si>
  <si>
    <t>596849622429351f47b32e6cae1055ff</t>
  </si>
  <si>
    <t>8e8336b19eec4f492acff4a97a5a4bf4</t>
  </si>
  <si>
    <t>9140ef75cc8211c4035935e80e567204</t>
  </si>
  <si>
    <t>2b35567523c67c1a9c32ef101ae7bc73</t>
  </si>
  <si>
    <t>7dd3be74c6cd6800d809935ff47bd3bf</t>
  </si>
  <si>
    <t>5ce2c548b89181fc2a9b18df3882603e</t>
  </si>
  <si>
    <t>5fff4dd813a9fe1ce972a80407e16457</t>
  </si>
  <si>
    <t>c9be6fa4a4d011709bfa79908b2a1238</t>
  </si>
  <si>
    <t>465b4d6f3d04fac8957c6017541df171</t>
  </si>
  <si>
    <t>e66292f43e32d3b92d2c00229a6afe55</t>
  </si>
  <si>
    <t>7614a7c196be837b0eba0a3811e51b29</t>
  </si>
  <si>
    <t>92c9627a1529f28cb04691b9fe1f6ec8</t>
  </si>
  <si>
    <t>63972c86dd9a38da4f3d8b5ccec2ee60</t>
  </si>
  <si>
    <t>44c115ec4cfd1287a92e824ff941aa3e</t>
  </si>
  <si>
    <t>493a261e134421b6d9d997900fa56a5f</t>
  </si>
  <si>
    <t>1f539e92146eac32306bcb0f8ba374ec</t>
  </si>
  <si>
    <t>8ff95b78fd27130aef0a3b68b7124c51</t>
  </si>
  <si>
    <t>e758533feded97683d573154714a195b</t>
  </si>
  <si>
    <t>985c92cc412091f8529c12d7f23d3fef</t>
  </si>
  <si>
    <t>6456e5e81dd87446f811df77548e6a6b</t>
  </si>
  <si>
    <t>76e8c36299440e255379b5fa7f03f272</t>
  </si>
  <si>
    <t>e8caf5068d097fe43a132fbc1152bdd8</t>
  </si>
  <si>
    <t>26677ff8d8321b864317019c728ac010</t>
  </si>
  <si>
    <t>9ea89671c9ac8a9c53062381b303f4d4</t>
  </si>
  <si>
    <t>c7bb64409aa480bb7d0335faaaf3d242</t>
  </si>
  <si>
    <t>5d23750fc8ccf6284ca2ef9063c7b395</t>
  </si>
  <si>
    <t>1e26c56af8d48424e1df0140a2401f83</t>
  </si>
  <si>
    <t>058172f0764ed2bfad2c7aa7cb9ae15f</t>
  </si>
  <si>
    <t>8c818d927ba4145304edccf74293f8b6</t>
  </si>
  <si>
    <t>3138f2d16a2894a0b029ac115da88f8f</t>
  </si>
  <si>
    <t>daf565f087a52def0fd5c5825b3661bc</t>
  </si>
  <si>
    <t>b4994d8000b83caf4875f9cf28664194</t>
  </si>
  <si>
    <t>7ee00840eff17f731c41f35b12184c96</t>
  </si>
  <si>
    <t>acc0e9c96173c579c90c05de205a2b63</t>
  </si>
  <si>
    <t>9c7fd21e0aa159b20da593371f08ff7c</t>
  </si>
  <si>
    <t>df5f39b59210605db5d0afb2ddac38a6</t>
  </si>
  <si>
    <t>f002671b6ff4042e52a52aaccba44c0e</t>
  </si>
  <si>
    <t>d78e4f87a5a597a1c8f2663af303e65b</t>
  </si>
  <si>
    <t>cb141ec6f444a4cb7a2400aaf80b6fc3</t>
  </si>
  <si>
    <t>f487c050e3c1f3c31f85b9f818ccc0c2</t>
  </si>
  <si>
    <t>508808d438fe2ff972ed13bb8f4a82e2</t>
  </si>
  <si>
    <t>ff3e7e5ca2f0e0d94bff1aabf7ed6ff3</t>
  </si>
  <si>
    <t>5084f696554075b9a98403b769f31cd5</t>
  </si>
  <si>
    <t>ec2f34a30d5b87ed1d3e9de2741ddabc</t>
  </si>
  <si>
    <t>246eefbebdc0c11402ec404e1589de43</t>
  </si>
  <si>
    <t>dedd5db8f760f36dd41fba0d5e94308b</t>
  </si>
  <si>
    <t>41da412d33e8da4f22baf55cb1bde82c</t>
  </si>
  <si>
    <t>0a634763cc1a09532dd8cbf0e74e3d48</t>
  </si>
  <si>
    <t>8c4e430c5e662c328d3c84d334871709</t>
  </si>
  <si>
    <t>7ac6d80c42fdb4020030b1cb9ed708f5</t>
  </si>
  <si>
    <t>cfe94489ddd337d1e29e12f2a7205d10</t>
  </si>
  <si>
    <t>d62e62abe24dcaa94f9e1b3678477b51</t>
  </si>
  <si>
    <t>c611f4ce9ce875bcc063fa97fd4d7d12</t>
  </si>
  <si>
    <t>b97dc9b1917a076d96da7c0ae4e2ed72</t>
  </si>
  <si>
    <t>376643e536ea9ab265065925112a876a</t>
  </si>
  <si>
    <t>7f95cccd5ccfb40b086d93e209d08ebf</t>
  </si>
  <si>
    <t>b28c0625f1f26655cfa0f370be1164ac</t>
  </si>
  <si>
    <t>59d49e1ef1cc5496dfde1a1cc0c74004</t>
  </si>
  <si>
    <t>196964603e568f36848694f9274a2acd</t>
  </si>
  <si>
    <t>dbf25bb9667ad45905359f401d0ffb60</t>
  </si>
  <si>
    <t>189ca3538ce9f920cacf0f982cbe223b</t>
  </si>
  <si>
    <t>ff8ee6aac61c11f16443646cdf467146</t>
  </si>
  <si>
    <t>7877194d40c496d36a88ae5957c5e7d1</t>
  </si>
  <si>
    <t>4c3419c75074a0734e4d1851aa66eb8b</t>
  </si>
  <si>
    <t>9ffca1681e7428db3d75eb4b69ee9599</t>
  </si>
  <si>
    <t>2dfbe1c802c78a8b1f75ef13b70c1124</t>
  </si>
  <si>
    <t>382229d1e840115ffe3dbf5ff460e417</t>
  </si>
  <si>
    <t>5db98ad3d38184a2f9db88f5bb1c62c1</t>
  </si>
  <si>
    <t>5bc24d989e71e93c33e50a7782431b0e</t>
  </si>
  <si>
    <t>b91cf8812365f50ff4bda4bcd6206b05</t>
  </si>
  <si>
    <t>5e063e85d44b0f5c3e6ec3131103a57e</t>
  </si>
  <si>
    <t>6ddd8f436b40ded89a268f4b38a30b35</t>
  </si>
  <si>
    <t>164471825a8de8c31eb8cb9375b27243</t>
  </si>
  <si>
    <t>3d2c7bb8be9ea80c1477b6778fbd2cf6</t>
  </si>
  <si>
    <t>bd585fa4d871cd7600ec8a2b90c57a4e</t>
  </si>
  <si>
    <t>9e5523333afdebe2911f20c3e5b452df</t>
  </si>
  <si>
    <t>698f5fa55a5f73d0740e9d9a773e8093</t>
  </si>
  <si>
    <t>d54be8a176d25fedda751546f6276fb6</t>
  </si>
  <si>
    <t>0f5f7caa3e6a2b466fabe6bfaf25b06b</t>
  </si>
  <si>
    <t>4653dc197e56d94547c86d7a3af40833</t>
  </si>
  <si>
    <t>e1dc0754bada9ee4cfe9713f22f61292</t>
  </si>
  <si>
    <t>8ac5c69653a6ec0c8a96f304c13fb1d6</t>
  </si>
  <si>
    <t>e58a5b390e28abc0b216cfb0e07d27d7</t>
  </si>
  <si>
    <t>b02c6bdb3693e65bd8e9b75df65fe2c4</t>
  </si>
  <si>
    <t>588e81a6924bcffd4e366453885e72b1</t>
  </si>
  <si>
    <t>423b036257e9b247694318b327fdef68</t>
  </si>
  <si>
    <t>aae5e7b457a3c72ee230a47d98fceda5</t>
  </si>
  <si>
    <t>ac029f072468dd8c97c15f0a9fa96f00</t>
  </si>
  <si>
    <t>dfa0c4c6229ab200a4a1336b4d7128ff</t>
  </si>
  <si>
    <t>e77cae9fcdb3fd588d797921ac663823</t>
  </si>
  <si>
    <t>a31ed365258882cc2a1e25d6710704ea</t>
  </si>
  <si>
    <t>8d4af10effffa338cc97d3ef4b2507dd</t>
  </si>
  <si>
    <t>53088c75f948b48a7ece173ac17f0c12</t>
  </si>
  <si>
    <t>01409f7f7f2bd5ec0c1755b362e9db6e</t>
  </si>
  <si>
    <t>eada4a0629faf243de4159916c10cd1a</t>
  </si>
  <si>
    <t>214ace4c93ff3e251c239e9d47d1517b</t>
  </si>
  <si>
    <t>0c1d290fe8e252b31ebc2ead30634efc</t>
  </si>
  <si>
    <t>9dde4d7713ae64986ab6f5c9f9cf94d3</t>
  </si>
  <si>
    <t>c33e6d3ad32fd5bec1b0f2522f668213</t>
  </si>
  <si>
    <t>19f3cd308f1455b3fa09a282e0d496f4</t>
  </si>
  <si>
    <t>07da1921cbc124b15d105b3e13d67eb5</t>
  </si>
  <si>
    <t>fd5564b7d093f9d64d1a5f223dfe43bc</t>
  </si>
  <si>
    <t>b17d646e36f5fb120b2ea74c14d39f5c</t>
  </si>
  <si>
    <t>2e311c110b108aece4a48ab7165f28b3</t>
  </si>
  <si>
    <t>b4a52d5e8d7a56355abf7597fe5b2bbd</t>
  </si>
  <si>
    <t>da43bc6766501a2ad1aba35b09b7c9ac</t>
  </si>
  <si>
    <t>61681a30d47dc8b1ec5180ccdec26ba5</t>
  </si>
  <si>
    <t>4a4da369ad50f14d48337aa52eb826f5</t>
  </si>
  <si>
    <t>27ce438e6e1f602971ea0443f5d4428e</t>
  </si>
  <si>
    <t>05e107217c7266362fd44b75b2cd4cc4</t>
  </si>
  <si>
    <t>b48c62590e6d0cda7b99d3c4053a412b</t>
  </si>
  <si>
    <t>7f49fc7a8336278ab1287ed28d565258</t>
  </si>
  <si>
    <t>7bf1f5c2051159d32a588de7a73c8edf</t>
  </si>
  <si>
    <t>c510bc1718f0f2961eaa42a23330681a</t>
  </si>
  <si>
    <t>4f2a5cee950dff883ba2d52715c97bb3</t>
  </si>
  <si>
    <t>ae1e6f638fc33a9cdbc2871bf60c6635</t>
  </si>
  <si>
    <t>2f68c2e0cd8964d59dbbcfa48196b499</t>
  </si>
  <si>
    <t>4c1c7281388a33dd06daac44f9fadbd1</t>
  </si>
  <si>
    <t>6ff169c8d96bc9b776c14c0e65af28df</t>
  </si>
  <si>
    <t>85ecf03781da592876b7844acc1b729f</t>
  </si>
  <si>
    <t>13c5dfa246046c0beea97e100f32a1a9</t>
  </si>
  <si>
    <t>968268a686aa05d1f529fb07dff08130</t>
  </si>
  <si>
    <t>0a55079ea003674ae2145b02f03ff27d</t>
  </si>
  <si>
    <t>ae0728a2cb289dec6d1ceb0b7d6b82c5</t>
  </si>
  <si>
    <t>af727f4749d4bccd52b0d84bcd241a28</t>
  </si>
  <si>
    <t>8cd5c90bb5fe7f2d779c81bfd6d9ffcf</t>
  </si>
  <si>
    <t>b2385ae6de2a909f2ad7b45f9922af69</t>
  </si>
  <si>
    <t>2d2f1c1a4f518137df3e4d8d5f57beae</t>
  </si>
  <si>
    <t>7c23287c6dd3acd5f4fae4175be75c7e</t>
  </si>
  <si>
    <t>106ebccfb024488d2dd7aac29c9a20a3</t>
  </si>
  <si>
    <t>eb7cd84a106d9862149ce49358dccf98</t>
  </si>
  <si>
    <t>e250d617a0ad591ba9bd663e584a895d</t>
  </si>
  <si>
    <t>5c2d8be7b4d5836ebf6e70455ba735df</t>
  </si>
  <si>
    <t>1ab0c07336fcfada1d031cf1c9718ca7</t>
  </si>
  <si>
    <t>33ce1e734d9d50629fa2c36769285d53</t>
  </si>
  <si>
    <t>53be10ff134691e94a4089b41c75874f</t>
  </si>
  <si>
    <t>a38a9af287823928c8b66b29dde21c29</t>
  </si>
  <si>
    <t>aa3d06427142ec11df8f7df0e159b71a</t>
  </si>
  <si>
    <t>8d31e1ca580336797fc5c552cc86b96b</t>
  </si>
  <si>
    <t>50ca38cf4312fde2e0d35f6169208b54</t>
  </si>
  <si>
    <t>7f06e90b62b8a276308c2756f5afd601</t>
  </si>
  <si>
    <t>7c51de0ab286204ce75ff42bf7c10d92</t>
  </si>
  <si>
    <t>fd582eb497bfc1fdf07f3e7d0e259b70</t>
  </si>
  <si>
    <t>6a53b90c3ad9e0b56d9fe5c69165fff5</t>
  </si>
  <si>
    <t>c31cd9eb0233c998e5d682c4d826d8c6</t>
  </si>
  <si>
    <t>e10575e8e45d5d8cedfc60d838ac286b</t>
  </si>
  <si>
    <t>79c57bf41c34485dfe8b0d15d45a5fa2</t>
  </si>
  <si>
    <t>11742f81550ac064cc9a40f67151d9ad</t>
  </si>
  <si>
    <t>b13432d01614c9d18263698af2837e1e</t>
  </si>
  <si>
    <t>429e2324ee8c0a95b565f78b465e8a07</t>
  </si>
  <si>
    <t>8e3a0c64471d95b0099a960973289946</t>
  </si>
  <si>
    <t>e94b64dc6979b302a5a5be1662c83bb6</t>
  </si>
  <si>
    <t>c4b5d00fab66a49d63428f51800130eb</t>
  </si>
  <si>
    <t>52c53edae0e04256ecf6c407608e7e09</t>
  </si>
  <si>
    <t>c0fa242837c43fe0531989b269153441</t>
  </si>
  <si>
    <t>45a9bd664803609f452cce925e21d24d</t>
  </si>
  <si>
    <t>e2d1a6e73522ced82377206f4ac503de</t>
  </si>
  <si>
    <t>1444c08e64d55fb3c25f0f09c07ffcf2</t>
  </si>
  <si>
    <t>cd1c758ef1fa8b3fa90d46efc6e4c66d</t>
  </si>
  <si>
    <t>99d4602ff2c719a03c6d8df853ebedf8</t>
  </si>
  <si>
    <t>0ec14948e088cd74e70ad82de1128b3b</t>
  </si>
  <si>
    <t>d449188091598bf0dbd32c312570f168</t>
  </si>
  <si>
    <t>7482d965e9c3156079b7ea6423fd41fa</t>
  </si>
  <si>
    <t>a267686cbbbfe674d0834d3ad95df5bb</t>
  </si>
  <si>
    <t>90da5fb6873f5daa02586c51fec88189</t>
  </si>
  <si>
    <t>9f15313cc96cd611d45e63eab4170bf1</t>
  </si>
  <si>
    <t>38cdcd4e817aad01e8408901fa10f392</t>
  </si>
  <si>
    <t>a1617fea9bff799a4d5b3db7a7baa713</t>
  </si>
  <si>
    <t>40965efa19c345bfd62e38846d71eb85</t>
  </si>
  <si>
    <t>5f57db27027655e6c6a391601daa0258</t>
  </si>
  <si>
    <t>5490e7d6b0202e0f649d6fba5bf770ec</t>
  </si>
  <si>
    <t>eb9267cccc90f1b49c8d2f9887c7dd97</t>
  </si>
  <si>
    <t>23b7bbab67f2caadba743ff405d27b5c</t>
  </si>
  <si>
    <t>abbc2aa191ecd8fbb5be1701d7bb6ef4</t>
  </si>
  <si>
    <t>b668bbfcf4f79f076b2210cb21e87734</t>
  </si>
  <si>
    <t>ce616e1913288884e7742faac9d981db</t>
  </si>
  <si>
    <t>b368759b56dbed0f9e5818fe1f7ca8bd</t>
  </si>
  <si>
    <t>65b6aa01895e9ddce79b482da06dda9d</t>
  </si>
  <si>
    <t>1ad74caec14332594a6e910b3d183e87</t>
  </si>
  <si>
    <t>8ed21f7ffec3a30e915d8e85eb3c4f72</t>
  </si>
  <si>
    <t>5527123f5a35a024c0f3bf4689e76e7b</t>
  </si>
  <si>
    <t>6a87cbc1ebb8046bb3a851059feb6df3</t>
  </si>
  <si>
    <t>e7d22b2d896aff8c14d0f1f6c7ff151b</t>
  </si>
  <si>
    <t>88cf19ec1fc2c58f161aee259d57142c</t>
  </si>
  <si>
    <t>062eb81d4674705d10c8ecb848358cb3</t>
  </si>
  <si>
    <t>1c16af6213cf83914774c6490065da81</t>
  </si>
  <si>
    <t>c18171305e73faabfa61d61c41a420ae</t>
  </si>
  <si>
    <t>0b1ca3ef18a63d7eb0c8897fa0849c08</t>
  </si>
  <si>
    <t>713db6add2b5e85a240d2daffd3e9dab</t>
  </si>
  <si>
    <t>f3c38ab652836d21de61fb8314b69182</t>
  </si>
  <si>
    <t>2c30dbced2ca2da386510d7416679269</t>
  </si>
  <si>
    <t>d598f929fc44e1e38678e7f47250ec04</t>
  </si>
  <si>
    <t>a253f7f97019cf1a2c74eed3ce23db58</t>
  </si>
  <si>
    <t>f1fd6779d8d9afe83f4135a22903f22b</t>
  </si>
  <si>
    <t>f812d76fe4aaf25c32584b9597915c61</t>
  </si>
  <si>
    <t>36637850ddda5031f5bcf5499dd955a3</t>
  </si>
  <si>
    <t>07f26c1e7d2873a9e6860909c00075c2</t>
  </si>
  <si>
    <t>134c69b4dff67e40a022dd8bf81e002e</t>
  </si>
  <si>
    <t>dcb63974e7efcb5cf46738cb2a22edf1</t>
  </si>
  <si>
    <t>34f563c82a85b99ae9e6d60db5fc2e28</t>
  </si>
  <si>
    <t>9729df58c832dc4574b1c382191df44a</t>
  </si>
  <si>
    <t>a7a9b880c49781da66651ccf4ba9ac38</t>
  </si>
  <si>
    <t>fa7482659fd71e6e233eadf4dbf3ed4e</t>
  </si>
  <si>
    <t>bf1f3d5402ed867f05bed505a3b2a05a</t>
  </si>
  <si>
    <t>a6bf24ce0939b46b6536e02a3d244cc3</t>
  </si>
  <si>
    <t>ba87e2cbb33c1412290b8ccc37301672</t>
  </si>
  <si>
    <t>c184064068f67936a71e38a4e6a9e78e</t>
  </si>
  <si>
    <t>28872dc528e978a639754bc8c2ce5a4c</t>
  </si>
  <si>
    <t>205a11a1b97d7e8bdb33aa6c36f3ef2a</t>
  </si>
  <si>
    <t>758fbe94c656fc484d204e7d60808484</t>
  </si>
  <si>
    <t>a8da3378b39d078f77361620c9481ffb</t>
  </si>
  <si>
    <t>64c9a1db4e73e19aaafd3286dc448c96</t>
  </si>
  <si>
    <t>3e1d9bee7fa8982cbd0dd0c0aa5ce905</t>
  </si>
  <si>
    <t>271c58a1d139c45eaf3316107c6d3a3b</t>
  </si>
  <si>
    <t>051cb0d72dcd23f16842e894f5c46051</t>
  </si>
  <si>
    <t>6548c2550b6e2d8f18053216e1c7b6f3</t>
  </si>
  <si>
    <t>2008b6bfa59e4d81791f9ecbfd9f1a75</t>
  </si>
  <si>
    <t>41b14765bd56c8ad10971074380f9c0c</t>
  </si>
  <si>
    <t>5ac050d44e6476acecf88969950cf3a2</t>
  </si>
  <si>
    <t>85222e25007ce95bf79c00f643d1e436</t>
  </si>
  <si>
    <t>0e9c14002f9268601c57837930261014</t>
  </si>
  <si>
    <t>6eeed17989b0ae47c9f11ece6f38ea90</t>
  </si>
  <si>
    <t>baf5ecd84c6a8766519b98f66eec1511</t>
  </si>
  <si>
    <t>e5d7bbbca541b3b39e1649f94074b963</t>
  </si>
  <si>
    <t>7e4bb8c8f3bdcbece5996f24ba507120</t>
  </si>
  <si>
    <t>843c73eda46e28b278031033b616bc8e</t>
  </si>
  <si>
    <t>b4abf3d319afe2544a5dd0966141ef10</t>
  </si>
  <si>
    <t>876300c1c122f7fafd3ba74a478221f4</t>
  </si>
  <si>
    <t>ee68544f42eef8386730823cff7446cc</t>
  </si>
  <si>
    <t>8f28d70a98ca556691300d08ebdddc88</t>
  </si>
  <si>
    <t>01c629f6b8f2460aa362f29caaaa0a8e</t>
  </si>
  <si>
    <t>99cd94252748d2bdde08e17858233602</t>
  </si>
  <si>
    <t>287915711d06ce6d90e2c18e1d89d3a6</t>
  </si>
  <si>
    <t>6f83d9e4da896daae20b9b6b2d3ff8d2</t>
  </si>
  <si>
    <t>af8ba6e9ccdd2960424f19b3cfb54baf</t>
  </si>
  <si>
    <t>e6341a38a2e15b8834ac0410015547e4</t>
  </si>
  <si>
    <t>7f1a58f7b373d68560c1cf8e340e87ae</t>
  </si>
  <si>
    <t>0b7589387392dd2e2458f86606aa2a99</t>
  </si>
  <si>
    <t>66ff0b5dbb060ef47f756d33cf170f97</t>
  </si>
  <si>
    <t>dc50afafdfa325eadc890c7fa42a8f4e</t>
  </si>
  <si>
    <t>d636a570e9dc6d962ffce7426b8b53ad</t>
  </si>
  <si>
    <t>75e645bd511287258a5afc20acd4e338</t>
  </si>
  <si>
    <t>3b7585682efa3f3cb07b4e7ae6ec53d4</t>
  </si>
  <si>
    <t>af3ef48d0e13835e529c29ac573c63e5</t>
  </si>
  <si>
    <t>680fd12be44eee12aee2a2e023438a5d</t>
  </si>
  <si>
    <t>535bf14f36346c7f59d87cece104d70c</t>
  </si>
  <si>
    <t>cb0f32260247ecac66b2954d6320f6be</t>
  </si>
  <si>
    <t>7e165d0fd266781dbf944faf150e265b</t>
  </si>
  <si>
    <t>962ebbfe9e9c53b566b6c107b19f4bba</t>
  </si>
  <si>
    <t>da3b4c4b11a5be0f29634d1e6bb7dce0</t>
  </si>
  <si>
    <t>a7aef852029ddd8bba20bf60b536415b</t>
  </si>
  <si>
    <t>5dc203c7b84a0e71e878a179de05fb9a</t>
  </si>
  <si>
    <t>ce721edac2d10ef0b2ee26c40924d7a5</t>
  </si>
  <si>
    <t>710b15ab273348b3db04d636937061c3</t>
  </si>
  <si>
    <t>b1b3ec93fc27a19fdb1c1b1fc997776a</t>
  </si>
  <si>
    <t>6548cf02964800e58014e5040bb14e01</t>
  </si>
  <si>
    <t>88cd3681e0a2ba85e190f7d817629c4c</t>
  </si>
  <si>
    <t>239771729fe22c7c1bdbf136f7304eed</t>
  </si>
  <si>
    <t>b586cd24c010a13916af621b0325fbba</t>
  </si>
  <si>
    <t>2f9e00b759f8d090d2d2ecae1347104f</t>
  </si>
  <si>
    <t>fe3d2c21fe1b15298d60a0792621ddf8</t>
  </si>
  <si>
    <t>ee577c86d39b672b84ced795d14380dc</t>
  </si>
  <si>
    <t>6836558ca75302628900564ce7c67cf9</t>
  </si>
  <si>
    <t>87db7aea88a3ae9304944ae954c6a420</t>
  </si>
  <si>
    <t>7c8a7bb451a5a4e8813352670a8b9a22</t>
  </si>
  <si>
    <t>5f87a3fcca7c117d0f4186749a5c6c59</t>
  </si>
  <si>
    <t>df6a52d41f39ce14aa6df3af06e98e71</t>
  </si>
  <si>
    <t>d15288d9955379f7bde91577c9177310</t>
  </si>
  <si>
    <t>6cbd0872de0e3e92a1b90f229aac6e61</t>
  </si>
  <si>
    <t>186f0892f13de5443c0b6d042a6ddde0</t>
  </si>
  <si>
    <t>d566c37fa119d5e66c4e9052e83ee4ea</t>
  </si>
  <si>
    <t>7fc2067b7f0e5d86dd4dfa1340b93910</t>
  </si>
  <si>
    <t>e116c7455dd26a4d8c3e92532583905f</t>
  </si>
  <si>
    <t>a3980fc1d4915887bc4b815080e58a00</t>
  </si>
  <si>
    <t>611aa09794938387efe774f5abf64c03</t>
  </si>
  <si>
    <t>de4dbaab116c6ce122ca050041e1546f</t>
  </si>
  <si>
    <t>bf00385a5f7fc1ef39a13c2e9ee50a5f</t>
  </si>
  <si>
    <t>af37f5b0de67364f54d9b53d8e8afbfa</t>
  </si>
  <si>
    <t>27bcbf1bcae4a9c14c54627933160f37</t>
  </si>
  <si>
    <t>660110aa3162f77605b07eec19f1e20a</t>
  </si>
  <si>
    <t>dbc7e4c98a58fa8731412f4da2f43cb4</t>
  </si>
  <si>
    <t>c2385a5e739790f3b8c1d459abee3e5b</t>
  </si>
  <si>
    <t>7aa286758114fcd93df587a1e23301ed</t>
  </si>
  <si>
    <t>a8aa308791fc464208fb025038454c24</t>
  </si>
  <si>
    <t>818d9691c76fabaf6b491f6a9baefad9</t>
  </si>
  <si>
    <t>144194b941960b62a1217cc9d27ebdbe</t>
  </si>
  <si>
    <t>a46cc8988e2dc21616cc0b2cec80be4b</t>
  </si>
  <si>
    <t>7e0a3b03133c5c75330162fee599e5f5</t>
  </si>
  <si>
    <t>bb2eca0468c9088bd9a146c8d6c72e0b</t>
  </si>
  <si>
    <t>b466c22d12d52c8a0d3792d2eb44b828</t>
  </si>
  <si>
    <t>623ad9d0c1e14bb5464a8c72bff7b4af</t>
  </si>
  <si>
    <t>de0fcd75c97ecea4ebbb534ea6476743</t>
  </si>
  <si>
    <t>639541c9c4a8a5b34424cac6f81f6be7</t>
  </si>
  <si>
    <t>c2102c66aa81e5c07f72cd88e46d091d</t>
  </si>
  <si>
    <t>649d307ba392e2cc6cedc7888f51923d</t>
  </si>
  <si>
    <t>caea756b29bd071f00ce526f40645a78</t>
  </si>
  <si>
    <t>fadb07c842a2aef5d5a676b85f220e71</t>
  </si>
  <si>
    <t>7720c6892d447539b71d8bd9e4d1ef60</t>
  </si>
  <si>
    <t>3786da2e9afd5d55617521bd1685dec0</t>
  </si>
  <si>
    <t>21dd2bb7a4d988443cb303e42afb8316</t>
  </si>
  <si>
    <t>b7bff8fe73a12a5e844c7d83ee1202ff</t>
  </si>
  <si>
    <t>f0affe8ec1361efcafd1816b5b1c2426</t>
  </si>
  <si>
    <t>09175f552e7526624e8100bdc8d0c92d</t>
  </si>
  <si>
    <t>0ff0a4ce9abf031dc12194a19ced4ef1</t>
  </si>
  <si>
    <t>a64e44665225d19dfc0277eeeaaccc57</t>
  </si>
  <si>
    <t>a0ab09eb2842e474a3a5aed12e533a2a</t>
  </si>
  <si>
    <t>6b3bd31ad8fcda4b2635ec9f3ff2ecdf</t>
  </si>
  <si>
    <t>c6a3a2c5533022519407029f38d214fa</t>
  </si>
  <si>
    <t>a84e05448dd8286412b96fddf603db26</t>
  </si>
  <si>
    <t>1785cff273aedbd875c814b46928ad7f</t>
  </si>
  <si>
    <t>213fafb0ca06fb3d5886579c2565791b</t>
  </si>
  <si>
    <t>a57bf18e19b6b17e3d4fbc20561e2055</t>
  </si>
  <si>
    <t>2a17b229ca84523393b003b7e0bfae63</t>
  </si>
  <si>
    <t>eb454ad6be830064d49727814426bb6e</t>
  </si>
  <si>
    <t>e0a3c37054ade6478d923a6efc10f308</t>
  </si>
  <si>
    <t>b14ab177881b4c06b81317c5f2034ede</t>
  </si>
  <si>
    <t>8fb67a334bacec338885b4e9e1708073</t>
  </si>
  <si>
    <t>921fc9c7fd3ec362c7276f81fa81baf9</t>
  </si>
  <si>
    <t>4a23adac87cf538689fa600d976f78b2</t>
  </si>
  <si>
    <t>45b5846f3d142b0748d3dc2ab223ab6b</t>
  </si>
  <si>
    <t>76ea5315acb3f5f7ade3cd261faf922a</t>
  </si>
  <si>
    <t>ce518001633ca4e1f2ae4b02f4dcb11f</t>
  </si>
  <si>
    <t>741eb1606348f827baeb4c099fcf1bdd</t>
  </si>
  <si>
    <t>341d4a2ff35fb1a23abe056798b04d41</t>
  </si>
  <si>
    <t>f88adb15807168d3c43d71021090ce4a</t>
  </si>
  <si>
    <t>9542f2f27285580fe8d6aa82e179ed28</t>
  </si>
  <si>
    <t>a359ed4a476430e29909d1415ecacb1d</t>
  </si>
  <si>
    <t>1217984b38cadfb4b1c15f30a3212680</t>
  </si>
  <si>
    <t>54c04bdb5ec46762f8f08c7e8f86ed4a</t>
  </si>
  <si>
    <t>1b9d7ffccca875a9079e3b57c24a3113</t>
  </si>
  <si>
    <t>8476243f92442881ddd5b578975cf115</t>
  </si>
  <si>
    <t>8b2112b1064c167cfbccbdeb2b5841f2</t>
  </si>
  <si>
    <t>09bad886111255c5b5030314fc7f1a4a</t>
  </si>
  <si>
    <t>878c57ac87b8629049a172596fb9a67d</t>
  </si>
  <si>
    <t>8b286dd43c391bc2d763668067eca963</t>
  </si>
  <si>
    <t>b7f3b8bcd964f9e44b212cceabacf877</t>
  </si>
  <si>
    <t>07a9a154056e210f17bbacd5e30c024c</t>
  </si>
  <si>
    <t>ea36a38cfad96a89e2614f339f909549</t>
  </si>
  <si>
    <t>f0418a194da21de7cd01336b10be11a7</t>
  </si>
  <si>
    <t>ebcdc4e2a7e73118fab4921b78200b2b</t>
  </si>
  <si>
    <t>fcc29f9f37cfd89db0038d8de7f97f08</t>
  </si>
  <si>
    <t>ae437864746ae2a9e694a6ed2b5824db</t>
  </si>
  <si>
    <t>01266d4c46afa519678d16a8b683d325</t>
  </si>
  <si>
    <t>100a1f43c56bb71781a2231a79900488</t>
  </si>
  <si>
    <t>297be0a3c196d803e4e4f013432be4e1</t>
  </si>
  <si>
    <t>3434cfa4a17f019a5aae78ee0bec24bf</t>
  </si>
  <si>
    <t>9ba337a47628f9761b6bb3939a3f97a9</t>
  </si>
  <si>
    <t>2852475bf1d02022e4eb5269c452259a</t>
  </si>
  <si>
    <t>1a47a5831effd926ad6bee7ab8beb86c</t>
  </si>
  <si>
    <t>5a85461739094491a96bb30267640454</t>
  </si>
  <si>
    <t>1cd757f0f38c0847a2f05717d18b8d92</t>
  </si>
  <si>
    <t>42d15f0a37b7d0a151bb2ca9cc7e5548</t>
  </si>
  <si>
    <t>9cf787a239c1aa29dbd76f153dc13f9a</t>
  </si>
  <si>
    <t>862690c612c4c41a2ddceb9bf7a5c848</t>
  </si>
  <si>
    <t>1a932caad4f9d804097d7f8e615baed1</t>
  </si>
  <si>
    <t>76609909f975f3db5b8e50e4cb9ec136</t>
  </si>
  <si>
    <t>b2d462f41b6b46b0569b20a8a4ebfcae</t>
  </si>
  <si>
    <t>d5cb61eef98bd237e41bc2225263f823</t>
  </si>
  <si>
    <t>7e1f0755f1c75e301dfa37c21fd01efe</t>
  </si>
  <si>
    <t>e4a6222cdb5b34375400904f03d8e6a5</t>
  </si>
  <si>
    <t>9c2bfd97ce00ce9553bdc0f34c3532b6</t>
  </si>
  <si>
    <t>ae9cf62cf691b753d4f0d3d40731cc3c</t>
  </si>
  <si>
    <t>6c1f11f779599fe6d280c41d644ed43b</t>
  </si>
  <si>
    <t>0cab2da43793a6f3c5ed8514c5f54627</t>
  </si>
  <si>
    <t>3223fed48f30bbdc0f6040b466516bcb</t>
  </si>
  <si>
    <t>0d7d5bca59d45d750fb7913b974e9d08</t>
  </si>
  <si>
    <t>4b650319cca0b2d0480d58b5c6451a28</t>
  </si>
  <si>
    <t>708cc2c4ffdd3307d5cdee0d7387307b</t>
  </si>
  <si>
    <t>d4db78e389387c2d6f0b5404cbc61fc5</t>
  </si>
  <si>
    <t>7210cd29727d674c00741e5e387b3ccd</t>
  </si>
  <si>
    <t>d4b60729388ac1c3435ee0fcefba1ebe</t>
  </si>
  <si>
    <t>05a48cc8859962767935ab9087417fbb</t>
  </si>
  <si>
    <t>513622713be8b84fd8d5b783f6fc82b5</t>
  </si>
  <si>
    <t>c65fb4ec11e8d18c95ef150885418aea</t>
  </si>
  <si>
    <t>7d4b139b99fa4e14170492f54032c321</t>
  </si>
  <si>
    <t>3ffabd7292c755d5cebe5b2d6350b850</t>
  </si>
  <si>
    <t>3e4a3f9ecab2d513b6782748c9e0a884</t>
  </si>
  <si>
    <t>9d681c7e12db302cb261e721040dde65</t>
  </si>
  <si>
    <t>b3d72af547b23265305eda666dd749f9</t>
  </si>
  <si>
    <t>d984b175957d0e67bc5bf232285ac792</t>
  </si>
  <si>
    <t>9e7c75dad869b2691a339a70cf105f0e</t>
  </si>
  <si>
    <t>f4d969837a2957bb052a71af7d39fc91</t>
  </si>
  <si>
    <t>1db2d761017113fbfd4246f0402ac4e0</t>
  </si>
  <si>
    <t>f1340f6d3347d9fae747fc3d236a2e41</t>
  </si>
  <si>
    <t>b6bbd11daf9d7d31ffa787379614cd4f</t>
  </si>
  <si>
    <t>4eeb99008a0f59d2c7759c59f9a346eb</t>
  </si>
  <si>
    <t>ee24544795bf59a8343731c3501c6b4e</t>
  </si>
  <si>
    <t>c013e57c075a06e5b5c48ee03c525719</t>
  </si>
  <si>
    <t>7998ee341a2b3ffe1f5b8f11c0e78d11</t>
  </si>
  <si>
    <t>b9ec22de23f18567de0e09d776ca0309</t>
  </si>
  <si>
    <t>98826328c3a60215e53b342560084571</t>
  </si>
  <si>
    <t>f46490624488d3ff7ce78613913a7711</t>
  </si>
  <si>
    <t>dbc6f53e8aa4b30d61366ddc81b17a91</t>
  </si>
  <si>
    <t>7bfe1c6d7a61cccc48bbbebe206390a9</t>
  </si>
  <si>
    <t>72477e4cbc223fd605cdf76361cbe0a6</t>
  </si>
  <si>
    <t>a9f81449e8f8a47f6c67e5a43b40ed04</t>
  </si>
  <si>
    <t>245710681d51a6dfb80ab06683f3be01</t>
  </si>
  <si>
    <t>7c9130f5f3729edd32aa059141d92484</t>
  </si>
  <si>
    <t>512f3a7ea5520eae3b54a77c0497489e</t>
  </si>
  <si>
    <t>2a1a7b9bb186aba4e126ec76f9607237</t>
  </si>
  <si>
    <t>b3d5cd16656bd872844d94e6c00ac9f3</t>
  </si>
  <si>
    <t>eeb3e4d4f423780ab2acfe23ea0d5e49</t>
  </si>
  <si>
    <t>f8e1b8b3a3fe9b27a64dfcaaa8fc6054</t>
  </si>
  <si>
    <t>b6392ab5fdb153fb3c6c7c0e174cdc29</t>
  </si>
  <si>
    <t>cd803c8ab3c2afa5430eeb195bcebe6a</t>
  </si>
  <si>
    <t>33dd941c27854f7625b968cc6195a552</t>
  </si>
  <si>
    <t>676207ddcc8087437135a4b461fc07cb</t>
  </si>
  <si>
    <t>c70a353f02429c00775a46a75fb787da</t>
  </si>
  <si>
    <t>98b18a14a0472c9e4a4eb0bb77ae3592</t>
  </si>
  <si>
    <t>4fe2f67634d00c021aa01f96b6f2d68e</t>
  </si>
  <si>
    <t>e7f70a2ff45e44c7399bebacf3e4771d</t>
  </si>
  <si>
    <t>b21768cfefb49b94e9bcd38037e93d1f</t>
  </si>
  <si>
    <t>df9a2abe2ad3f2d8758b675ac8331ecf</t>
  </si>
  <si>
    <t>bfcc27719640628da877db48b672b169</t>
  </si>
  <si>
    <t>8723201570415eb23b4f095d8c20a27c</t>
  </si>
  <si>
    <t>4a82eab98441aeb64566e2776c1fb2b6</t>
  </si>
  <si>
    <t>2e57665b8faf05c967a801eb5aedfa0a</t>
  </si>
  <si>
    <t>55031883943971ca22db6894574cfe2c</t>
  </si>
  <si>
    <t>40955be51cc85c5a5a6cdd12b19e9f10</t>
  </si>
  <si>
    <t>c0e933c238e41f0cd459d6025ee9b364</t>
  </si>
  <si>
    <t>8a6492305a5fbcdcdd1a7f5a90764c07</t>
  </si>
  <si>
    <t>1bba9c94eb5c4e82fba9f7286fe81025</t>
  </si>
  <si>
    <t>Unknow</t>
  </si>
  <si>
    <t>unknow</t>
  </si>
  <si>
    <t>0n</t>
  </si>
  <si>
    <t>first_contact_date</t>
  </si>
  <si>
    <t>landing_page_id</t>
  </si>
  <si>
    <t>origin</t>
  </si>
  <si>
    <t>dac32acd4db4c29c230538b72f8dd87d</t>
  </si>
  <si>
    <t>88740e65d5d6b056e0cda098e1ea6313</t>
  </si>
  <si>
    <t>social</t>
  </si>
  <si>
    <t>8c18d1de7f67e60dbd64e3c07d7e9d5d</t>
  </si>
  <si>
    <t>007f9098284a86ee80ddeb25d53e0af8</t>
  </si>
  <si>
    <t>paid_search</t>
  </si>
  <si>
    <t>b4bc852d233dfefc5131f593b538befa</t>
  </si>
  <si>
    <t>a7982125ff7aa3b2054c6e44f9d28522</t>
  </si>
  <si>
    <t>organic_search</t>
  </si>
  <si>
    <t>6be030b81c75970747525b843c1ef4f8</t>
  </si>
  <si>
    <t>d45d558f0daeecf3cccdffe3c59684aa</t>
  </si>
  <si>
    <t>email</t>
  </si>
  <si>
    <t>b48ec5f3b04e9068441002a19df93c6c</t>
  </si>
  <si>
    <t>28bdfd5f057764b54c38770f95c69f2f</t>
  </si>
  <si>
    <t>22c29808c4f815213303f8933030604c</t>
  </si>
  <si>
    <t>126a0d10becbaafcb2e72ce6848cf32c</t>
  </si>
  <si>
    <t>6a110e795dd487f1cf8d7583671987af</t>
  </si>
  <si>
    <t>f76136f54d14a3345951f25b7932366b</t>
  </si>
  <si>
    <t>d51b0d02f063ba1d053db6d97226eec3</t>
  </si>
  <si>
    <t>2f838cade4a6012a6cb1016d1d8d95ed</t>
  </si>
  <si>
    <t>aeac92c0f5ae22a04ed3b746cce3a1b6</t>
  </si>
  <si>
    <t>7281942387a1a0c3f72a50a8b0bb0920</t>
  </si>
  <si>
    <t>c534e2f89539e866011e1e75adfefbfb</t>
  </si>
  <si>
    <t>f017be4dbf86243af5c1ebed0cff36a2</t>
  </si>
  <si>
    <t>c3764ab3fed8fbf556c87fdeaea744a9</t>
  </si>
  <si>
    <t>35c9b150ab36fe584c1f24fd458c453a</t>
  </si>
  <si>
    <t>2f08471dfb83baef522f952438a36f6e</t>
  </si>
  <si>
    <t>referral</t>
  </si>
  <si>
    <t>988c9372560f30a5f28f92640bb2b3da</t>
  </si>
  <si>
    <t>73f31a40697cc90a86c1273563ac230e</t>
  </si>
  <si>
    <t>1ceb590cd1e00c7ee95220971f82693d</t>
  </si>
  <si>
    <t>a5448d7164426cc7f3260a7b2001e3e6</t>
  </si>
  <si>
    <t>bdaeb752e5c3caa215ebe04c61e22325</t>
  </si>
  <si>
    <t>6dda8f32d9ddc2a9ffe87be7d361a5c9</t>
  </si>
  <si>
    <t>b76ef37428e6799c421989521c0e5077</t>
  </si>
  <si>
    <t>be8f254ef25c5a40ac8b395ed4fc6033</t>
  </si>
  <si>
    <t>1d4ddc25ccaa2adeded340b6eda66182</t>
  </si>
  <si>
    <t>3183fc21acb07e30098c42484e12d697</t>
  </si>
  <si>
    <t>direct_traffic</t>
  </si>
  <si>
    <t>8051b43253152a39fe9367c69b79b42b</t>
  </si>
  <si>
    <t>443a4c031f05c42f729a1ff2ac219b5a</t>
  </si>
  <si>
    <t>3cd2a8301d5395f21cdd3094c9eaa2f4</t>
  </si>
  <si>
    <t>e1b036022a6aaa7d187caae163216533</t>
  </si>
  <si>
    <t>caef563a428392ddc7807d2a529413b9</t>
  </si>
  <si>
    <t>29860f5735fc4987b5f8ef3ee2767847</t>
  </si>
  <si>
    <t>4bdc2dfb783f8c24c6d0d032a623febc</t>
  </si>
  <si>
    <t>6d1ca411fcbc6a21484877d59be651db</t>
  </si>
  <si>
    <t>display</t>
  </si>
  <si>
    <t>b12b646e693cbf411f8eaae5204ffdfe</t>
  </si>
  <si>
    <t>e3154fc901362537cc34b26fd18f0f05</t>
  </si>
  <si>
    <t>ece960c5dab1a015cc1cb5a419b0c63b</t>
  </si>
  <si>
    <t>f101b87d3b9adb48f2016bf059067ea2</t>
  </si>
  <si>
    <t>d83b0d0e48c8447d1d5507a44027a955</t>
  </si>
  <si>
    <t>a8b32485ea3dafd7c06f87afe4f7c6d2</t>
  </si>
  <si>
    <t>2f0bf07b716733d56ffa0b68cfe3823f</t>
  </si>
  <si>
    <t>30534107aa0013db92899c96a1017d0b</t>
  </si>
  <si>
    <t>676c0c9be43fd984c92b0ecfdab3c0d9</t>
  </si>
  <si>
    <t>15cf89bab2c3163b4f9d8601d108f8b2</t>
  </si>
  <si>
    <t>5f62b80e297edbcbfb1bb211062834e9</t>
  </si>
  <si>
    <t>b62db8fadd1b177cc5ed1d239d6e2f1e</t>
  </si>
  <si>
    <t>f0b8024455e6c0cb3ab7495325afee5c</t>
  </si>
  <si>
    <t>58326e62183c14b0c03085c33b9fdc44</t>
  </si>
  <si>
    <t>2f20c4826f9fabdb206537363642dd65</t>
  </si>
  <si>
    <t>0218f6be0b76aca72ab4d00ee9e8cf10</t>
  </si>
  <si>
    <t>65855f77bb6ee720c0a940b9cf8101a9</t>
  </si>
  <si>
    <t>e492ee5eaf1697716985cc6f33f9cd9b</t>
  </si>
  <si>
    <t>91ae48805e8e96055d454f043054059b</t>
  </si>
  <si>
    <t>899c617012fd3225c396958f91b21f84</t>
  </si>
  <si>
    <t>365aa59e779547d7e081b220f8fa67ac</t>
  </si>
  <si>
    <t>82ade9609d9915ca5e830df04b7d90e2</t>
  </si>
  <si>
    <t>1d833a78ef4b542f594ef2cd734e1d14</t>
  </si>
  <si>
    <t>d823616cbcb84fff516db22f366caaa5</t>
  </si>
  <si>
    <t>9cfc99e322c9ce9f0fcfe1843113b472</t>
  </si>
  <si>
    <t>ea0650174e273c41e12002dcdd4708be</t>
  </si>
  <si>
    <t>2b6319cb1c507418504e28bf285072ee</t>
  </si>
  <si>
    <t>4c721b2017d5fb477659ba48277446de</t>
  </si>
  <si>
    <t>5209e2e679d32a6619feb6942702fd14</t>
  </si>
  <si>
    <t>9cb7b5ea641f6919eec4a49c7957c6e0</t>
  </si>
  <si>
    <t>ee3c3bad6ed3eb9d5de56688d1f9c91b</t>
  </si>
  <si>
    <t>ce8d8333fc3f225ab596b0505fbdb2cf</t>
  </si>
  <si>
    <t>fe629597eb47defc9ff1e96bbd47277c</t>
  </si>
  <si>
    <t>656b60bbc8395b4e80dc1cc6a3cf1ef2</t>
  </si>
  <si>
    <t>0e4b276ab6c5b327772e80cc543a0049</t>
  </si>
  <si>
    <t>241f79c7a8fe0270f4fb79fcbbcd17ad</t>
  </si>
  <si>
    <t>196a347f6fbe48ecb3c53a261119729e</t>
  </si>
  <si>
    <t>a5f7caba65f90d45005f62cb85bced39</t>
  </si>
  <si>
    <t>312ec7f8d4615d6dd78477a4f581c612</t>
  </si>
  <si>
    <t>f98c2bd96ac4a5d9476734e790c91384</t>
  </si>
  <si>
    <t>56c25287be94f28752503a1cb341c896</t>
  </si>
  <si>
    <t>710ba53b0d353329706ee1bedf4b9b39</t>
  </si>
  <si>
    <t>ef0b482996664cc1107b9051efd3ca84</t>
  </si>
  <si>
    <t>80b7b0e690b99b5246e4b11990fb8184</t>
  </si>
  <si>
    <t>87732658ba41d8775e8577df347a64db</t>
  </si>
  <si>
    <t>19e733acd3ee9f9362a484e5915c132b</t>
  </si>
  <si>
    <t>b34757e1761fdbe6d687ecf4d698447a</t>
  </si>
  <si>
    <t>c2f7f172d3275d27cba772ab70ac3052</t>
  </si>
  <si>
    <t>8e7af20b649bd58357ffc4aa7cf5e88f</t>
  </si>
  <si>
    <t>96add356f09fd7a5941ebb73c114b051</t>
  </si>
  <si>
    <t>a56671a54260a44923d32c2f08fad39c</t>
  </si>
  <si>
    <t>8e952443b19bfc5d0b90e6c4eabcb8fb</t>
  </si>
  <si>
    <t>21a104c3279681d9856b8a48723c4fee</t>
  </si>
  <si>
    <t>06dc745ebe65fdc0b40a6360a1876967</t>
  </si>
  <si>
    <t>5134cb3d435ee631ad39aaa79f8874d0</t>
  </si>
  <si>
    <t>ce1a65abd0973638f1c887a6efcfa82d</t>
  </si>
  <si>
    <t>5ff3fd94bc09fae5dab3de636b8f130c</t>
  </si>
  <si>
    <t>65d9f9d71e562365e8b44037c2888d98</t>
  </si>
  <si>
    <t>4cc863f5bb92c44a3936263859171e53</t>
  </si>
  <si>
    <t>f80696b73d17fb34f5c4fde157f119d8</t>
  </si>
  <si>
    <t>other_publicities</t>
  </si>
  <si>
    <t>936c567e63dabf5ab46ed2440f376fc8</t>
  </si>
  <si>
    <t>1ca6bbff2b5e3a0f442e1407ec1c1654</t>
  </si>
  <si>
    <t>c3804daac5b8859f0975d20c9fe3370e</t>
  </si>
  <si>
    <t>707541550a71b1e700bbd4cf90677923</t>
  </si>
  <si>
    <t>a0fbc0263cb98bdb0d72b9f9f283a172</t>
  </si>
  <si>
    <t>e66d9dab8705f19bd91b48f1a6bc5487</t>
  </si>
  <si>
    <t>8631e5b91354a846f00dbbf16ad94259</t>
  </si>
  <si>
    <t>e7cdf7ba8ccaec414712f15d40280d50</t>
  </si>
  <si>
    <t>c754e5846c791d26b1c34070c41adf6e</t>
  </si>
  <si>
    <t>ac83d3f400e95a5d31e7c59d2743bf73</t>
  </si>
  <si>
    <t>30077c17f2ec5010a82e37ad8925b95f</t>
  </si>
  <si>
    <t>aa839cfb74f9e5ae2a89572a0093dd58</t>
  </si>
  <si>
    <t>a51d33efc990731cb31eb6e9bcf79670</t>
  </si>
  <si>
    <t>280d8c73b56b79f1059539da36c7ae4a</t>
  </si>
  <si>
    <t>a8de839ca3b50ef2eac03640ccf56afd</t>
  </si>
  <si>
    <t>c2411c0857a5002c42d2b16457deba2f</t>
  </si>
  <si>
    <t>2f159dfb71adadd9ed3956f59a97c248</t>
  </si>
  <si>
    <t>330b9d44078a1ae5a221d655dcb77afa</t>
  </si>
  <si>
    <t>ef4fc148f9ea60330eb0df54b1349a2d</t>
  </si>
  <si>
    <t>40dec9f3d5259a3d2dbcdab2114fae47</t>
  </si>
  <si>
    <t>09ec0f40d1fec53253882a9f9f913cbd</t>
  </si>
  <si>
    <t>38d278dbb9c22bb5190e920ce2ed5fff</t>
  </si>
  <si>
    <t>437aadef672e77658e88fa71c9bd224c</t>
  </si>
  <si>
    <t>010d18a1aeff169f741b6fe97fdd6a1d</t>
  </si>
  <si>
    <t>9c975e80ae0c16ac742ab69f9750ce6d</t>
  </si>
  <si>
    <t>56acc3070ab7205fcdb09ec5c8071dac</t>
  </si>
  <si>
    <t>c6f28f804cf6330e6de735ef6e6fe95c</t>
  </si>
  <si>
    <t>3aab3d6ff7ff48ac335703d9125ad2a7</t>
  </si>
  <si>
    <t>1722481ac9e5371e5099dea226b5421d</t>
  </si>
  <si>
    <t>fc90ef8f569ff0eecfdc2c3860ee64a1</t>
  </si>
  <si>
    <t>e7a7ba56b1be30e178cd52820e063396</t>
  </si>
  <si>
    <t>16ff2a6adf8f3b8d2ec7bb6777eac8a0</t>
  </si>
  <si>
    <t>65c6cd63f9c7a97d36b6648b1795f35e</t>
  </si>
  <si>
    <t>c24c47dd1b2e9aac64cab553d94a22d7</t>
  </si>
  <si>
    <t>e8520871e749a7ea9fb362d1805f28be</t>
  </si>
  <si>
    <t>f56fd81299f45d30fae410987983d000</t>
  </si>
  <si>
    <t>c1ca185ea0fad2ac9c1e9bf8e21c793e</t>
  </si>
  <si>
    <t>9078bbd890a90f1aa3c5e8d972394eb6</t>
  </si>
  <si>
    <t>2f384466a8f3cc12bbd45d984ff77765</t>
  </si>
  <si>
    <t>f63d6b3e439d2ef66cf77266122a88bf</t>
  </si>
  <si>
    <t>5afa3c562f5bf2eff62de390e531c25d</t>
  </si>
  <si>
    <t>943344b5f592e157b66b4b2c6843b301</t>
  </si>
  <si>
    <t>13602f4cdec52bd97a46254441b3388d</t>
  </si>
  <si>
    <t>463c7558d4ac8301f0a761f91354aad2</t>
  </si>
  <si>
    <t>4ab9470d39a8977d187d3798564676b3</t>
  </si>
  <si>
    <t>2dbebc911a1207004e14e56b7a083fc6</t>
  </si>
  <si>
    <t>955ae0c84845908d3b53f191436ec1f1</t>
  </si>
  <si>
    <t>4ce4011e6bdfd15319697206ae16ea7f</t>
  </si>
  <si>
    <t>99b00c6e27db383d844d1763dbcbfe06</t>
  </si>
  <si>
    <t>f5a6556225bb4e85ce5be5dda9d05b8a</t>
  </si>
  <si>
    <t>04e85c80a49b7b5a54537facf38a28b8</t>
  </si>
  <si>
    <t>af2de23c98a456d8fe1171e3e0395e32</t>
  </si>
  <si>
    <t>a1950012395742fd71f4fdd4cba9414e</t>
  </si>
  <si>
    <t>8a003712c92f483cef1dcb70635ebc7a</t>
  </si>
  <si>
    <t>2538ccba4cdbde6974a7a6a61c7d8f24</t>
  </si>
  <si>
    <t>01850876d34b43494b5f9879c366877b</t>
  </si>
  <si>
    <t>95fcfe6012d7851f874cde5d3cb7e980</t>
  </si>
  <si>
    <t>864a3926849a5f8043323b1a6ef0fb26</t>
  </si>
  <si>
    <t>065940d7612634b4e81f593f6ce19418</t>
  </si>
  <si>
    <t>d802a3e63c700493242d9d104389c7df</t>
  </si>
  <si>
    <t>6323b8a5b98bfda127cb1cdfd4a40fbb</t>
  </si>
  <si>
    <t>309eabc665c773760a1c0e4e318df2ad</t>
  </si>
  <si>
    <t>71d54f4b09795d02cbc6959c1145e886</t>
  </si>
  <si>
    <t>5ce25abc7206b8285aa756867eb2c590</t>
  </si>
  <si>
    <t>42c089a7e6899fe52a40bbbf7148e4e2</t>
  </si>
  <si>
    <t>232049f5aff15800ce41a9a7c4cf6730</t>
  </si>
  <si>
    <t>9221cc350ac177eee820422285504985</t>
  </si>
  <si>
    <t>0138fa79ed7cc7113e031e4ac11bd26a</t>
  </si>
  <si>
    <t>78d78a6d9952bcd96e3394f8f3c7c89d</t>
  </si>
  <si>
    <t>de5217ec03f9420c3a82973ef073279b</t>
  </si>
  <si>
    <t>e8432fb72c61c9066957124e5a420a05</t>
  </si>
  <si>
    <t>ffc87aa6d02f68087d1978176980b783</t>
  </si>
  <si>
    <t>b34c9107f787d3a7ac13ba69ce65434d</t>
  </si>
  <si>
    <t>303d834ae7ba59a8233f9b0bd60998fe</t>
  </si>
  <si>
    <t>b19589a2ef8be9a8f2f3bace66d77e77</t>
  </si>
  <si>
    <t>2f54574b6d12a25b2129c3466f9979fa</t>
  </si>
  <si>
    <t>b6885f18d203a61176418c1fb3764815</t>
  </si>
  <si>
    <t>c52caddded0b8beec90aa67a3b812622</t>
  </si>
  <si>
    <t>e1b0e6b958ea38f4dae5f9d24730ef05</t>
  </si>
  <si>
    <t>88fc9401f1a0964149d7659b140c39c7</t>
  </si>
  <si>
    <t>686e82dd914f82d16ef05415f4419d4f</t>
  </si>
  <si>
    <t>ecb369befefc67e57056c2c89ab1af20</t>
  </si>
  <si>
    <t>da14b7e2eb0d1eecf65abbd05a31c87d</t>
  </si>
  <si>
    <t>d94500cbf74c4ea234acc780c04913a2</t>
  </si>
  <si>
    <t>24a0f25cbb04c099f7ad15dfb0447ba1</t>
  </si>
  <si>
    <t>73fec6021437e723ff5adae8dff89e23</t>
  </si>
  <si>
    <t>550087d2dcb6ff5567452f2efcadb8c4</t>
  </si>
  <si>
    <t>9fa37f5177115156b1814ffc237402a6</t>
  </si>
  <si>
    <t>b3e31e79453990477407f7baa2c27d70</t>
  </si>
  <si>
    <t>5da54625ee0a9560dc9b9b9f6ccb03d0</t>
  </si>
  <si>
    <t>3f54048b64be285aa15f4347fa284817</t>
  </si>
  <si>
    <t>b250fcac4a31f0677417f892ef87f02d</t>
  </si>
  <si>
    <t>84094c9f8dc82c57cae08d3cd0acb96f</t>
  </si>
  <si>
    <t>dc26c5197ace46abe960095b7a46a8e9</t>
  </si>
  <si>
    <t>f9e00dc9c33ce95e5a4645771b81bc1d</t>
  </si>
  <si>
    <t>fd660f5d9a62d444c76191307b3a0514</t>
  </si>
  <si>
    <t>cac06d4ace00a7b39564429b57e07a72</t>
  </si>
  <si>
    <t>d256e49359ddb82dc0659cb2061cb2ee</t>
  </si>
  <si>
    <t>740bddcc602c597abda096a90ebb476a</t>
  </si>
  <si>
    <t>3eed6d27b0b2dd008c1be88cce8245fc</t>
  </si>
  <si>
    <t>27424f3a283c39027eb12a690d4b6d39</t>
  </si>
  <si>
    <t>87d670b00a8db612286ba8419cf82e83</t>
  </si>
  <si>
    <t>8155cf9d25c763ee101e424ec5cac948</t>
  </si>
  <si>
    <t>c70eb6fb5bd6e939b0d5ef32f21f61e8</t>
  </si>
  <si>
    <t>d3cc126a20cc1d4c30246461bd4424bb</t>
  </si>
  <si>
    <t>6e4fd1f8d7082b92ba9842ab88aab57e</t>
  </si>
  <si>
    <t>4a64e3c8f85fa662586e8998b3a9bb77</t>
  </si>
  <si>
    <t>eea86d31fb5dda6d18f0e716591310c4</t>
  </si>
  <si>
    <t>daa9619c6f8ed06d059265dca0f9257f</t>
  </si>
  <si>
    <t>f0d4c58768543ca9483599f6f9410980</t>
  </si>
  <si>
    <t>6ba667e88fcf8fa9c8d633ca5f198a48</t>
  </si>
  <si>
    <t>b20ec3227487235bbe4117ced1337719</t>
  </si>
  <si>
    <t>c35447dcd1a50b2e2ee3184be602b597</t>
  </si>
  <si>
    <t>051c04b3816292c5145c6fe53c025719</t>
  </si>
  <si>
    <t>dc377cb284d45f3425140456dd4cceef</t>
  </si>
  <si>
    <t>567d9451c6f346cf203e6143455a6653</t>
  </si>
  <si>
    <t>a835b85d71f258f45c97a98864ad067b</t>
  </si>
  <si>
    <t>5003a4ae7ba6a9b3f0eb6b463cf09aeb</t>
  </si>
  <si>
    <t>36b6e21a46b7b35a459bed735785772a</t>
  </si>
  <si>
    <t>d2d0cd4ce0710569cf620c2a4f598aa8</t>
  </si>
  <si>
    <t>9bcdf1b62703e7e48976eb9dd86ebb3e</t>
  </si>
  <si>
    <t>7b889da86fa368b083e6b41f1c879fa9</t>
  </si>
  <si>
    <t>f4cb9c7b1dc31afca77d4896d2ae8d4b</t>
  </si>
  <si>
    <t>4e253f59ce72377038ab855694e4903c</t>
  </si>
  <si>
    <t>a77dcf0bf420ced5e37baae9b5daffa4</t>
  </si>
  <si>
    <t>84ea3a7910c3ca971d4718adf0f707f2</t>
  </si>
  <si>
    <t>5a9fa2197c5e405543c00bd501751082</t>
  </si>
  <si>
    <t>ebb72d4bfba370aecb29bc7519c9dac2</t>
  </si>
  <si>
    <t>216cbd05fb1918ba700506718cd8d915</t>
  </si>
  <si>
    <t>ff7909ee83a27657cc43a3d5dad7c4e3</t>
  </si>
  <si>
    <t>d1905a1a023dc637956eff9364c5765e</t>
  </si>
  <si>
    <t>a9ff8314bd4af3bf87c9037dceceff53</t>
  </si>
  <si>
    <t>01262c816d03a88372753fac1d70f02d</t>
  </si>
  <si>
    <t>6e61e57c1a5ea6fa42bf249242440e91</t>
  </si>
  <si>
    <t>4b0974ddecd83fd34439a7312a609824</t>
  </si>
  <si>
    <t>8f1eb4568b6b9604a802e083eaf45f51</t>
  </si>
  <si>
    <t>595f10559cc4d7492e70cdd9ed00ba42</t>
  </si>
  <si>
    <t>36120633c8737035fbabf079082f4ec1</t>
  </si>
  <si>
    <t>4259f88ec5599c3e58266f349beceb45</t>
  </si>
  <si>
    <t>78d3e5766f355ed5b69199a2df00382b</t>
  </si>
  <si>
    <t>1f2ef44bd62ca960c9391166cae6fd3c</t>
  </si>
  <si>
    <t>388823cb9249d4cebc9d677a99e1d79d</t>
  </si>
  <si>
    <t>d3edd466842655ec6dc7ac0590baf52d</t>
  </si>
  <si>
    <t>733adfe409c752b5c200bf23fa2f22d0</t>
  </si>
  <si>
    <t>8a91157161fc4306d68471c4773a41dd</t>
  </si>
  <si>
    <t>313edefdee4adcd34e8cbec1854ba5a9</t>
  </si>
  <si>
    <t>ba08e773374e74b0609b9668df3cd163</t>
  </si>
  <si>
    <t>fbc24da54d531c6204ae2d17b1090bb1</t>
  </si>
  <si>
    <t>7bd93a032fe572ca1d65f0ea7ee5c0b5</t>
  </si>
  <si>
    <t>50c8932f79e0369ac94e06e9c6bd86e5</t>
  </si>
  <si>
    <t>3348eb92c98456b4ef8930705f073148</t>
  </si>
  <si>
    <t>dcdbbb0bb43f5c9ea457a8363db87e73</t>
  </si>
  <si>
    <t>c4a6424fad3db0bab7b55785a0c6680d</t>
  </si>
  <si>
    <t>58d2090ece6d4b4a64b9af4763e6661b</t>
  </si>
  <si>
    <t>21ec62fa8ae57a1439eec4f09c704806</t>
  </si>
  <si>
    <t>e42a14209c69c3e9cc6b042620465f12</t>
  </si>
  <si>
    <t>11c3bc83e4a0ecfb01176e866d97435f</t>
  </si>
  <si>
    <t>c858c3ad63668cb33842d65de826d804</t>
  </si>
  <si>
    <t>d3b5cb5dec3aa02af6dd16a5738b6b04</t>
  </si>
  <si>
    <t>fb58285f6f6c4e504dfa628de116cae8</t>
  </si>
  <si>
    <t>472a3b0078de94d9743715bad1d9fb90</t>
  </si>
  <si>
    <t>346137f3e0157d94372d1cafc5675908</t>
  </si>
  <si>
    <t>9d120ada9eb2da286352159f945234ef</t>
  </si>
  <si>
    <t>1694e838dffa97f640fcfa35e86e438e</t>
  </si>
  <si>
    <t>3de3b7d9e1ec9e717cf6f5182c9546ad</t>
  </si>
  <si>
    <t>d60c24a3d320c44bcd724270bc61f703</t>
  </si>
  <si>
    <t>d7de8d1ac85f7464b6f972987b047296</t>
  </si>
  <si>
    <t>5ecb50153794666e90bc04c0076b7834</t>
  </si>
  <si>
    <t>f3ed1977e3554ea76e333ff63ff2e940</t>
  </si>
  <si>
    <t>648065d6b81ecfa8cc16a36a1aadb0a1</t>
  </si>
  <si>
    <t>c89fb04b571d162cd3719a4b06ec8422</t>
  </si>
  <si>
    <t>f87153f5ba67f0dfc90e9e562afc430e</t>
  </si>
  <si>
    <t>be8e18628d3b1e19f8f9eb2ae7d913ca</t>
  </si>
  <si>
    <t>de3358cacdad583d84eb857858d15771</t>
  </si>
  <si>
    <t>f0a864c2092c2885179523674f580428</t>
  </si>
  <si>
    <t>a1c0274ecb47b9b7c3b3f97ae6756cd3</t>
  </si>
  <si>
    <t>fd8b568e665b8506d640290c654c51c7</t>
  </si>
  <si>
    <t>b65e747fd66bfc23a11308b8f52dad94</t>
  </si>
  <si>
    <t>84f11ceb99dafe222dde3767eb4fe663</t>
  </si>
  <si>
    <t>d5559420f79579b9aa701a202c4bc7eb</t>
  </si>
  <si>
    <t>5bae7561597d0a52e9b41ca506b33302</t>
  </si>
  <si>
    <t>308aa0735742812f56e74349bb84c3e8</t>
  </si>
  <si>
    <t>17e2f490c88a85e1a0872d7e5431e374</t>
  </si>
  <si>
    <t>ac10e665742d961d630f9d86307dd3b5</t>
  </si>
  <si>
    <t>263674f3b69459e3f1d42bccb8996777</t>
  </si>
  <si>
    <t>0f25be78376bbbaba8553051e980b83c</t>
  </si>
  <si>
    <t>c02235a55d85edfd632c1b009cbea94c</t>
  </si>
  <si>
    <t>227e69e4b6f590bf169f5d1eb993ebf7</t>
  </si>
  <si>
    <t>17d6278aaf26be24980654e102a111fc</t>
  </si>
  <si>
    <t>a082c0a47eb5379353243b15bf77c560</t>
  </si>
  <si>
    <t>97338d2165e7d6d9bc1348573a405642</t>
  </si>
  <si>
    <t>99ba5c4097c6b8fef5ed774a1a6714b8</t>
  </si>
  <si>
    <t>012849d3021dca5ddefa4d967324caeb</t>
  </si>
  <si>
    <t>4f7ef7308c8eb7e5e3730a15a66c0fb3</t>
  </si>
  <si>
    <t>b9121f1db9d4771da790da05438d0e05</t>
  </si>
  <si>
    <t>daceb01279633a581b12e34aa3653c6e</t>
  </si>
  <si>
    <t>93f97410020f1aeb261aa376df54f44d</t>
  </si>
  <si>
    <t>bddebc4f4d44106c427bd00695840e64</t>
  </si>
  <si>
    <t>27e5a42dc357dc9ec3ef7366ac382854</t>
  </si>
  <si>
    <t>c3d01570a1a71215cb64c07a96727e26</t>
  </si>
  <si>
    <t>ad0ca0bad566bac4acce21e459b10e16</t>
  </si>
  <si>
    <t>6c489ad0aa78ee6e196e8406aea36aae</t>
  </si>
  <si>
    <t>781a0d5b385137b6e05971f024a4d4f1</t>
  </si>
  <si>
    <t>5fd89bebd9cf4213e2b78e174d6f9c49</t>
  </si>
  <si>
    <t>649b7b8b46b254497e92038d88f6ced8</t>
  </si>
  <si>
    <t>f6b192564928a1348da491c4987e08c4</t>
  </si>
  <si>
    <t>0f09698017af107026ad0b0be011fa73</t>
  </si>
  <si>
    <t>98ca71ddc4a8306c1f822ae5123be344</t>
  </si>
  <si>
    <t>c8dd7f060ba06a66113c6fa328cc0dcb</t>
  </si>
  <si>
    <t>37d5fa050fb58c769c3d89b398687e73</t>
  </si>
  <si>
    <t>4f5a7f55aa8a4a5f912df8eda4602239</t>
  </si>
  <si>
    <t>50a695191ac05ad0599f69269cb8ce78</t>
  </si>
  <si>
    <t>682c403426855d4a7612ff724efb404a</t>
  </si>
  <si>
    <t>3f616bcb8ecb6fad8367737ff0cbcf81</t>
  </si>
  <si>
    <t>fa4dbc17e5005a96e83003e98cea1340</t>
  </si>
  <si>
    <t>6077a0d6025b48d2191714d5813492a8</t>
  </si>
  <si>
    <t>385166c2515d9fb7d6e7901f20adf8f6</t>
  </si>
  <si>
    <t>485c9dd9f966911391e65c4f24f46abe</t>
  </si>
  <si>
    <t>fc64004dee3fa6dec3cf0a018f64f1cd</t>
  </si>
  <si>
    <t>02cf7b95eaf630256990316ef6d5bcb3</t>
  </si>
  <si>
    <t>82ce7345d29d3003d376f9382fc0eba0</t>
  </si>
  <si>
    <t>fcac261edd107969dab8b6254f7716df</t>
  </si>
  <si>
    <t>0b353d6bc27566f1d238313c33d95f56</t>
  </si>
  <si>
    <t>1c4196d0ff7fe4e94bdca98fb251bc25</t>
  </si>
  <si>
    <t>d4aa3819fa81ce7edefa6cd564645656</t>
  </si>
  <si>
    <t>666c2c266ab32178f0a6e523a5be1475</t>
  </si>
  <si>
    <t>8d5679179e529f9ed2dfd332a526f51f</t>
  </si>
  <si>
    <t>53db20e7751970e0f8af8902cd7aad34</t>
  </si>
  <si>
    <t>1c866cbb2df9ad14941c2f7d1ee0b027</t>
  </si>
  <si>
    <t>4bc2d171e7cff7fa3c2c4bd0bf5dabc4</t>
  </si>
  <si>
    <t>6404292b0f9a5594edf14be71ce4c221</t>
  </si>
  <si>
    <t>cfefe028584e7a3f406e1096e7daaaff</t>
  </si>
  <si>
    <t>83ccc33d426eab8a3db70bd15aba46b8</t>
  </si>
  <si>
    <t>977f18da3bd9a7e87b4642054cd03f91</t>
  </si>
  <si>
    <t>dfeb99cdfcf6f7fc01785f979eff8ea3</t>
  </si>
  <si>
    <t>22218292bcb562cf33f2342d57952479</t>
  </si>
  <si>
    <t>46c4e6a9d4e1392f1f86747329e15ab0</t>
  </si>
  <si>
    <t>8e507f1b8fd82c2bfae43b8f3cb66ba0</t>
  </si>
  <si>
    <t>af5ac7432f2b60611a2b2081da85bdc0</t>
  </si>
  <si>
    <t>6a94e24f5ca3ea4ec201480618095de8</t>
  </si>
  <si>
    <t>4424206bb5705836a4bced27f9dfa350</t>
  </si>
  <si>
    <t>ff3416719616ad4921acb8c74e21d6f0</t>
  </si>
  <si>
    <t>a060a959e2593a9036a4a9a449f9b304</t>
  </si>
  <si>
    <t>721e54f5ec9978339e69dd3601713456</t>
  </si>
  <si>
    <t>8bc33f5058873fd28b557a2ba59a8795</t>
  </si>
  <si>
    <t>66e2c22dd0d2d4bac4dbba93ce68e639</t>
  </si>
  <si>
    <t>f4829b9504d0ec0985719d9a7e2455a2</t>
  </si>
  <si>
    <t>e534a08b23c682d94859d0ab860bd57a</t>
  </si>
  <si>
    <t>fa9032f8af3c9bd9029241db3cc8a38b</t>
  </si>
  <si>
    <t>d8eab7a13d4255428253eef1b2e64b0d</t>
  </si>
  <si>
    <t>e13538a1556c413f59514438a436b1fa</t>
  </si>
  <si>
    <t>b5ab45423ffb576accdb554b967cdad5</t>
  </si>
  <si>
    <t>b6cd08ac77c501fd6857f7916d2c24f3</t>
  </si>
  <si>
    <t>e129fb3798d317171dc9bd7d2cb43de3</t>
  </si>
  <si>
    <t>965ebc53a9938fc4cabbc213f8091bfe</t>
  </si>
  <si>
    <t>948293861c909e3437577b0388302346</t>
  </si>
  <si>
    <t>676a5420f160ad3e229d508cd3aefb1f</t>
  </si>
  <si>
    <t>2a6d26dfcf166f3e15e7bfeaaf8e55e0</t>
  </si>
  <si>
    <t>71de73700199314daad7658522640fa5</t>
  </si>
  <si>
    <t>c494978688ccf66ad9fad3d6a3338c22</t>
  </si>
  <si>
    <t>2252b347a04841cf0c35467a47d2cc29</t>
  </si>
  <si>
    <t>2a305437dff38f3b83f52900567a91ed</t>
  </si>
  <si>
    <t>173e097f39844e299a745824e4c90e04</t>
  </si>
  <si>
    <t>a2ee868039973701dbacf41a3c5af4ba</t>
  </si>
  <si>
    <t>d21f9fc127b9849fddfaf59354916108</t>
  </si>
  <si>
    <t>7db4802a643d0f1c44c58047d03b81fc</t>
  </si>
  <si>
    <t>f14155e842ad13c13a8025b93e6803e3</t>
  </si>
  <si>
    <t>5a15c204653a7a3c7f4d7b5a353761b9</t>
  </si>
  <si>
    <t>0e496a795b47fd07c94a87ad94ac683d</t>
  </si>
  <si>
    <t>cb3c4b398451886d42bcf2fcccfb3ec0</t>
  </si>
  <si>
    <t>14f5c9b660813801b453b5903af18ca7</t>
  </si>
  <si>
    <t>909e333f8f23574f93115bd3d402e202</t>
  </si>
  <si>
    <t>33326cedeb66cb0ac593d182ccd68bd0</t>
  </si>
  <si>
    <t>10becf01d442fc47e00f8d7737cebc86</t>
  </si>
  <si>
    <t>1274aec8ad9b0ae128e3c7ed01b3bd0a</t>
  </si>
  <si>
    <t>2e428b7bc6471fe638cb2aee110b8032</t>
  </si>
  <si>
    <t>4aab772aeb9833c170d8ea5413e02eac</t>
  </si>
  <si>
    <t>876c3685305c9c95d755a248bc538757</t>
  </si>
  <si>
    <t>9a8da182a6185560f43cda94c19017eb</t>
  </si>
  <si>
    <t>df99f969c517db441d373ae68b2955c9</t>
  </si>
  <si>
    <t>32b586f1cd4f9b692394beb92839893f</t>
  </si>
  <si>
    <t>79183395bdfe7ed1995bec9ac7f4390c</t>
  </si>
  <si>
    <t>b817df3a69949ef27ed885bfcbfd5125</t>
  </si>
  <si>
    <t>8515f4df7468489ed6bced112f86e360</t>
  </si>
  <si>
    <t>7e94cbdb257cdd17c06f5ccf9daf9ce0</t>
  </si>
  <si>
    <t>0b37d43dbde6452cdd94c17bf61a88e4</t>
  </si>
  <si>
    <t>0ecf4782361ab6e015c2cb6784e211f6</t>
  </si>
  <si>
    <t>ca6cc20b7975bca8f90ec5fefb85d650</t>
  </si>
  <si>
    <t>bf3c81428767d81d5d6907315cb587ee</t>
  </si>
  <si>
    <t>84938d56e120e9646c900a13a97a8e29</t>
  </si>
  <si>
    <t>9aed5f6c4e7930b325c5e4ae3b95c606</t>
  </si>
  <si>
    <t>572c4588735cdf3f37ebf333b8af21da</t>
  </si>
  <si>
    <t>1df51bfdf508045bda96f0d958cd2304</t>
  </si>
  <si>
    <t>bfd05fa9f9fe2aedee539951a84f2aaf</t>
  </si>
  <si>
    <t>7da40ff2a805afdf21de807946db633e</t>
  </si>
  <si>
    <t>dd6f55db3947b0aeaadb65a610334799</t>
  </si>
  <si>
    <t>896477f8366bf6686fbe26170b963aab</t>
  </si>
  <si>
    <t>b2c74b6da800cc1e5843266f1e2ed397</t>
  </si>
  <si>
    <t>3998f40ab605512d599d8b96550e084d</t>
  </si>
  <si>
    <t>6b30a13289b856b66874b3838f177744</t>
  </si>
  <si>
    <t>85c018bd6f55029030e522d8abc257ee</t>
  </si>
  <si>
    <t>3d0eeba9fbf04877c4a4508a64a744e7</t>
  </si>
  <si>
    <t>a3cc79744b9531687efac69c127a109c</t>
  </si>
  <si>
    <t>41e915bdc1287ca29865bcfb89f7d9ac</t>
  </si>
  <si>
    <t>2df4048783c862151dba71e1c66fabf5</t>
  </si>
  <si>
    <t>b217afa2c1f4cb502423005639878f6d</t>
  </si>
  <si>
    <t>2fe2b2d2da35bcee61d38adc72c9877b</t>
  </si>
  <si>
    <t>a8b402fa085758e3b374316a8095aeb7</t>
  </si>
  <si>
    <t>9c5e3b9262fb2d25dccd1013fa892390</t>
  </si>
  <si>
    <t>2d22e9d2d9a9c6d9b5b484af696a00ba</t>
  </si>
  <si>
    <t>f61cdbe6c7ec2049160dbb993d0702b5</t>
  </si>
  <si>
    <t>9b316a2cacfb19a4e8dcf917278bd816</t>
  </si>
  <si>
    <t>009523565f11c6c933850f411b71acf6</t>
  </si>
  <si>
    <t>d5fe8b674699f542537c1694284ea239</t>
  </si>
  <si>
    <t>71b1f7deb752aa14e2168e080eccc306</t>
  </si>
  <si>
    <t>697a66357bec1e44ce8828e6872df81a</t>
  </si>
  <si>
    <t>9cdbcc9724d284c630cf44c29ba6270a</t>
  </si>
  <si>
    <t>d334ba52f9051d625363551c6dd564e6</t>
  </si>
  <si>
    <t>9496ccbb759ca86ff2b76adb4f7672a6</t>
  </si>
  <si>
    <t>1ca029f8d52a7b0cf97a4e2b09ae4042</t>
  </si>
  <si>
    <t>23414d42e8f06e0c336782b0069ef22f</t>
  </si>
  <si>
    <t>ca03af8849850be6800c4ac485573b74</t>
  </si>
  <si>
    <t>17c7fa4c1f220efcfa8201d8e834c0ca</t>
  </si>
  <si>
    <t>39e42960b233b6999d195eae85d7290b</t>
  </si>
  <si>
    <t>a0f6825d01e9cb9eecbaca4589bff5ae</t>
  </si>
  <si>
    <t>f473cce8e1fe128830d36a2c5216b213</t>
  </si>
  <si>
    <t>bc6ed32af5e74a9eae9accaab95902fd</t>
  </si>
  <si>
    <t>ee5e316ecc89554a4609fa2f56eb3ca5</t>
  </si>
  <si>
    <t>5efb0f62e1610132b3e348846cb307f0</t>
  </si>
  <si>
    <t>bdb253b49526c46fc0002d521a469b20</t>
  </si>
  <si>
    <t>ff36b41817811eaa7d22ac0b6b435c77</t>
  </si>
  <si>
    <t>7fa6214d82e911d070f51ef79381b956</t>
  </si>
  <si>
    <t>19e3cf8b3c580aa7d8eb4d405fd3951b</t>
  </si>
  <si>
    <t>59f807bae2fef0c6f451c5b365c57a7d</t>
  </si>
  <si>
    <t>564d821b70f17d228316b4584180987c</t>
  </si>
  <si>
    <t>9d73c511c577700b0c7a8bc05e3a2b08</t>
  </si>
  <si>
    <t>890b79afd491c5448a12afa41458c240</t>
  </si>
  <si>
    <t>0db6221b4c53369646ff603fcaa8981d</t>
  </si>
  <si>
    <t>2228a43ac0bc372e25f9569e69fc9015</t>
  </si>
  <si>
    <t>435c432b351913966c38108cf077eafe</t>
  </si>
  <si>
    <t>31482ea3105f2635db24a0077677930f</t>
  </si>
  <si>
    <t>1abe906bf341f73128069e81bb1d0907</t>
  </si>
  <si>
    <t>1f06d3acecd32c5394bf8ba9911d66ea</t>
  </si>
  <si>
    <t>0b9430edcbf2d9a95148c806af2b6699</t>
  </si>
  <si>
    <t>55ae21ea938d436617a8bddffede5e3d</t>
  </si>
  <si>
    <t>dcb589befb0d245279c49c137d0afbb9</t>
  </si>
  <si>
    <t>92420e6fbfb1ab3ecd4bc48b3bfe904b</t>
  </si>
  <si>
    <t>5b6e8759af7b231482ca0b70b92ed709</t>
  </si>
  <si>
    <t>51ac44a07a22f44b4ae0895fdcf9e317</t>
  </si>
  <si>
    <t>32aa5f339eb718e348e7a33c1749b2d3</t>
  </si>
  <si>
    <t>b776976221e2566daf2ed005621f615c</t>
  </si>
  <si>
    <t>b56a4eea3b495db226888f2f89e7678f</t>
  </si>
  <si>
    <t>447cabeecc99dc245cb42be7122cba9e</t>
  </si>
  <si>
    <t>b38700450d76fa2e5c3498b9218b9bc6</t>
  </si>
  <si>
    <t>fee1ab5aff95824daa15eca2b4415fac</t>
  </si>
  <si>
    <t>bff56f6293a72deab400353bd7bee9b0</t>
  </si>
  <si>
    <t>1a3005b7edd159af4eb9c4fca0bb8767</t>
  </si>
  <si>
    <t>a1341c517cd50c93bf46e2c545a9b7af</t>
  </si>
  <si>
    <t>810f7353315b00a2900edf778bd426c9</t>
  </si>
  <si>
    <t>985638dc60b4effd06b091e80f0b42eb</t>
  </si>
  <si>
    <t>8760d018b44febe1c3bbed05489bf9f2</t>
  </si>
  <si>
    <t>f78b6f0004f7094edb7e9a63cdabbe9c</t>
  </si>
  <si>
    <t>ef86e2c126d3fbb45783c5ccd26daed2</t>
  </si>
  <si>
    <t>8b8cd5cadbd34b4c7e7be2eaf8457e3f</t>
  </si>
  <si>
    <t>4699df1b3d138637154b348ac946c963</t>
  </si>
  <si>
    <t>298895230612f85f0742434fc434ad10</t>
  </si>
  <si>
    <t>14d1fed69baf86c2a545c990bbfefcf8</t>
  </si>
  <si>
    <t>40ac95aeec79dd0944f40d8d4525fc9b</t>
  </si>
  <si>
    <t>9ad5546678148565e647bff60c2e7163</t>
  </si>
  <si>
    <t>94778b74bc99272da819df9eb2148d40</t>
  </si>
  <si>
    <t>fcf21509b5dd8503aa090c93bbc8eb2c</t>
  </si>
  <si>
    <t>207e384185cf2f7e2f4e1b2cedada218</t>
  </si>
  <si>
    <t>ef8fd2bd651e9bede81dfb6e45480793</t>
  </si>
  <si>
    <t>f1a84b794dcaf73675acbceef4b3f0a0</t>
  </si>
  <si>
    <t>2562e666dd1a56d065589ec818bda84c</t>
  </si>
  <si>
    <t>63a22f10d1d63d25eaf970d6a9c9df2a</t>
  </si>
  <si>
    <t>241393669823fc88e479a88090df91c6</t>
  </si>
  <si>
    <t>60f867113bb0db6350f596add02dec5f</t>
  </si>
  <si>
    <t>4467c5ebcc8206601625e713d31605f9</t>
  </si>
  <si>
    <t>39169088cafa898f69c7bad07a3b09b0</t>
  </si>
  <si>
    <t>27cd3540bace1f4a4b2bc6d319b0553c</t>
  </si>
  <si>
    <t>66f870cbf6b7ef5d6d1c8a3d4671e775</t>
  </si>
  <si>
    <t>73ead3de69a5f3dbe5e6010b87e68727</t>
  </si>
  <si>
    <t>4513838e626b499f475f9b488d177c55</t>
  </si>
  <si>
    <t>3f20872cfee4278dba7b3c0d18d370f8</t>
  </si>
  <si>
    <t>aa8dca2cf6b330e41c6da43a5beea921</t>
  </si>
  <si>
    <t>76607c8d892045f92be8094007e338f5</t>
  </si>
  <si>
    <t>da2c9b4ce3910da210c419517ee72bf0</t>
  </si>
  <si>
    <t>be71b27fdddb8a0fded30cb6f268bb02</t>
  </si>
  <si>
    <t>a2b45e7eaa7a1376c3fb1b13fd31620b</t>
  </si>
  <si>
    <t>e1b0f4a84e4310226c204b496b77bbe0</t>
  </si>
  <si>
    <t>10acafbe80055fee601cb0244efcb4ac</t>
  </si>
  <si>
    <t>4e82dd1f6d00626bda0723eef0a269a6</t>
  </si>
  <si>
    <t>642d5e6a547f92f86e531984aac1aa95</t>
  </si>
  <si>
    <t>6f1ae1357113c65a43d47829739fe4be</t>
  </si>
  <si>
    <t>f5b21c9f2784b783794b8c8a9f522d7e</t>
  </si>
  <si>
    <t>245b65531b938a173db059ad8f034482</t>
  </si>
  <si>
    <t>1c232b7104ba423457cad015f7bb42c8</t>
  </si>
  <si>
    <t>214b0943d4ad794c4086cf7e38785ef2</t>
  </si>
  <si>
    <t>dbda8f25d0b2e3b1d3712ac08963fadb</t>
  </si>
  <si>
    <t>8118a0ab4c07a91814ac5df70cbbaad5</t>
  </si>
  <si>
    <t>8267e42a188d644a113e0ef3e6e32020</t>
  </si>
  <si>
    <t>55e666f6c1d818430f1a5ddcca4ab724</t>
  </si>
  <si>
    <t>82034d7a5bdc3b8a2d2d08e9c9ab5c8c</t>
  </si>
  <si>
    <t>06eba2d012953dea388012e907110fc4</t>
  </si>
  <si>
    <t>8e7aec754122752b363723f8ea82b77d</t>
  </si>
  <si>
    <t>29c5509d98ea56c71fcf591468c48f4f</t>
  </si>
  <si>
    <t>872eb32141128a5320bfe7b8cf80fc14</t>
  </si>
  <si>
    <t>2ddf61febb5ca292e2da638ac260b10e</t>
  </si>
  <si>
    <t>0e99e5c4db845c8325ab6f2aa9f3278d</t>
  </si>
  <si>
    <t>57d5edb1844a746128fd1274524b94c7</t>
  </si>
  <si>
    <t>3498327ae8564a1191c4243b38616bf7</t>
  </si>
  <si>
    <t>86800fe41915de0ec2b86fe688662acd</t>
  </si>
  <si>
    <t>58f8c0a253663304e348e81298bc255e</t>
  </si>
  <si>
    <t>4dad26de916a6570f06503163a4ab660</t>
  </si>
  <si>
    <t>3a21003b9294a4eec831bac080494843</t>
  </si>
  <si>
    <t>21cdf688f400d856a6f3a37f87db1eae</t>
  </si>
  <si>
    <t>d38446cc4f5c0bef25d2270f9db29985</t>
  </si>
  <si>
    <t>e0d33c8fbfd9fe342f3449b6391b7edc</t>
  </si>
  <si>
    <t>56d271e961fd402f9b0fee53fbaa9ee9</t>
  </si>
  <si>
    <t>5f783681c04fe0eca6ff5bb7838f1107</t>
  </si>
  <si>
    <t>0bbad026ecced8f94b4e8c04ef16f62d</t>
  </si>
  <si>
    <t>69a00482c2cdb3143b81404c6258f316</t>
  </si>
  <si>
    <t>7148b36cd53dca251b2311494f5732af</t>
  </si>
  <si>
    <t>77529156285dd3c81748b9da3671a9a1</t>
  </si>
  <si>
    <t>4c219c46862037687b97c645d0eee717</t>
  </si>
  <si>
    <t>b012acb72edd7cfd750f75dfc2e37d7f</t>
  </si>
  <si>
    <t>9c135cab8c2f1452503440db201a9d61</t>
  </si>
  <si>
    <t>177e32c9135cbd89ce90cb7cebf0270c</t>
  </si>
  <si>
    <t>e05641a720572ccd068ba6a8ef9ff632</t>
  </si>
  <si>
    <t>47ebca2644fd2a35105cb3ab82a1d297</t>
  </si>
  <si>
    <t>358adb2fee9a122549618e46925a00a5</t>
  </si>
  <si>
    <t>4bad5bff81a6c882200496950260a6e1</t>
  </si>
  <si>
    <t>0e5a178e3cd2368607f3e72f46140476</t>
  </si>
  <si>
    <t>13664bf071fb4c82a02b57d546b8a90e</t>
  </si>
  <si>
    <t>e39c7820c3f76ef8ad4854ee4e2342c6</t>
  </si>
  <si>
    <t>82513eee71dec51bc9af7c445ed3add5</t>
  </si>
  <si>
    <t>f1291fd5dfbeaea377eaad66b2623961</t>
  </si>
  <si>
    <t>1e884e3078d9978e216a027ecd57fb34</t>
  </si>
  <si>
    <t>9d0231d43ebb66349e1bd614cba89796</t>
  </si>
  <si>
    <t>59a58382d7d556e4857553efb76c4bd2</t>
  </si>
  <si>
    <t>2cd87e114bd85a69b9d295e52e82460a</t>
  </si>
  <si>
    <t>45a44284115503af7ecdc4e477ef271a</t>
  </si>
  <si>
    <t>8d2dc7dfd445269bda25fb479ff8b3d9</t>
  </si>
  <si>
    <t>1cc7c66acd638596b303e700788afe91</t>
  </si>
  <si>
    <t>107806e82bffd4cdb17bf1cbe7378646</t>
  </si>
  <si>
    <t>6511fd3ad2fc59d7f907bf22b13d19e3</t>
  </si>
  <si>
    <t>f9a442c5dc2c53cac406bd330c16a63b</t>
  </si>
  <si>
    <t>fd87b82ce8683ddd634754c0d6bf0745</t>
  </si>
  <si>
    <t>7723b5164ece9e1c2e0b00c313fca49c</t>
  </si>
  <si>
    <t>4a2ad15a73d498efa82cc2893a52d08e</t>
  </si>
  <si>
    <t>dfce7d6d89ecb0e319bba7219d4addb8</t>
  </si>
  <si>
    <t>b9a5bb0159ab00fa62f31e5c956eac14</t>
  </si>
  <si>
    <t>6724698ce52c3d8c0f4ded9c1b6d5dc8</t>
  </si>
  <si>
    <t>09d1187c908982525d7590e89f672f9e</t>
  </si>
  <si>
    <t>1d204b4ef7a2a8bd9fd6897da68c9866</t>
  </si>
  <si>
    <t>301d01984fa7dce86bab6d4d613b6678</t>
  </si>
  <si>
    <t>8a25bede3b5425bb5e4dc62c66937ef0</t>
  </si>
  <si>
    <t>44cc3bcbd1ab8ca953a84ec52398a16d</t>
  </si>
  <si>
    <t>baa0ceb9d3bf8583d22479f67f86d67d</t>
  </si>
  <si>
    <t>48300fd42032d6e6256e9ee006555ce9</t>
  </si>
  <si>
    <t>f2fcaff2a0108d79b786b9a6d289a8ae</t>
  </si>
  <si>
    <t>fa6c3d0bdf9ad7f29094d15c8b054e85</t>
  </si>
  <si>
    <t>caca633d466787a2605a386d6cd58cec</t>
  </si>
  <si>
    <t>4328ad1978e9bcb7b297600e3019a5a6</t>
  </si>
  <si>
    <t>da4add037901e5a56c457a74cac7c36b</t>
  </si>
  <si>
    <t>cb836769232f3d822643080cba2b2425</t>
  </si>
  <si>
    <t>e3826792969cafc67d6c3668de89ab20</t>
  </si>
  <si>
    <t>3b0de458c502917011cdb5292f078c7a</t>
  </si>
  <si>
    <t>51ecca024748b4439e473ec446c0bef5</t>
  </si>
  <si>
    <t>2bf8d1a826659708a87d010f056ef59c</t>
  </si>
  <si>
    <t>65c9e96d17d8d12bc0ad3b2cde0bb8b7</t>
  </si>
  <si>
    <t>ba71bc595c120fca125dce3352c9ea5b</t>
  </si>
  <si>
    <t>89d60498bc014d32f5ba7f6d17a55d5c</t>
  </si>
  <si>
    <t>8a51062fb336239020a78ebbe33dca50</t>
  </si>
  <si>
    <t>4a15b66881d8ee302b6e324e1080f523</t>
  </si>
  <si>
    <t>aefa7025bcfe229ea24ac03fc9035a56</t>
  </si>
  <si>
    <t>a3d95233ab20928f0a5afe5e8b781bb7</t>
  </si>
  <si>
    <t>44ddf432eb6704a14abb1e3445a52436</t>
  </si>
  <si>
    <t>2e2992d94a06495495a1a0f62ecd9f58</t>
  </si>
  <si>
    <t>5b97f793636f8baec3ff8cd0ebf5c33c</t>
  </si>
  <si>
    <t>51edcfc8df66cc438e0903f7a5e8a1f0</t>
  </si>
  <si>
    <t>0edc241702f5e6c046cbdbc4b5ef6a13</t>
  </si>
  <si>
    <t>f1543ed948fae345d291eea0a5968985</t>
  </si>
  <si>
    <t>3bd078bc98f2cc8083b6fd77dd5eb006</t>
  </si>
  <si>
    <t>66b89e3f3e7e090a9a3c294329b421bd</t>
  </si>
  <si>
    <t>95938bd687b287423c514deeae8bf4f1</t>
  </si>
  <si>
    <t>8a6f7bff61eadc7c53c8a91cbc98b656</t>
  </si>
  <si>
    <t>023e6ab858003d6ff00592486941ba1c</t>
  </si>
  <si>
    <t>87d76d9c72d0b437182d4c27536b43c2</t>
  </si>
  <si>
    <t>fa757d4df53d4143d09ec8064b630ac0</t>
  </si>
  <si>
    <t>42a2a1be58277f162c18bad69bcc544f</t>
  </si>
  <si>
    <t>7673db7ecdcf90a19bdf92b9da1bb193</t>
  </si>
  <si>
    <t>127f75906618c4a0d33d9188ac6df110</t>
  </si>
  <si>
    <t>aa6a3c8aa592b5d8bdded3b1f8206538</t>
  </si>
  <si>
    <t>228205019b79a1a8101b261c10df7ecd</t>
  </si>
  <si>
    <t>3b86d7e8c33da2767ad2af9782f383d5</t>
  </si>
  <si>
    <t>4e746882294308d42eeed71ba0aacbf8</t>
  </si>
  <si>
    <t>33649064cd253288159fcd9af5277e3d</t>
  </si>
  <si>
    <t>898cd726567d811ec9166b950696f511</t>
  </si>
  <si>
    <t>9fee399594eedea998f1a940c8f0e280</t>
  </si>
  <si>
    <t>4ff7acc3af759d2b27ba34a457c41932</t>
  </si>
  <si>
    <t>ad991d32eb17e17007e63268f19944b6</t>
  </si>
  <si>
    <t>4754d8f63266be774e77a7268383769c</t>
  </si>
  <si>
    <t>bd9fb5bbd181adfbe45160a602053aaf</t>
  </si>
  <si>
    <t>bb4df4040cf296bb8e3e4e090827da37</t>
  </si>
  <si>
    <t>de6d03557a0274d452fc442797717b8a</t>
  </si>
  <si>
    <t>9e2820cf5cac004ea701f2a1b891cac3</t>
  </si>
  <si>
    <t>3fd7223c089a80a2ec2f18722d3d3456</t>
  </si>
  <si>
    <t>573748cf0c5fc9964b24ad2ee2134b23</t>
  </si>
  <si>
    <t>0f7f9b5535079ff1dd10737feb5e1ce3</t>
  </si>
  <si>
    <t>8adcbdcc53c6a9e4a177848a8e275dd2</t>
  </si>
  <si>
    <t>c6a46ef8d0ecdc66ea2c403bff93e5a9</t>
  </si>
  <si>
    <t>7cf3a0e4045dc8e6b2aea2319ae903f8</t>
  </si>
  <si>
    <t>981ede722a7928b3e9be985ada35c910</t>
  </si>
  <si>
    <t>c05a1a7ec49bc3608c9c8cbf57f331a6</t>
  </si>
  <si>
    <t>d499871897037516f52fb1042946e4a9</t>
  </si>
  <si>
    <t>5f38506e1ff65db7ecfd5d2086402935</t>
  </si>
  <si>
    <t>f99a72007a596c9a9ad595af3ef7a0d5</t>
  </si>
  <si>
    <t>a88e6ae496f56ff050ee2d01b3df0896</t>
  </si>
  <si>
    <t>71124d1fd1c8bb0d2998f92d8619b169</t>
  </si>
  <si>
    <t>4db3b4270aca22aa23c78c4acf712915</t>
  </si>
  <si>
    <t>7eb40e4e44fef8bff604b621119446c7</t>
  </si>
  <si>
    <t>0df5f890a1147ef1d1852fc6527e9c61</t>
  </si>
  <si>
    <t>f275c3f63affaa9fd3251140a5578ee6</t>
  </si>
  <si>
    <t>be9c28bfc4fbc30379fca89b71026787</t>
  </si>
  <si>
    <t>d9cd172570d87a489155b135f3fee210</t>
  </si>
  <si>
    <t>4672ece7941687220057152719a5e448</t>
  </si>
  <si>
    <t>4703fca5bd695de77eb2fe6728cfceba</t>
  </si>
  <si>
    <t>e63d3a30502eec110b0a2f0659774b2d</t>
  </si>
  <si>
    <t>285dbe36b6cab6c192769b2d22d9150a</t>
  </si>
  <si>
    <t>bbd5901c24b54f8de73557dc4c264c53</t>
  </si>
  <si>
    <t>cdc10a8cf689568562f9f73cd4f483bd</t>
  </si>
  <si>
    <t>9a4f82e5701102ac04970b46f099044f</t>
  </si>
  <si>
    <t>aafc43d934a043b451b1dc5a61943a6b</t>
  </si>
  <si>
    <t>0c71f0a8c36a3212e6569e6186febd41</t>
  </si>
  <si>
    <t>ffbab8235ddc5c0290ecd6ceccc0a61a</t>
  </si>
  <si>
    <t>bdd8ed95b54e6d5e0a2a642e70fe40b2</t>
  </si>
  <si>
    <t>2043d2a8fa2208b4c5f19bc6d5a94320</t>
  </si>
  <si>
    <t>e1c3d70c85702d16041f30678c9c2ba3</t>
  </si>
  <si>
    <t>c04c93a41c414f2801d74c3d5a063a34</t>
  </si>
  <si>
    <t>67ded3008683c4d2ffb93650e5944fb4</t>
  </si>
  <si>
    <t>5103dc11e9d8ccf5c2c0dd2a6254a7a4</t>
  </si>
  <si>
    <t>d1cb4bd2c18fe96d6f82f7b60d4aa0a0</t>
  </si>
  <si>
    <t>ab243ac315c8f9c55254cbafe079b3c5</t>
  </si>
  <si>
    <t>849db8ef492a08f7469cf0bdcecbc22e</t>
  </si>
  <si>
    <t>3a1f43d84d14dbfe63867595caff9b93</t>
  </si>
  <si>
    <t>53087acd60be68abef4c92b984f833f2</t>
  </si>
  <si>
    <t>4504a21322621ea6e8b2af2f6564e81a</t>
  </si>
  <si>
    <t>005b0c27e7224dabb8c1c7346ceea228</t>
  </si>
  <si>
    <t>d9020d9a5ca6747225528d00572ac845</t>
  </si>
  <si>
    <t>37cf94070e940a694969304de58debe1</t>
  </si>
  <si>
    <t>5f74f8625f41c155c6437067d78ca25e</t>
  </si>
  <si>
    <t>54b827599268bd42f5c04f317a0e0cf5</t>
  </si>
  <si>
    <t>46fdfe1db7a6965ac41dee2308681ae1</t>
  </si>
  <si>
    <t>3d9ca0e905163e9904d2f172e96ae8c8</t>
  </si>
  <si>
    <t>65f4d68a152bcdfb558e48afafe24a0a</t>
  </si>
  <si>
    <t>a376ac5ee112e4c8553fc20504bdbc3c</t>
  </si>
  <si>
    <t>42a95a86a589b3e37d7e9a739821b11a</t>
  </si>
  <si>
    <t>a6daba667aa785424adbf4ae4848f753</t>
  </si>
  <si>
    <t>5c6ad0665a39798966cb1827da181daf</t>
  </si>
  <si>
    <t>afdef57f55877167686754f14886a0de</t>
  </si>
  <si>
    <t>861288f2a22d00fd516d7d104c7349da</t>
  </si>
  <si>
    <t>abb4b1c0c6cda71595f6aedfb3f81bbe</t>
  </si>
  <si>
    <t>a6ad0162dbe1182cd73e783d0ec1ffcf</t>
  </si>
  <si>
    <t>feba0fc3e2bca1b304abb0a033cb92ea</t>
  </si>
  <si>
    <t>5c4ca203172b06327998724484e5c720</t>
  </si>
  <si>
    <t>cfdb837185d240f5ac2271882e295c23</t>
  </si>
  <si>
    <t>b6e16e5df709e3386d7df8c34dccb1d2</t>
  </si>
  <si>
    <t>75d26d22ba86382e216cf0f2ddd92745</t>
  </si>
  <si>
    <t>56be022a42b70a9b7e51755d3e3a4f22</t>
  </si>
  <si>
    <t>a6835971b07994243412ed59f9c5f310</t>
  </si>
  <si>
    <t>b44f35d2d7e1ffa2ac7aef78062d9587</t>
  </si>
  <si>
    <t>83fe595a07a8da38ace7d7f82b749d4d</t>
  </si>
  <si>
    <t>49494b2411c66c20b40c26a64449eb44</t>
  </si>
  <si>
    <t>c4c38a34e7a5cabb2449a3a281c207bd</t>
  </si>
  <si>
    <t>db6a549038935d2a7a39962afa560b10</t>
  </si>
  <si>
    <t>5270662c66e89672a771bf6f8b050389</t>
  </si>
  <si>
    <t>bc8dc2e92112275da59ba352aa5070c3</t>
  </si>
  <si>
    <t>723d8c61fce870c3474d080313a4a2fd</t>
  </si>
  <si>
    <t>eae5f13231cdefd8f5af75ceceee1401</t>
  </si>
  <si>
    <t>0a463a86a89e8ba060c74ca5474cb432</t>
  </si>
  <si>
    <t>4db72518160c7a7cdf49b12d7b6e5aa1</t>
  </si>
  <si>
    <t>60e592a5e2c587d823db52392ff1591f</t>
  </si>
  <si>
    <t>a22769dce23753889a437fb442c647db</t>
  </si>
  <si>
    <t>974aa39be46f0ba832c70a2bcf9b816c</t>
  </si>
  <si>
    <t>10f7bc59e8bff1be33feb09b6c07be1f</t>
  </si>
  <si>
    <t>3a00f5cdee3c1c6053e7b45e1a50fc9e</t>
  </si>
  <si>
    <t>2d032e6b2c84336f25b57e1fc21f6feb</t>
  </si>
  <si>
    <t>d75a2371281f42d607be43b08bd74905</t>
  </si>
  <si>
    <t>acfb944f17391575205a32619e3f9d37</t>
  </si>
  <si>
    <t>e9fb2eda3d9c55a0d89c98d6c54b5b3e</t>
  </si>
  <si>
    <t>966098efaef7a4d665be6b0cb617541b</t>
  </si>
  <si>
    <t>0e98729842c746b65e68c204d5c17c2a</t>
  </si>
  <si>
    <t>e0a30be9b1b30f4d56a2f1e1e760e536</t>
  </si>
  <si>
    <t>c4fa856e631d52fce97c4eb37d17bb19</t>
  </si>
  <si>
    <t>956d72455bdee25732b0f1966ddec813</t>
  </si>
  <si>
    <t>816f29f7fcace6a71651550c57d8705e</t>
  </si>
  <si>
    <t>3b988312366f22d4a782aee759e58e6c</t>
  </si>
  <si>
    <t>a2bf11a5cc1a2b5a58a0549dbd66fb37</t>
  </si>
  <si>
    <t>83db1518c5bd4e9bf12fdf97de0d29fc</t>
  </si>
  <si>
    <t>ca586d5ec745e3d9f7b31e948c8f5f4a</t>
  </si>
  <si>
    <t>de845b1e6c1a63150b5123dbb7fb32e1</t>
  </si>
  <si>
    <t>1b159dc50cad7253d6c91bc03c2bf33c</t>
  </si>
  <si>
    <t>0d43fc5a5096c416d3b7b492564293da</t>
  </si>
  <si>
    <t>19321216090a45a21c65ee8ea8cdddbc</t>
  </si>
  <si>
    <t>46ee5b0bf6c6c26a155a09dee995d97d</t>
  </si>
  <si>
    <t>5ffefd34956046c3be2e104f4e47f3dc</t>
  </si>
  <si>
    <t>5361754d7fa731dc4608adc1ec4c335f</t>
  </si>
  <si>
    <t>aae86d5288085041f684fca44422f4ca</t>
  </si>
  <si>
    <t>82028478fef3ab881990e8d1fb24ba3a</t>
  </si>
  <si>
    <t>e245fc8cc5805e79d2791d96c953e6c3</t>
  </si>
  <si>
    <t>ef41987246843c2a90083b63504be497</t>
  </si>
  <si>
    <t>9f13a20090198429dc55bc098d4463e5</t>
  </si>
  <si>
    <t>601ae8e23680421562ed64634e9fe39e</t>
  </si>
  <si>
    <t>085e0bffd51efe0e0b96e5f50a18a300</t>
  </si>
  <si>
    <t>f9cf9ae3220a49d08fc3d463c5802025</t>
  </si>
  <si>
    <t>0c904197b5d9590404403a50f1b3cac8</t>
  </si>
  <si>
    <t>a67f145ffbfc4cc5533ed460f7b6faac</t>
  </si>
  <si>
    <t>f92b00f4abed4326fcb772ad3f732f5d</t>
  </si>
  <si>
    <t>b7574793f15c6db2537254b5732da315</t>
  </si>
  <si>
    <t>8837549f7a615a62e4198bf3a3f4d373</t>
  </si>
  <si>
    <t>cfed54c41318d9b704a1ec1b884218b1</t>
  </si>
  <si>
    <t>a809dc00968793d620e4aa35255f09e4</t>
  </si>
  <si>
    <t>c79bafc4a099ff23e3bab1534797fb45</t>
  </si>
  <si>
    <t>66677f4c83ce59b19db2071d55955e96</t>
  </si>
  <si>
    <t>26564f3030e36772879721d72586da37</t>
  </si>
  <si>
    <t>2a085e05b575fb1e26aed5121433ecfd</t>
  </si>
  <si>
    <t>9442a913d4ec91707fa1fac69ec73e0b</t>
  </si>
  <si>
    <t>29c08ec2725d8cc323fdd68147a40703</t>
  </si>
  <si>
    <t>f79a914cd32a325350dc879760b7d36b</t>
  </si>
  <si>
    <t>8402c8d4a177b4e6c0913290cc746382</t>
  </si>
  <si>
    <t>df99a9d6cc000373e17a294faad492a7</t>
  </si>
  <si>
    <t>3972e092cea10a097976fa81c328e816</t>
  </si>
  <si>
    <t>12fab7a1d259efd5295bbbceadb09f81</t>
  </si>
  <si>
    <t>a19be16e356ec7af4662e553cc740906</t>
  </si>
  <si>
    <t>40d1075be60b9feb074947fb019cc6b4</t>
  </si>
  <si>
    <t>e834628a514af2290509181bf4348c6d</t>
  </si>
  <si>
    <t>ea7436bc091539714e3f2f5d209aca12</t>
  </si>
  <si>
    <t>44d6a44972bcfc29db930352e523d452</t>
  </si>
  <si>
    <t>297e6e1f21723046a8c1115ec1a8b8a7</t>
  </si>
  <si>
    <t>186132bda8b5f41c7dc834d063745d19</t>
  </si>
  <si>
    <t>018a80ae81cfc70723bc64b08215ef11</t>
  </si>
  <si>
    <t>ff0ff1ca67906b0ffaef9f6eaff010c6</t>
  </si>
  <si>
    <t>bb0975dd4c51e80f5a597fff07ba83bb</t>
  </si>
  <si>
    <t>d207678f6407819552de1a052f26a501</t>
  </si>
  <si>
    <t>82b0316fe69238ba989ffb36122e5325</t>
  </si>
  <si>
    <t>b73ed4d64cca3fb0e022a0204ec16f4e</t>
  </si>
  <si>
    <t>92bd5f77d493a36dac9bddb66d1b9dbf</t>
  </si>
  <si>
    <t>b9c6e101e384887cb30714d10ced8778</t>
  </si>
  <si>
    <t>cb5ee661c68128229cbc049927193fff</t>
  </si>
  <si>
    <t>30e920df8099c4feb835211451c3aa62</t>
  </si>
  <si>
    <t>8d25d9ae4ed5f78b8614b81350173e99</t>
  </si>
  <si>
    <t>b5464187e768a1db895e5df954d66a04</t>
  </si>
  <si>
    <t>8f9b9fd0f3d4fdb8e07c3c7b1640d9b7</t>
  </si>
  <si>
    <t>7f3998170c5afdabcf87fa6e94c293ae</t>
  </si>
  <si>
    <t>d5ebe74a7011130268619bc3822b5563</t>
  </si>
  <si>
    <t>f883e0d24a78b0f05da41c6dab3c54bb</t>
  </si>
  <si>
    <t>128d8c3f32b8aa66b5bcbe4e26dfc78d</t>
  </si>
  <si>
    <t>83fe2aabfbd180be2c8afde7a22b2fc4</t>
  </si>
  <si>
    <t>09dc7e8aaf2f29da382df8717f41a8b1</t>
  </si>
  <si>
    <t>e57a4a2b55f6084e09524a37d5e46f93</t>
  </si>
  <si>
    <t>25875b7c6f21696893cbceb4210b9b50</t>
  </si>
  <si>
    <t>4ffd6130f73d7f56bbb4945039a91131</t>
  </si>
  <si>
    <t>79da9938d61a8bb4ddeead82d229441a</t>
  </si>
  <si>
    <t>c555aa36478386fdf85a2d0ca5cd0ff8</t>
  </si>
  <si>
    <t>496c8bef8a3f40de71a47b3509aada52</t>
  </si>
  <si>
    <t>40578fbf4c594ee242e5cd224b077c10</t>
  </si>
  <si>
    <t>cf747f07a385ddb157f79df52898ab14</t>
  </si>
  <si>
    <t>d45121855efb5fa759a01b8def4ebe31</t>
  </si>
  <si>
    <t>21b87da0b5e900224d034469833d5fe5</t>
  </si>
  <si>
    <t>869984f8baf167efc8123bf85fc1ccb4</t>
  </si>
  <si>
    <t>97d01cde59d6cca7a0900f52c09e5f2a</t>
  </si>
  <si>
    <t>21d60b7b1e00ab1732ee88f3baa63cbb</t>
  </si>
  <si>
    <t>a5155c8274e4b6d13fe0db420a60a287</t>
  </si>
  <si>
    <t>6b73a98e257202fa19d25ef28645ac30</t>
  </si>
  <si>
    <t>67605804c28e1815f6a7fd60b111160d</t>
  </si>
  <si>
    <t>a63cc7c9ad9178c5b1dd3cbca0ce4ea7</t>
  </si>
  <si>
    <t>397dcbbb8a93272b66300d4126b4f9e9</t>
  </si>
  <si>
    <t>175f9f6b6c231ae5de90058948f6228c</t>
  </si>
  <si>
    <t>54d5e01ab35155d4bd8cf723fc6f04a0</t>
  </si>
  <si>
    <t>31bcaa3b65a96372618e75f612347515</t>
  </si>
  <si>
    <t>91e953e1309b38a7ce01e4a62fb42d08</t>
  </si>
  <si>
    <t>92719f14dfebda38d8999dff58073c44</t>
  </si>
  <si>
    <t>8e0c5ad3b0edbdad9151b03cce7344d8</t>
  </si>
  <si>
    <t>45c2d3411b9139f5c37b5041aad1ff9b</t>
  </si>
  <si>
    <t>db31b813b676603e5e69fcb94de42686</t>
  </si>
  <si>
    <t>978f19a896d0dbcd035a1ee019510d07</t>
  </si>
  <si>
    <t>3d22394c88a8a55ffd228fc505045645</t>
  </si>
  <si>
    <t>c4a8744c537cc4c5c147292d6ca84144</t>
  </si>
  <si>
    <t>fd759db147415e8a49d1ed0dfdd22f81</t>
  </si>
  <si>
    <t>9558be539e988fbb9df02fcd4dffbad7</t>
  </si>
  <si>
    <t>ab8d64834d9fad5ce41a3f03c67f8d0a</t>
  </si>
  <si>
    <t>0a30a29822b9ea4efaa92d60a93c78cb</t>
  </si>
  <si>
    <t>85a3e572a7b6fb6583d3a3106d77bcca</t>
  </si>
  <si>
    <t>221445456dc0741b4debab4d0594e541</t>
  </si>
  <si>
    <t>a07e9aab49fb5729e20495ab2d91f959</t>
  </si>
  <si>
    <t>5606841d6295e59995516e3c3342d452</t>
  </si>
  <si>
    <t>dc076eb055ef5f8a60a41b6195e9f329</t>
  </si>
  <si>
    <t>db67066cdd8d037e71380d61b1be18ef</t>
  </si>
  <si>
    <t>657ad4f3e2afdf70f27fe834691fb65a</t>
  </si>
  <si>
    <t>da1a335179b8a9784d5733c7c7ada254</t>
  </si>
  <si>
    <t>c14c96851ed657b8510e02b8d9b534bc</t>
  </si>
  <si>
    <t>08f4d6c8bd47ff6e797433afbe91ae3b</t>
  </si>
  <si>
    <t>bbf96de4c6f2f00573a56c0bec2a1cbb</t>
  </si>
  <si>
    <t>56747caf8c3f5eefb7657b3f3a105c2c</t>
  </si>
  <si>
    <t>908dad5b22342480f5cc055b8dd55e7e</t>
  </si>
  <si>
    <t>feccf7d1ccb03f33026fbdf6c7b7d110</t>
  </si>
  <si>
    <t>2cc7645821fa3f2560b783faed98646b</t>
  </si>
  <si>
    <t>68f817c510c978e3a3a7474ad2aeb75c</t>
  </si>
  <si>
    <t>e5b565ee90394bde9f504d9c6ef027d1</t>
  </si>
  <si>
    <t>b6094ce2d81a4ceef4996f3f0ea04635</t>
  </si>
  <si>
    <t>21b203a02c91d5272135dbbebe6afc00</t>
  </si>
  <si>
    <t>fd86085221addaf63ba670a35e027acf</t>
  </si>
  <si>
    <t>f7ce934a42554260ad8225c18d2b61c1</t>
  </si>
  <si>
    <t>95569a10706dbb75839b8200a084dc1b</t>
  </si>
  <si>
    <t>455465a1662bafac8a32155d1e96ec97</t>
  </si>
  <si>
    <t>dcda4faf1ee68fd824f9bdefc41b8e19</t>
  </si>
  <si>
    <t>a1f82b2345f91a09a524f048a6c1fdae</t>
  </si>
  <si>
    <t>f59dbeb3532bf7cc85d40f97588c8a80</t>
  </si>
  <si>
    <t>e14062d430df9303453e4d25fadfe4ee</t>
  </si>
  <si>
    <t>6d070738b274ed8c45fba848a4a3760b</t>
  </si>
  <si>
    <t>5cb11dbc049a66ffd24a5c7c3fa416a8</t>
  </si>
  <si>
    <t>dcba2fa3e89f266557014c55f42cb61e</t>
  </si>
  <si>
    <t>27ddb8d522a2dc74e89687bd357db5a0</t>
  </si>
  <si>
    <t>437d2c4de406d5e46cb45e9802811f31</t>
  </si>
  <si>
    <t>a83ba92c936f454cd9f11ef686461365</t>
  </si>
  <si>
    <t>5698620bc382e43590e89eefc3097d3e</t>
  </si>
  <si>
    <t>26a9c7ab6107b61166fbbc7e64756a1f</t>
  </si>
  <si>
    <t>83c46dd0894e3f13d449e8bc543a4a37</t>
  </si>
  <si>
    <t>328170a8c1c0460e8710bd970dd0ec4f</t>
  </si>
  <si>
    <t>3a019cd8c7a1346a415470e8717f0da2</t>
  </si>
  <si>
    <t>431a558885d03bf98bc3747f78cdfab7</t>
  </si>
  <si>
    <t>85410779053820c804ddc69ae4a48d9d</t>
  </si>
  <si>
    <t>8edd4451e41e482b32035dd8e8400ff4</t>
  </si>
  <si>
    <t>524e7d08e755cc664226b3d4b8660cd7</t>
  </si>
  <si>
    <t>9926b3ed9e0bc20b2ed7f32711b8b45f</t>
  </si>
  <si>
    <t>6f3d1557dc7fdf6f8ea0ca4a0cc502d5</t>
  </si>
  <si>
    <t>bcffdc3d0dc34e21090d052d44e3eb2d</t>
  </si>
  <si>
    <t>f03e241af08912ba7ffb65d69b0eb4d9</t>
  </si>
  <si>
    <t>de3236d15ff4ded7ef475b2f04b0bba3</t>
  </si>
  <si>
    <t>f32fabfd1b93d08674ebf1784ea8f3fa</t>
  </si>
  <si>
    <t>86f7d456aa5848c284f7940bdecdef5d</t>
  </si>
  <si>
    <t>5bb3c32aa0d036401034b38ce37cd827</t>
  </si>
  <si>
    <t>c328a6a2f28f2a749d76855533a60490</t>
  </si>
  <si>
    <t>f804411d398dd198bf24e255a639e4c4</t>
  </si>
  <si>
    <t>c05f0fd41e79d7811221253e0d4eadc8</t>
  </si>
  <si>
    <t>f2b08f23d02d5fff247a41982d44f02e</t>
  </si>
  <si>
    <t>adf61af6bf17e13d368bb0c47452b4f7</t>
  </si>
  <si>
    <t>d95a83ec34cfd0b4f0bcac275a26913a</t>
  </si>
  <si>
    <t>c5e0299714bda49d29f444c4ac527453</t>
  </si>
  <si>
    <t>c51bf93c175bd56cd3b60081377ab356</t>
  </si>
  <si>
    <t>ea9bfa88b4322f8cc046e06cfd8c8856</t>
  </si>
  <si>
    <t>f486fd86b3fdbf6f4f365d49c2bbe29a</t>
  </si>
  <si>
    <t>c73758de686279f745639eb7f81f6c51</t>
  </si>
  <si>
    <t>c39dcc27f640ca6303e0b82341c871c8</t>
  </si>
  <si>
    <t>a9eea24ba5eb9664c1341d21cf78476e</t>
  </si>
  <si>
    <t>8f921645a776c79989438af2d2808085</t>
  </si>
  <si>
    <t>83bfeb1d106df88a2cde0965999161f0</t>
  </si>
  <si>
    <t>5c1f56de3cc4f3e811115eb99836b35f</t>
  </si>
  <si>
    <t>013154403b9d27634b2ce368eadbe1ca</t>
  </si>
  <si>
    <t>a7290c5bd7bc2aaa7ea2b6c957ef639b</t>
  </si>
  <si>
    <t>97388f939a25aa3982d259411d298b00</t>
  </si>
  <si>
    <t>086a623619d8a698167d225ba8a1abee</t>
  </si>
  <si>
    <t>b82d949cf4a38f15b1297f97b82d0a77</t>
  </si>
  <si>
    <t>4a125a89bffe4545e9e5181a18cfd77f</t>
  </si>
  <si>
    <t>07dff1c212adc8715af99f05137ac2c4</t>
  </si>
  <si>
    <t>f7a39d7f475d5bab53e733ce5d5519f7</t>
  </si>
  <si>
    <t>91dbdf987124ca09b297bd87f06b5e64</t>
  </si>
  <si>
    <t>198179f602593e2fd985dc1063e15e0e</t>
  </si>
  <si>
    <t>9de06c877e449aa8dfc4f4c7987ddaa8</t>
  </si>
  <si>
    <t>fcccb4e7caa070417729cdb35bb71918</t>
  </si>
  <si>
    <t>60ea0bbb4ee471b6b99e8b892847a8db</t>
  </si>
  <si>
    <t>af16b3104c83b6039dfe070f8792abf0</t>
  </si>
  <si>
    <t>6feb1ebd75919b550ce9f8ac09e242cf</t>
  </si>
  <si>
    <t>717d08a84121310b4393bb0f398377e0</t>
  </si>
  <si>
    <t>ed087a7d6c3ecbd9ee310830ee8de037</t>
  </si>
  <si>
    <t>309e3fb6c98132ad9065bbadfe5c2319</t>
  </si>
  <si>
    <t>9b5d7c532f524acbb13114a74e3ff9f4</t>
  </si>
  <si>
    <t>46bd119220c8bf61324669b1d82203ac</t>
  </si>
  <si>
    <t>0714a81e02d3a314211b75189131a72a</t>
  </si>
  <si>
    <t>f9ac72d331adc4ee35df9dc97761c61e</t>
  </si>
  <si>
    <t>4e9e522510b41cda61ce6460b460fec3</t>
  </si>
  <si>
    <t>c8b5fb4ce4ccff1891d74672239e6e01</t>
  </si>
  <si>
    <t>f09244841ecac452935357c024c55e65</t>
  </si>
  <si>
    <t>34005deb3eddd8787abaa56e1febced6</t>
  </si>
  <si>
    <t>2f096f9c5b7e2483fcc661e9ca9a24ec</t>
  </si>
  <si>
    <t>fa6f59a21825d841e307151460fb0302</t>
  </si>
  <si>
    <t>94eedebf6923d613525b288f05d9e3c2</t>
  </si>
  <si>
    <t>e03b5dacc18a5945d81f8e97be4b64a3</t>
  </si>
  <si>
    <t>b66974d1cb6b6a61dc2d659ff795410d</t>
  </si>
  <si>
    <t>a0e862b5c2de0352aeb851d943e6046c</t>
  </si>
  <si>
    <t>c42af68f28d516c05caf4ef35a6c4b0c</t>
  </si>
  <si>
    <t>a7ccec2053fd3f95bade291c40ae428c</t>
  </si>
  <si>
    <t>78d936bf02c85bb88a22952a506ace4c</t>
  </si>
  <si>
    <t>66376c393ba5faa7b07d3d4a0c7e3d02</t>
  </si>
  <si>
    <t>363b27721bc30b0327f475f174615752</t>
  </si>
  <si>
    <t>d2e0cd9827a0e602372279400b09c4f5</t>
  </si>
  <si>
    <t>c91d989c82b339a78ce0c05964eb2aaf</t>
  </si>
  <si>
    <t>275a5602cd91a468a0e10c226a03a39c</t>
  </si>
  <si>
    <t>7f2f38601e18f8d94fad2b8e237cc1a7</t>
  </si>
  <si>
    <t>f343eeaff25ce857c412a552c4f160d6</t>
  </si>
  <si>
    <t>d312e6a8dd81e4a0fca59ebc3915e5e0</t>
  </si>
  <si>
    <t>e2d6345be0924a744fdca3fb01c3b313</t>
  </si>
  <si>
    <t>b4049a148eacf5ac3b5eac7c67e85758</t>
  </si>
  <si>
    <t>76d33b7836dd4396f9dd310392f570f8</t>
  </si>
  <si>
    <t>fe1e7a6ec9a1b0684752d2f5c02677dd</t>
  </si>
  <si>
    <t>b0f169f34a2db30bedfd6604058ebc4b</t>
  </si>
  <si>
    <t>f1f904947b93e2b75be65a0930d1b695</t>
  </si>
  <si>
    <t>7a0d62e6941200656929bab75aa209bf</t>
  </si>
  <si>
    <t>75b3ef7f6b2e155c5ff3a5b2c32fed80</t>
  </si>
  <si>
    <t>b9e0d988ef324486f2affe24640a10ab</t>
  </si>
  <si>
    <t>112c3ef9284e248052b90399d61b4e06</t>
  </si>
  <si>
    <t>b0e9bec72fddebfe8676e0f509ab99be</t>
  </si>
  <si>
    <t>8b38db7d180d173e34d94e7cf4f29206</t>
  </si>
  <si>
    <t>259d4db69e0d371dac1dfc193b5afaba</t>
  </si>
  <si>
    <t>86db00ea09965c14268bcb96bfa6f834</t>
  </si>
  <si>
    <t>b6ac971e55bee482346a196c2a82365a</t>
  </si>
  <si>
    <t>973f838d28efef823e04555387a25924</t>
  </si>
  <si>
    <t>356333e7a96d35ff0f200107a9317e15</t>
  </si>
  <si>
    <t>4127060f9834214ff4f97985c6227cfd</t>
  </si>
  <si>
    <t>a727afed2900c4a8b9d5d393a691419a</t>
  </si>
  <si>
    <t>7882b4948eeadbe1bdc31c45f7ba7687</t>
  </si>
  <si>
    <t>b5740085c06d098b773bfb41b7122229</t>
  </si>
  <si>
    <t>d9efa6e0a8cba54f51b61621ed310a37</t>
  </si>
  <si>
    <t>a2196b8476c66511b2155498ee241e75</t>
  </si>
  <si>
    <t>1550809bafe5147e0d9e0e8b44455bc1</t>
  </si>
  <si>
    <t>b8f0029125f1f6745f9d8fa1b6704c9f</t>
  </si>
  <si>
    <t>e47810d3bcc6fb73d2c868287ed890a2</t>
  </si>
  <si>
    <t>6265f632e27ca4d14268e0cb91ebc4a4</t>
  </si>
  <si>
    <t>2d69a2b7a27852c89b6bcafc83d1ec72</t>
  </si>
  <si>
    <t>aef2cbc9b4a4f13c44f4cd77c09c1f03</t>
  </si>
  <si>
    <t>7b81c4f46d031aa280f8293efa226a9b</t>
  </si>
  <si>
    <t>0a27b0193970757955db1cae7efb9c3a</t>
  </si>
  <si>
    <t>c016fd3539eb32d58ae4dca01b4a2061</t>
  </si>
  <si>
    <t>6745a5fdd380986045b26e7da5749c43</t>
  </si>
  <si>
    <t>ad2aea3bbd1050e84e2a0f0b9fdeea1d</t>
  </si>
  <si>
    <t>e25bf3c43cedb0dc08164d55cdff9f01</t>
  </si>
  <si>
    <t>a10118110deab18a25a4a3cb5cae6bb5</t>
  </si>
  <si>
    <t>e964a0b7ce20d152c6ecc57c706d6291</t>
  </si>
  <si>
    <t>346a524a3ac60a706ba4f27f7c2a6475</t>
  </si>
  <si>
    <t>8b33ab221257b074d1d967042ad1d9d0</t>
  </si>
  <si>
    <t>75e7422d583d668ff30498f5e81d133f</t>
  </si>
  <si>
    <t>ffb7ac22255bd36e37fe1185603892fc</t>
  </si>
  <si>
    <t>30627d0d71028dbab2dfc4335ba3ad32</t>
  </si>
  <si>
    <t>461dfd2f6d3d6f36725ac423a51c6130</t>
  </si>
  <si>
    <t>72cfa54adabf75a36f18185567aa8ea1</t>
  </si>
  <si>
    <t>1366e1015bac7aa81e30e421c14c0a7c</t>
  </si>
  <si>
    <t>c7567e4dd48114e82ef45702ccbc06c5</t>
  </si>
  <si>
    <t>c99d191b82af960a7bfab48a035d2f8b</t>
  </si>
  <si>
    <t>1762dbc29d6d9babac1c267cc49352a7</t>
  </si>
  <si>
    <t>290db70122024b966676c5ca55e67d21</t>
  </si>
  <si>
    <t>55803f966202bb45829744de092b2f02</t>
  </si>
  <si>
    <t>978c1e23fffde1ea092c5102de17a9ad</t>
  </si>
  <si>
    <t>169d604b03277538918ae404ac1c7563</t>
  </si>
  <si>
    <t>a8d83990b2b2f804f8e53c0b7ddec7b0</t>
  </si>
  <si>
    <t>04a75b75d5f4f3a16b0178fbe382da00</t>
  </si>
  <si>
    <t>11f9561f8cf5af78b81f69e21f3b5dac</t>
  </si>
  <si>
    <t>75fb85412ecc9c9f7ffaea255d37156d</t>
  </si>
  <si>
    <t>6530afc263e3e7b336571433b7dc1266</t>
  </si>
  <si>
    <t>862090b94c4637688088941f122041df</t>
  </si>
  <si>
    <t>16e74256ed61ce3a8d436b7d5e56d5bb</t>
  </si>
  <si>
    <t>0098df6528e402d2ee740ec568c27967</t>
  </si>
  <si>
    <t>50db11aa262d58e9515e117bf6edebcc</t>
  </si>
  <si>
    <t>2b9a3dc9e24557b457a54df977f21cd1</t>
  </si>
  <si>
    <t>1c97011ef06a98042c1f735107ede8eb</t>
  </si>
  <si>
    <t>5bd7f2feff1f11170a507fcd0c0e9734</t>
  </si>
  <si>
    <t>eda5fe1762293c38fb40f42774a274c4</t>
  </si>
  <si>
    <t>e4d389f76e3864155803e570df25c060</t>
  </si>
  <si>
    <t>5105a11a2ab1ae9d7515e9ba9178d15e</t>
  </si>
  <si>
    <t>15bfa7afabd1570846f5aa93a08b6503</t>
  </si>
  <si>
    <t>bbe5f8f0ea71bc8a0b91e1307e3f74ab</t>
  </si>
  <si>
    <t>3cdd5d87d8de847170314268ced43126</t>
  </si>
  <si>
    <t>7ad0732636df966fa9dbf2ced5eb721d</t>
  </si>
  <si>
    <t>45402d4ff8981a182dcfc4813600961f</t>
  </si>
  <si>
    <t>bc385735bef9ffc1374561fa59c09f1c</t>
  </si>
  <si>
    <t>26ec59f975f3c0091b154025dc43a226</t>
  </si>
  <si>
    <t>40d91fc632f712a7132d439f390087b3</t>
  </si>
  <si>
    <t>33ba731f56849d09c6ba6947245b1df9</t>
  </si>
  <si>
    <t>e0d4257499d364fe49a49c0f4a7b5380</t>
  </si>
  <si>
    <t>3210b2894c0c5903d6ebffa089adb2ba</t>
  </si>
  <si>
    <t>6022410d9c4a0f83f8f2717b50f6a51f</t>
  </si>
  <si>
    <t>cea2057aa773cb64e04f7a0bfae95f51</t>
  </si>
  <si>
    <t>f60244ec97d110c8e60e2eace9617a74</t>
  </si>
  <si>
    <t>404fad250f9e44794bad565785d71bfc</t>
  </si>
  <si>
    <t>230bf796d713db7832df3bda27c44978</t>
  </si>
  <si>
    <t>50d0d501abae70eb194840597d4586b7</t>
  </si>
  <si>
    <t>de49b5a73de3b19b3339700fe733886c</t>
  </si>
  <si>
    <t>5d156163616be03a50d2a546fa2068b2</t>
  </si>
  <si>
    <t>1ef127809b52c45cab60e2f03589d8eb</t>
  </si>
  <si>
    <t>9f2dab581c42e1381065d4d6dbd75d1a</t>
  </si>
  <si>
    <t>3c2039db61fe90adf34f25f38deb893a</t>
  </si>
  <si>
    <t>ddd3ac78a14a615e003287228c6ecff0</t>
  </si>
  <si>
    <t>05c0ea71086013588050cb7762de5385</t>
  </si>
  <si>
    <t>ae3957e98c48990c5f6448c1db3a0627</t>
  </si>
  <si>
    <t>b03d078b859d32d6b12b3e491acaf978</t>
  </si>
  <si>
    <t>d096df64444d0d19256d35a7194b3692</t>
  </si>
  <si>
    <t>3f3196b43b4af9aafbe878f6a1bbc7bd</t>
  </si>
  <si>
    <t>5952ec3c4ee2b4cef6e2ca4e131a54eb</t>
  </si>
  <si>
    <t>d7b34cc18c3b1c0a53acf0987d834a31</t>
  </si>
  <si>
    <t>8eb100008e421f50e5928029cef07c4e</t>
  </si>
  <si>
    <t>6631b5b5d6b9c2e370c06d79f5a6807f</t>
  </si>
  <si>
    <t>7ea51fd2f0dd47dff6eb12321e54e9b0</t>
  </si>
  <si>
    <t>1cccb6d5cd38e1c3e19e5bcaa50b13ab</t>
  </si>
  <si>
    <t>edd2289fd0896ff85ee28cd771391c8a</t>
  </si>
  <si>
    <t>00da3036c4f9e0858880633f661aaf27</t>
  </si>
  <si>
    <t>50db8f7c19b932be1685af9bdcce5542</t>
  </si>
  <si>
    <t>e66b1a672cde79b5b85580e3ae0d4ee6</t>
  </si>
  <si>
    <t>c30d0b4337fd05444a3fe502562508d1</t>
  </si>
  <si>
    <t>4d33696e6c41cca92b4cda58b63fc5f8</t>
  </si>
  <si>
    <t>24d8bb61f5e86f7cbee14fc015f3ef91</t>
  </si>
  <si>
    <t>146e076b71a6ca8c31b34191182a313a</t>
  </si>
  <si>
    <t>4c86f3bbcab249f879058d1825887571</t>
  </si>
  <si>
    <t>04a7dfa903d6e9fe93d5ad37913ad5ff</t>
  </si>
  <si>
    <t>37a02e4012f8ec6fc59da19e05d983e3</t>
  </si>
  <si>
    <t>bb82a22ca4d20daaa9794e3d540fbae4</t>
  </si>
  <si>
    <t>5cdc523d03ffbf758669c99bfa179412</t>
  </si>
  <si>
    <t>93ef614de3d8b9d2c590399c13ba8ca5</t>
  </si>
  <si>
    <t>7b8106a8b4d2982573b70980cbb01e9d</t>
  </si>
  <si>
    <t>629cbc850fdffd979db78d9d37b2bab1</t>
  </si>
  <si>
    <t>5dc848e7dd9418dffe183215b8ff0bc1</t>
  </si>
  <si>
    <t>ff4776b449efb88b35fbf6187af9771e</t>
  </si>
  <si>
    <t>3f5cd3a48812c9fd54fba7f63d556f3e</t>
  </si>
  <si>
    <t>2e84ebc35438eb47630f2fae4218c9c7</t>
  </si>
  <si>
    <t>403965e22c311cf3c37ebc98554b1ece</t>
  </si>
  <si>
    <t>7dcf8773e0db912ac8a9bd8914aed99e</t>
  </si>
  <si>
    <t>6eb92cc1c99e196f336ba3faeb39e406</t>
  </si>
  <si>
    <t>5f19ffe2f1b27b4672e5f7ff2a51af5c</t>
  </si>
  <si>
    <t>895b30f8db1d2f84563ead6d70006610</t>
  </si>
  <si>
    <t>1757d9028d955d5b9b82e1b42cca0ef1</t>
  </si>
  <si>
    <t>bb4ea12f999f3e1c0df45ab2983be5df</t>
  </si>
  <si>
    <t>24f964b60f64963fc3cdd10f611fb33d</t>
  </si>
  <si>
    <t>1b08dce51a8c1681b8d7f4b86cc9717b</t>
  </si>
  <si>
    <t>6948fe29bc5c515c2c99aac111cbd38c</t>
  </si>
  <si>
    <t>92d96da583b3bf0ca7d61ab3b3aba04b</t>
  </si>
  <si>
    <t>b28fefe9233a0ac0c53fc319b7efd173</t>
  </si>
  <si>
    <t>d471ba80482c93d408c57f0974b23a1e</t>
  </si>
  <si>
    <t>5e63931027e6805374c67e5988189028</t>
  </si>
  <si>
    <t>33349564c6c0e03cbffb25daa4306146</t>
  </si>
  <si>
    <t>cab0c1402ec2d5a5301511ab089a08bf</t>
  </si>
  <si>
    <t>9717b5c8bd4b8dc15925b7d42a7a9c0d</t>
  </si>
  <si>
    <t>55a2471ff102d6ea6bd23c81aafdfd43</t>
  </si>
  <si>
    <t>63394a27949763b1e3b3673c4d5e61f9</t>
  </si>
  <si>
    <t>26ca4566b6f8f55b3e3f3c3017cf9ea5</t>
  </si>
  <si>
    <t>af5f1871fc32857b6d868452b4addac7</t>
  </si>
  <si>
    <t>db6524c4a8064e962d4872a08ce72ade</t>
  </si>
  <si>
    <t>c1e000f0f70af6da22b19b49d4b24c70</t>
  </si>
  <si>
    <t>1ef3fd934ccdc49332e769d5fe78898c</t>
  </si>
  <si>
    <t>d5e542d0cb4e169047663d1992d70b9d</t>
  </si>
  <si>
    <t>4a7cdecb36f1883e327ca80148e25aa1</t>
  </si>
  <si>
    <t>5e0ea6610737837cc0769d4ea0551596</t>
  </si>
  <si>
    <t>c228e05a162982e790422967519ea890</t>
  </si>
  <si>
    <t>463305739b212edcd50d4df28ea21663</t>
  </si>
  <si>
    <t>21de0cb3f150ce7676be632a53580651</t>
  </si>
  <si>
    <t>dfeed5742a04ec1bfc9f9593b880aa12</t>
  </si>
  <si>
    <t>105aac7339ea6074ed9d912c0d10d67e</t>
  </si>
  <si>
    <t>e93e6ba172e4c6aa479e17761815cc85</t>
  </si>
  <si>
    <t>34f37c5fa2c142604f077d13f75523b9</t>
  </si>
  <si>
    <t>506f8a18fcde16165fdd041fed015cf1</t>
  </si>
  <si>
    <t>adc30bf749ee156b113a1e1dab27f91a</t>
  </si>
  <si>
    <t>7f306704b558d9577d8c9059f208ab6e</t>
  </si>
  <si>
    <t>ae959a9413c2d11d535aadcb3ae82f1b</t>
  </si>
  <si>
    <t>0bdfd4449d186fec3afb907865fad651</t>
  </si>
  <si>
    <t>15a5c746ca97f09ab5927dd5b40ca139</t>
  </si>
  <si>
    <t>091079d1b3a9ba6ebd800051147f6010</t>
  </si>
  <si>
    <t>23b6ccd661757295a41abd6a7ee3ac2d</t>
  </si>
  <si>
    <t>2a0cd96109ce91ee405ae528cf582e19</t>
  </si>
  <si>
    <t>41fb4745f106d34e5a5f7b700e30feb3</t>
  </si>
  <si>
    <t>efbd774fdce204077f64ad083665abb0</t>
  </si>
  <si>
    <t>43b5de4ac59492eb8ad4deb02a18198c</t>
  </si>
  <si>
    <t>7aa3fe3a2565cc27c69257a8b9d4ed1d</t>
  </si>
  <si>
    <t>17063277217449d39e2328a007ffb4fa</t>
  </si>
  <si>
    <t>636fa06b74cdd6a17452e1e1ece7e7d7</t>
  </si>
  <si>
    <t>d63c989b3b971b08b95c11f2fa295df1</t>
  </si>
  <si>
    <t>53a8e03961d92239555b13a05ac0c34a</t>
  </si>
  <si>
    <t>d82c11ec1571cc49a9e5d67285a26668</t>
  </si>
  <si>
    <t>398b98b77e0c7a4c313abc6e47fb273b</t>
  </si>
  <si>
    <t>73105c8bf5befe6ed16aa409c2740f43</t>
  </si>
  <si>
    <t>673a52f787cc434410519234173933fc</t>
  </si>
  <si>
    <t>1ff69bc1abf8681a2fbff7326f86f76f</t>
  </si>
  <si>
    <t>d847776976cb4d14fd28d53d9f326190</t>
  </si>
  <si>
    <t>d3f55ce52ff78d715fd61df010baf1db</t>
  </si>
  <si>
    <t>b90418472b108bc0ac07f556d5b373aa</t>
  </si>
  <si>
    <t>c6e98355ec601730cd195703b39ca84e</t>
  </si>
  <si>
    <t>32fb0afb79c483a66f39391a80354f8c</t>
  </si>
  <si>
    <t>1c79da625be0f2c37dd1f2f67f668889</t>
  </si>
  <si>
    <t>dc6306ef41e110ee3d74f175884f61ed</t>
  </si>
  <si>
    <t>0737b0147c6c1a0b30a476f3da728d5c</t>
  </si>
  <si>
    <t>92740316e784a1ffbc6263cda396b05a</t>
  </si>
  <si>
    <t>8fcbcbf224af35d5f956a1a130552b59</t>
  </si>
  <si>
    <t>fa5a0151e1f37d0055a3478fbb48827a</t>
  </si>
  <si>
    <t>2d00ce98adf1abcedcf3cecb0859343a</t>
  </si>
  <si>
    <t>110878f7699ae319728029f4e7bbe81c</t>
  </si>
  <si>
    <t>243e8373034964abf7c8a8e57d4df724</t>
  </si>
  <si>
    <t>60eefdd92947076e89f98d7f4ddec6c9</t>
  </si>
  <si>
    <t>70ec46107cccca89acfcb488be2328c0</t>
  </si>
  <si>
    <t>253c51690efe34b79a8e2b516effa8cc</t>
  </si>
  <si>
    <t>a733c7e8f35aab5ad6aa2a31a9b47ded</t>
  </si>
  <si>
    <t>9b095e0906047abe5d69950086857a14</t>
  </si>
  <si>
    <t>4ed6bf4ac34e75c7c81fcf829d96b739</t>
  </si>
  <si>
    <t>4f96fd60ac7a551d3c509e7739878bd1</t>
  </si>
  <si>
    <t>c2ea9ab296477ed6346856f41c9aa5da</t>
  </si>
  <si>
    <t>acbb442d0145ef4921b6dc5cdde84e5b</t>
  </si>
  <si>
    <t>bc38ff054dd41e49610d737186e4d950</t>
  </si>
  <si>
    <t>7455352c702492ca6c1490cb27e257a6</t>
  </si>
  <si>
    <t>bd8af78a63f6fee6292cc0d34960e53d</t>
  </si>
  <si>
    <t>3fb3b5b3befc8ef715a2c1674bf8eaf6</t>
  </si>
  <si>
    <t>ef6ae7014c36fec7aaef615a3136b2d8</t>
  </si>
  <si>
    <t>f7e1cf2f7f76693cd4ee62bf949c6253</t>
  </si>
  <si>
    <t>98eb573ff019b2f5725efdcf36dc19f3</t>
  </si>
  <si>
    <t>f32196295a6f0c13d5bedc880d3d66a2</t>
  </si>
  <si>
    <t>21bd61bdd9d7ba7b0f5c6b806ec01262</t>
  </si>
  <si>
    <t>d6a7c7617be97c79d7d430463fa6af8f</t>
  </si>
  <si>
    <t>5960cf39a08b52bb6025b44882fdda9f</t>
  </si>
  <si>
    <t>9182e0bb1a9048d6d7440d0d87aae908</t>
  </si>
  <si>
    <t>3f6de4da8480ac363897d3ea0d5144e5</t>
  </si>
  <si>
    <t>cac2d36868fd45ce175dfe731aa5bf6b</t>
  </si>
  <si>
    <t>257140f87c7ec789e6636922eb99e0f9</t>
  </si>
  <si>
    <t>2e47f4385a807ff9ad7aaf942cb7b5c1</t>
  </si>
  <si>
    <t>e67c9c9d189a609afda017789ad68df7</t>
  </si>
  <si>
    <t>655f4d36484b23f8feb1aaa25d9765d7</t>
  </si>
  <si>
    <t>0c00a73bbdd4dfeff6c260e3880bd8e5</t>
  </si>
  <si>
    <t>ecc36b943a84ebcd3ab633cbe0fb1b9b</t>
  </si>
  <si>
    <t>4da9f2c82997b1df03a32770b2189a60</t>
  </si>
  <si>
    <t>a026d46bd57a1406c5e5931c907d25f1</t>
  </si>
  <si>
    <t>2db351ad40df79806c20fc4038ae1f38</t>
  </si>
  <si>
    <t>6b193c9c6c6065dc86212c6e17e42b71</t>
  </si>
  <si>
    <t>7e17d1a0db048c466ba0a15fffaaa247</t>
  </si>
  <si>
    <t>a95a2a8238e3fb596c9a16068c05093b</t>
  </si>
  <si>
    <t>f1ea1dba2729513fef2fb358409f091c</t>
  </si>
  <si>
    <t>02cf3aa212b27f63c1118824536e406d</t>
  </si>
  <si>
    <t>e5337b6705bcd3099129719cee0d46e4</t>
  </si>
  <si>
    <t>75b2b235a1a34fba3f4e6e64adf8532c</t>
  </si>
  <si>
    <t>475fe344558ed5c6e41b4bf1f330bc49</t>
  </si>
  <si>
    <t>c8aeda90efcb4fc4ff5ab2c92ee5b98f</t>
  </si>
  <si>
    <t>44cfe43185dcc68d637a9a0580c04a8f</t>
  </si>
  <si>
    <t>03ea1650a51bb2cba14bb6fe15c12b46</t>
  </si>
  <si>
    <t>e909f4555009667712db532a9b58f118</t>
  </si>
  <si>
    <t>f6276420f0e05d929d71f1dffe6705ea</t>
  </si>
  <si>
    <t>19b837f06cf349de37a3df0f699ba9e8</t>
  </si>
  <si>
    <t>56852300c43eeb8674290c2d6f383a30</t>
  </si>
  <si>
    <t>dafec09efd4f106ce6a1ea20db24e9ac</t>
  </si>
  <si>
    <t>0c0628d88467dd0051bcd8b2565b619d</t>
  </si>
  <si>
    <t>317eed7b9af1dd5cec93d719de4ce692</t>
  </si>
  <si>
    <t>beb405c52d26c065acc78d558251e512</t>
  </si>
  <si>
    <t>5d9e37d3db09f8460ba8ef65b16596ca</t>
  </si>
  <si>
    <t>b71bde8a99f154ed2c35313785acdba1</t>
  </si>
  <si>
    <t>0f3839dc22ff5ad19a6b74203fac591f</t>
  </si>
  <si>
    <t>75560d233c17e9fa82e0ab093a5ed4a8</t>
  </si>
  <si>
    <t>efd2af1e8c77adeed83c6acbc9eb341d</t>
  </si>
  <si>
    <t>3d671c44aaf732ed6e2244e073b59874</t>
  </si>
  <si>
    <t>8bcd446a0b16ce6dbefa3acf438dc512</t>
  </si>
  <si>
    <t>440100b44ff391ac670eb590ea7f8a77</t>
  </si>
  <si>
    <t>60c8179fad5be6d39b73660ca24c8d65</t>
  </si>
  <si>
    <t>63355b003224fe06badbd9de99644792</t>
  </si>
  <si>
    <t>cdfa2a96a87edf9ea00d4e1a0cd0fb09</t>
  </si>
  <si>
    <t>fd393a96c037e4b04a6c26097df9a2a7</t>
  </si>
  <si>
    <t>d00ee48c45cc306b2b1db3385024a6b6</t>
  </si>
  <si>
    <t>a9c5f75099f100a8ba27d64b5e705660</t>
  </si>
  <si>
    <t>233ef77892bb386fb2986bb8e840b025</t>
  </si>
  <si>
    <t>93978cb97ec047e348cad39ee701fe8c</t>
  </si>
  <si>
    <t>906fec3cca7ccc130fa2b1844aa10126</t>
  </si>
  <si>
    <t>796e73dfbfd1d95967d2d55fce773f97</t>
  </si>
  <si>
    <t>6f7b9e11d7c19b10334ddbb8ef024c9f</t>
  </si>
  <si>
    <t>e0d41e6d874fd065008378950917bca3</t>
  </si>
  <si>
    <t>f9a4d59fbd83efbe070482a566ec890b</t>
  </si>
  <si>
    <t>2204d1cf0ec6a0cf20f7342e99d88ec8</t>
  </si>
  <si>
    <t>5ac93bfefcaa86acb77acbefd55d659a</t>
  </si>
  <si>
    <t>946b8b29fca37c91f751df320d80f000</t>
  </si>
  <si>
    <t>f9ae0edbbb69c65b4ba6a4df582eb206</t>
  </si>
  <si>
    <t>d75329ccac3548b31b25ded9fde8866f</t>
  </si>
  <si>
    <t>3f43b741e9c8523c43e3370be32f2c0a</t>
  </si>
  <si>
    <t>05428fe4b2f7f9fad3fc1702c51b4c43</t>
  </si>
  <si>
    <t>35f27037d233966a4a849da1e3123cb9</t>
  </si>
  <si>
    <t>bb778214b2a20abaa285a6c9fe4e4551</t>
  </si>
  <si>
    <t>1da5aeb9fbb52788e0ec7c962878e92d</t>
  </si>
  <si>
    <t>1428cffdf4fe3ecf27886add1dec470c</t>
  </si>
  <si>
    <t>ddef33a1e82f0e79190e9b09bd1797eb</t>
  </si>
  <si>
    <t>4f19d2e558b63233df9468a27512797c</t>
  </si>
  <si>
    <t>ca1e7c16062816dd5c888af7ea5afa0b</t>
  </si>
  <si>
    <t>34397a04ace45dd67fc43e09871ff3a5</t>
  </si>
  <si>
    <t>b16e34cc63d75ffc0e29ef3229802db9</t>
  </si>
  <si>
    <t>b08895656b247052add65727526fc044</t>
  </si>
  <si>
    <t>104a1942ed09ee1cc3f7cf16c23ff10e</t>
  </si>
  <si>
    <t>e7707ca4606e44620b2cf0e8ba7357d6</t>
  </si>
  <si>
    <t>3637d3fd9b55ccec2ee694e7e450cd6d</t>
  </si>
  <si>
    <t>6d2a6eec14654f8703f26fe2c77636b4</t>
  </si>
  <si>
    <t>111313f5b9ceedf17ab5af7317a9f9bc</t>
  </si>
  <si>
    <t>08178acdaf59fb8ef375c94d8977cc93</t>
  </si>
  <si>
    <t>d0ab3eaa2d0af7efe82a485a26fb2705</t>
  </si>
  <si>
    <t>363ed890155b2eeda0aa492cc52e3d34</t>
  </si>
  <si>
    <t>7259b9dc88dc397f8a98ab5ce6ce0ab7</t>
  </si>
  <si>
    <t>1d1e4bb3d3850bdaed43f37ed1b501ac</t>
  </si>
  <si>
    <t>ea290b1287e57f0e4583722a27a560fc</t>
  </si>
  <si>
    <t>debcfcbcdbc48a17e199bca9d040a4d2</t>
  </si>
  <si>
    <t>556dd6e75400f8f61f8e864ebef83147</t>
  </si>
  <si>
    <t>3570b5f72981d5b8610852a8d33a6f27</t>
  </si>
  <si>
    <t>211521eb56443380d6a56187203ab1f2</t>
  </si>
  <si>
    <t>72321155cd8e47d3bb0f0801f5024f9f</t>
  </si>
  <si>
    <t>b44d4a198e1a6f8a50e48ba713684725</t>
  </si>
  <si>
    <t>3e7748adb8d637c8809075afde6f6e3f</t>
  </si>
  <si>
    <t>56497e4ee7adaa68126174b985b7081c</t>
  </si>
  <si>
    <t>3f4f8e5619fbbf55669bece66b224fc5</t>
  </si>
  <si>
    <t>ab01c498f45599c8f8df1d98c3f60fa2</t>
  </si>
  <si>
    <t>e6ca77b059a8ec5a7842944270fbe749</t>
  </si>
  <si>
    <t>b9dcc879795a73205c53d040d5fb1168</t>
  </si>
  <si>
    <t>a49fd603d1749c04310a609de0235e32</t>
  </si>
  <si>
    <t>64ca07cd423602e0a1806f17f6c51e43</t>
  </si>
  <si>
    <t>d1bad8bf984bd4d7ee08f814ca589897</t>
  </si>
  <si>
    <t>adaedfcb189c2913db383791af9b8ec3</t>
  </si>
  <si>
    <t>3d75f6dd34b968151b3e86c9e28f1379</t>
  </si>
  <si>
    <t>45ec40b01a59e8f10dd49b290314c22e</t>
  </si>
  <si>
    <t>88265682f64ddb514c09888a3a37c511</t>
  </si>
  <si>
    <t>0a946f83fbafa9ebf3d1c1083a6d865b</t>
  </si>
  <si>
    <t>eae815dbac9ddb49fcf84c3acb52ba08</t>
  </si>
  <si>
    <t>bc02c3189f98e081dc7884feac82de6e</t>
  </si>
  <si>
    <t>c55267f7bb895914a9181a94a0d9b4c3</t>
  </si>
  <si>
    <t>f559078e976df9bade3f5025d1fe8937</t>
  </si>
  <si>
    <t>190179748dab1f6aefe985b7e604e609</t>
  </si>
  <si>
    <t>92ca5b52d16fb8dc75da8d84deacf408</t>
  </si>
  <si>
    <t>378a1f96defa50e36f4b9ae38b26d89a</t>
  </si>
  <si>
    <t>d4e4e52a55cf98172a6d70734dbe990d</t>
  </si>
  <si>
    <t>fdf1f7b57190c3ca663b9ccd301168f8</t>
  </si>
  <si>
    <t>57fb60bd7737412b1e8f63c3447dfc54</t>
  </si>
  <si>
    <t>07d295b50a9c16f891eb1a52ea0372fe</t>
  </si>
  <si>
    <t>afba8d857844affddbc32772d3a37db7</t>
  </si>
  <si>
    <t>cb049134a163b197ad8f8df03af26d63</t>
  </si>
  <si>
    <t>85f36986fcf19e99df36ca4800f95e06</t>
  </si>
  <si>
    <t>46433ef1f34731171c310acd7957a45c</t>
  </si>
  <si>
    <t>180609d5d1fb1fa579476ecd5ce27ca0</t>
  </si>
  <si>
    <t>7067338bcbd7695a74e4950d00e5b482</t>
  </si>
  <si>
    <t>4ec11cfb0a8123dcd558ab02e344dde4</t>
  </si>
  <si>
    <t>0941839a257545ab919cd01ae3e568b5</t>
  </si>
  <si>
    <t>ebea519cc0cae7f746ec818c8df32992</t>
  </si>
  <si>
    <t>2a5a60a4e38015ebb237c7ba7a2e1b37</t>
  </si>
  <si>
    <t>0fda99c667e8b6592d5248d63138de4a</t>
  </si>
  <si>
    <t>681e15ddeaa298b2ac93ad6261ce516b</t>
  </si>
  <si>
    <t>58c77ebccfe901ecb02789124bee6608</t>
  </si>
  <si>
    <t>a7d4a7daba9fa97ca03fe5fe2a785992</t>
  </si>
  <si>
    <t>0498053f58d3e4244a3f19e81ebf90d9</t>
  </si>
  <si>
    <t>49346cd649e3199f6c0eb9a908894a55</t>
  </si>
  <si>
    <t>c306791fb7d2c4488fd53630c7e5e91d</t>
  </si>
  <si>
    <t>687338c1e79c2acc2b2bbf9fe0542e62</t>
  </si>
  <si>
    <t>85b88bc0f811d78392c3f2fdc45f9ee2</t>
  </si>
  <si>
    <t>115bf41df324b0f46b72bd091ce4c00e</t>
  </si>
  <si>
    <t>758daa2c01d04b06f42a8aa819ad8d46</t>
  </si>
  <si>
    <t>46aced6c94e6edd349cd1e5ce4435c15</t>
  </si>
  <si>
    <t>c7f370703e480b4af59e0d2c218ab12b</t>
  </si>
  <si>
    <t>ea7ca86ff9188a64b1b84078b60cb9e9</t>
  </si>
  <si>
    <t>b9c849ba1538b82e3c2e72ebfc92f14e</t>
  </si>
  <si>
    <t>27e5913e401960ad17e24f9a435e11d2</t>
  </si>
  <si>
    <t>9d5af8da227605ef5e9a1d0fbd39f412</t>
  </si>
  <si>
    <t>3484575740e7d74362f6a1ab0ac89a50</t>
  </si>
  <si>
    <t>71ef148e8a549ba85ca27271a3a94c26</t>
  </si>
  <si>
    <t>80579a6ec645f9f4677fc94d84c14a2c</t>
  </si>
  <si>
    <t>80bd1978a3dff0dbaceb95fb9191e7ee</t>
  </si>
  <si>
    <t>b1494532125308790dff5321c7a762ad</t>
  </si>
  <si>
    <t>3e32de32b8cf2f3d8e72ecfcf99daee1</t>
  </si>
  <si>
    <t>aefa72019c21020d838fad6cdbf155e8</t>
  </si>
  <si>
    <t>d276fd6b6eeeb1987e76d0388d813b9f</t>
  </si>
  <si>
    <t>f7b80214c9564ac1bd11fd91a037d17b</t>
  </si>
  <si>
    <t>38b2baf94efabe47b94f0ba1a2d61488</t>
  </si>
  <si>
    <t>fa654b38bacbfa95b74861a531401004</t>
  </si>
  <si>
    <t>a623837d6a3000b3cd020295728e8252</t>
  </si>
  <si>
    <t>4a50910eb613761dc216ed4835dfab9b</t>
  </si>
  <si>
    <t>19d5254bda3efc525d2fbc731215b282</t>
  </si>
  <si>
    <t>3345581248da49c7be54266867fd1be5</t>
  </si>
  <si>
    <t>607cb942712956d9e5cca504365378c0</t>
  </si>
  <si>
    <t>87c8812aeeb170aa52177d2735ca7042</t>
  </si>
  <si>
    <t>54d69e23f13017d66d2d0a23415072ac</t>
  </si>
  <si>
    <t>a7572e51d89da5dcfc00ce1c2e20e86c</t>
  </si>
  <si>
    <t>78aafe78cef466668ddd95d4d9d7e1ad</t>
  </si>
  <si>
    <t>7c9357dc1384365a339ee9de0b1f5766</t>
  </si>
  <si>
    <t>4f2663dcc42d6c7746733d2c9bcb669d</t>
  </si>
  <si>
    <t>9a8d7eb7879dca0954771f50f440b591</t>
  </si>
  <si>
    <t>c8045671083f48d8d09d1d2523ea8941</t>
  </si>
  <si>
    <t>a18fb9eec25fe85c50093b22689ff9aa</t>
  </si>
  <si>
    <t>01da9689ebf762ad9b6f4879eeaa484d</t>
  </si>
  <si>
    <t>bc140cb5cb4c500db60537d94455756b</t>
  </si>
  <si>
    <t>87e8cbe800fd79c7109fb24081c1c31d</t>
  </si>
  <si>
    <t>a2f42f936446626e7dd5766806c9f5c9</t>
  </si>
  <si>
    <t>d28554990d8c5273fedfde51f1f8a59d</t>
  </si>
  <si>
    <t>eeb5314803674e4da55f004678273c39</t>
  </si>
  <si>
    <t>5731fc4127e702cfb374871aa889a9c7</t>
  </si>
  <si>
    <t>e327949a17d035ca60d110b4ce6b7274</t>
  </si>
  <si>
    <t>53b40c8ff077757f35a903589ef2a31b</t>
  </si>
  <si>
    <t>b8758e423637f5e270eab64ad37f0b19</t>
  </si>
  <si>
    <t>ff43e9b7b196858d0a6148df90f43318</t>
  </si>
  <si>
    <t>25d80b451b5c76cf01048f4b1d367e35</t>
  </si>
  <si>
    <t>75ef1021ee69eb5414f2103193d4c8dc</t>
  </si>
  <si>
    <t>154e7506c0176dc761f19fa0cb4988c4</t>
  </si>
  <si>
    <t>2d533c9bac8862a184b2ad4374a9090f</t>
  </si>
  <si>
    <t>1fd7e7a5456fbde5648bf86e22857b41</t>
  </si>
  <si>
    <t>3a2cdaaf4d156403021e3f5afabf8462</t>
  </si>
  <si>
    <t>e820c40d01568fe53566d73d84c80b50</t>
  </si>
  <si>
    <t>cdcd90c0088d9a4cb0f2bae4a4480a8d</t>
  </si>
  <si>
    <t>f5eb0cf67469a4982ea81ddf8b4d4048</t>
  </si>
  <si>
    <t>48b3aba5a6c4d0f9b8320bf816f586d3</t>
  </si>
  <si>
    <t>8bee20f309dc54c893b46f6325a2d2df</t>
  </si>
  <si>
    <t>a71f97cfb540d289ad80557514d93750</t>
  </si>
  <si>
    <t>b626e17288c77a09ff51123617dfeb48</t>
  </si>
  <si>
    <t>66b708d452969d6b22e8b5eaeb029b0d</t>
  </si>
  <si>
    <t>a998cd6ea68745e5831297face85147d</t>
  </si>
  <si>
    <t>667986c93812d47ecc3ad2ae4442b118</t>
  </si>
  <si>
    <t>c8f2e54fe7b8ab5c291ea8d5831669df</t>
  </si>
  <si>
    <t>44c2821de454a55d60f3eb31c28faf56</t>
  </si>
  <si>
    <t>91d3543ae8bf0dbaf34cf97beeb384b2</t>
  </si>
  <si>
    <t>3f2aeb5c93e94f71e8226b1146649656</t>
  </si>
  <si>
    <t>fd7d977e75d1ac5cfe6b93ffabb150b1</t>
  </si>
  <si>
    <t>70e12d315a19ad3e37b2593a58f37459</t>
  </si>
  <si>
    <t>5a395799cd7622723e07eac81b6536b9</t>
  </si>
  <si>
    <t>cd738e1809b4b8548086df18ff54eef7</t>
  </si>
  <si>
    <t>20540c599746e70d0787f05c42f002bb</t>
  </si>
  <si>
    <t>6181d7a40d05ec551c178d3c720b3cde</t>
  </si>
  <si>
    <t>82bfb9f61deccae8b25c32c318b99f56</t>
  </si>
  <si>
    <t>be9ca9311414a5682866001a9b187f5b</t>
  </si>
  <si>
    <t>5610de79ad05df3356459d4c71a04774</t>
  </si>
  <si>
    <t>c70542557778b1a76add4309be29e678</t>
  </si>
  <si>
    <t>9153d9c5735bdd40f73b2e94265ab899</t>
  </si>
  <si>
    <t>a9fcbba7da26095ce5010a39b8a36509</t>
  </si>
  <si>
    <t>acc4ba4eec87758e9b2ca94782c41bb9</t>
  </si>
  <si>
    <t>44efa1a90546c855bbcb1fb4026d4333</t>
  </si>
  <si>
    <t>9201921952970cb78c9fbf5ec623f263</t>
  </si>
  <si>
    <t>459a40cf7017c786a1112eaff835d34c</t>
  </si>
  <si>
    <t>a80801c054c1304263f8310a4e1b044e</t>
  </si>
  <si>
    <t>f3f611415939d28bdeb54703b65a36bb</t>
  </si>
  <si>
    <t>4a107ba0ac846da3d09286c35ac10ea5</t>
  </si>
  <si>
    <t>2006a1ab495a5a55eaad06cc5cd9ed66</t>
  </si>
  <si>
    <t>70eeae4cf0f0ddd6e05606e961ec423e</t>
  </si>
  <si>
    <t>c471696beb14dcf27c43d37fe49f7250</t>
  </si>
  <si>
    <t>1e0c883de22f484fe68d3e575e15fe27</t>
  </si>
  <si>
    <t>d55f42621864ab6071c77e68f1e70053</t>
  </si>
  <si>
    <t>33c7c478e181b849b1a65eef4ba8d414</t>
  </si>
  <si>
    <t>5e59e49f5fd2ec69f4522f445c6fa9dd</t>
  </si>
  <si>
    <t>f7ca7d028d1de42814caecded57249fa</t>
  </si>
  <si>
    <t>5b9fb8e37a2038c5bd771232bfd85beb</t>
  </si>
  <si>
    <t>e83fa8f349ac1b1cb539863df661939a</t>
  </si>
  <si>
    <t>52c7212b4c1ef4c1c21b4d5181a66b0f</t>
  </si>
  <si>
    <t>2d5c023a11d70ab3e9acdb98d0053fcc</t>
  </si>
  <si>
    <t>96ea8125df75af9969a00d9e7b934eba</t>
  </si>
  <si>
    <t>a826e7e3851f04b576471ad4450abc4d</t>
  </si>
  <si>
    <t>b21580ecd6fb023c6cfc3e83123a5983</t>
  </si>
  <si>
    <t>7cd43b45b953fad2a586cb8dd2af78ad</t>
  </si>
  <si>
    <t>d65598b7a583ff113467d5b6f693a031</t>
  </si>
  <si>
    <t>1d6f9e1c87f4fc2613dd61661e4900b9</t>
  </si>
  <si>
    <t>8db1b9c8cb52198d4752176ba2e29795</t>
  </si>
  <si>
    <t>b3ba081ea31233eb2bbae7c31d752082</t>
  </si>
  <si>
    <t>6fc54846861b7f851eb0541206edc578</t>
  </si>
  <si>
    <t>1af811e7b980f0101940cface13124d4</t>
  </si>
  <si>
    <t>81190ee016c56828c2f2c3f2cd94db77</t>
  </si>
  <si>
    <t>d7549bc9744c53d31a4a1abc7fb7b5ee</t>
  </si>
  <si>
    <t>6b9ff2319b3a1f076a994924fb764ee3</t>
  </si>
  <si>
    <t>6fe30070097d07349fb571579ce6c14e</t>
  </si>
  <si>
    <t>2a5f614fbd6b69fd6695ae213d63eef0</t>
  </si>
  <si>
    <t>31aa231b755f09653f48e41c110c8860</t>
  </si>
  <si>
    <t>8e2568d07cfc39036f5d312247e39057</t>
  </si>
  <si>
    <t>996a06e8c7029874b4092109ca2fe99e</t>
  </si>
  <si>
    <t>a615c450ca9e883292a6288e96eebb6d</t>
  </si>
  <si>
    <t>6b73e5f45bd3663f1eab26ccd64efd02</t>
  </si>
  <si>
    <t>97a12252ce4b852ea74f6d41d009a44b</t>
  </si>
  <si>
    <t>adf195e2bcea10a7fb07abe83d2885c1</t>
  </si>
  <si>
    <t>2a2e53b0e0820da8e791a8534038fe26</t>
  </si>
  <si>
    <t>52b4b9c48fe05ff57365405360155d07</t>
  </si>
  <si>
    <t>b2af2b06183911576dad99a15a5d4933</t>
  </si>
  <si>
    <t>d964a58a93323e99de31502ef22e3079</t>
  </si>
  <si>
    <t>64cde8cf262a59edacc95c80bd01d695</t>
  </si>
  <si>
    <t>03e062d9f92027490903f1d2a49da9b9</t>
  </si>
  <si>
    <t>37145c5650a33da9e6b2df70ae1aec80</t>
  </si>
  <si>
    <t>ba8cf349f278c2ae7f53ba026389fabd</t>
  </si>
  <si>
    <t>22dc3a0418ae1b9b41c4daa7b9631559</t>
  </si>
  <si>
    <t>33009ff58323b15ce24eba767675f434</t>
  </si>
  <si>
    <t>5b47e496430dde1ee7c597dca0e2f57d</t>
  </si>
  <si>
    <t>034ad1009c15040d586713e9767b22e9</t>
  </si>
  <si>
    <t>e7f30b2ee908f3fc9719f2138c74e22d</t>
  </si>
  <si>
    <t>f6801344efb60733a858ec32ba0ed303</t>
  </si>
  <si>
    <t>a4341fcef6be79ddfce70d3fde3b983a</t>
  </si>
  <si>
    <t>23d2344c1a6d528710e9158a3f94a7da</t>
  </si>
  <si>
    <t>10b2355028c81201ed2683c02ba493f2</t>
  </si>
  <si>
    <t>014cec6ea89e4bfbcb911f6845a96d55</t>
  </si>
  <si>
    <t>4c4b6da00763e942beb82e36b58d4118</t>
  </si>
  <si>
    <t>b268182ba1837c8c79d103af94135f32</t>
  </si>
  <si>
    <t>b5dd47c64325d785f755854b8c28a948</t>
  </si>
  <si>
    <t>3e2dbc66617ded5ca6a69bdb3a354d4a</t>
  </si>
  <si>
    <t>5c6c41289f4d77b9b32fb6a5e2106edb</t>
  </si>
  <si>
    <t>16a03951c3f152970a6ff4b315a28e7e</t>
  </si>
  <si>
    <t>af074edfb4940be0ed1d4fcfc4ea0dee</t>
  </si>
  <si>
    <t>670fb2f689bec017e618ab7ec99c2308</t>
  </si>
  <si>
    <t>08595f8fdc4d9277fe34eea07a003e50</t>
  </si>
  <si>
    <t>62529639638003e5fb5dbd6ae08d1e7b</t>
  </si>
  <si>
    <t>591d38180c9c6ab36c6d366201a3b7e1</t>
  </si>
  <si>
    <t>6d40ec3be79e2666c5449e768c0bc509</t>
  </si>
  <si>
    <t>0c1c9108bc4c6e9481e2d35b168dfd87</t>
  </si>
  <si>
    <t>82e1587f735a37b09af996eda1610bda</t>
  </si>
  <si>
    <t>e0a0a80333d75c4728e228b869e94579</t>
  </si>
  <si>
    <t>5874f1b550c0d4cf4a1774b46b8d5398</t>
  </si>
  <si>
    <t>8de6774e62a2984bc1c5e2dd52ff23ea</t>
  </si>
  <si>
    <t>6544e220e0a1617bde60638f5f764296</t>
  </si>
  <si>
    <t>11b465ec6e2e00fbe0397fc8f78230d0</t>
  </si>
  <si>
    <t>c0de112eab191312c2807dae4ba482b5</t>
  </si>
  <si>
    <t>36525851387908b96e770b1ce5d79a43</t>
  </si>
  <si>
    <t>98a64c8df299f3ea153b18fa25977625</t>
  </si>
  <si>
    <t>23801cb483fb83f4582815f457a3c3ec</t>
  </si>
  <si>
    <t>c4202309735b5048a6579de2a879e4e1</t>
  </si>
  <si>
    <t>f2e46b57c887314c461b477fdb838122</t>
  </si>
  <si>
    <t>5b92e4945eb3a04990671a4da604ff17</t>
  </si>
  <si>
    <t>a4bc1acae2885ea0d451432596856363</t>
  </si>
  <si>
    <t>ced5e89cbbebcc24beba11a8148cfaa1</t>
  </si>
  <si>
    <t>9dc0a5e5bfcf4d73878002040de152ae</t>
  </si>
  <si>
    <t>661a3e79ac0d07a3b28c9e9bd40e5459</t>
  </si>
  <si>
    <t>68d42d85d6ef70aa12305106ba6abc20</t>
  </si>
  <si>
    <t>27b27531e5b182af7c891c7fdca2f225</t>
  </si>
  <si>
    <t>cca1adbb7cedc6d195e17a762dc31726</t>
  </si>
  <si>
    <t>ba640fa84b94d3e16eccc79ae34997bb</t>
  </si>
  <si>
    <t>36137eeb4bf9b5f4054c5b83bef611fa</t>
  </si>
  <si>
    <t>95f499940a14e0624914b5a05dee63c5</t>
  </si>
  <si>
    <t>edfa4753bb5c89bacdd59680e4f94f44</t>
  </si>
  <si>
    <t>f88d1feb40c2231c27c62c38957ae0fc</t>
  </si>
  <si>
    <t>e1f97acc82e002084daded5c269d4d93</t>
  </si>
  <si>
    <t>89c0fc798cddf41a971384b4ae47abd1</t>
  </si>
  <si>
    <t>7dc49135cf63e059c76f54034aace2cd</t>
  </si>
  <si>
    <t>622afa4a2bc5b3830fe26f0e931182b8</t>
  </si>
  <si>
    <t>cd35e6dd7806c829f1dff22312d8f898</t>
  </si>
  <si>
    <t>54aba384bebf7d76045bc3dad7251d5b</t>
  </si>
  <si>
    <t>acd502dc52a068d7c4014af6d5dbcd11</t>
  </si>
  <si>
    <t>6076036fdb272f49688c571013f3ede1</t>
  </si>
  <si>
    <t>e9176bfe821b41775162a9beb913909c</t>
  </si>
  <si>
    <t>46b485f8e35bd5f7b1a82f2c5c573bbd</t>
  </si>
  <si>
    <t>edea466624e316fb14fd8bc274cdb051</t>
  </si>
  <si>
    <t>52e757313eee219d90756fee82d49c2c</t>
  </si>
  <si>
    <t>784e966b97f7eaf84f20c7515bf2183b</t>
  </si>
  <si>
    <t>f0f717dbbabbabab1a26beaf06fc3438</t>
  </si>
  <si>
    <t>be29a77514abbab45ce7c52d27ee292d</t>
  </si>
  <si>
    <t>58589b2f5ef1c0bbfdcd09c6fb0b47b7</t>
  </si>
  <si>
    <t>d037731d1da83efffdb92ce25f124a8c</t>
  </si>
  <si>
    <t>fc3a68ae910a64c3c1a7d8ea0c525b9d</t>
  </si>
  <si>
    <t>902560b1f108bc2a170725b884863354</t>
  </si>
  <si>
    <t>3e4a0c9abc957e634d773110fedafb26</t>
  </si>
  <si>
    <t>b2f889d0e09c93c7cf240beef08ecdef</t>
  </si>
  <si>
    <t>630b6159ab1a4be8b302739904f8beff</t>
  </si>
  <si>
    <t>cc46f33ee83eb94cea644695f8717c0e</t>
  </si>
  <si>
    <t>07d9152e686ddb50c5330f7f9c1c58bc</t>
  </si>
  <si>
    <t>ee4742b2788bd5f7565dbcd7f0b5de8e</t>
  </si>
  <si>
    <t>072ae41a990df264e5508c75e4cbced0</t>
  </si>
  <si>
    <t>87c5afc7c76c32349979d0029a9d1db3</t>
  </si>
  <si>
    <t>4f4cbddde0691893aad65c3ed451bd41</t>
  </si>
  <si>
    <t>e806a859c021aec4ddc92d7a0b15c08e</t>
  </si>
  <si>
    <t>93e27399801114c829497baae0003c28</t>
  </si>
  <si>
    <t>329cefc1992e229270d31b90a569ad0f</t>
  </si>
  <si>
    <t>9abbbda872050c52f250190578b0c178</t>
  </si>
  <si>
    <t>fea6f06e9ea5fe29ebdd6e510b308c1f</t>
  </si>
  <si>
    <t>c1f4743c95657f785f7874f4b39c979f</t>
  </si>
  <si>
    <t>ebce2c7b380efc44b429f4353aba4a5d</t>
  </si>
  <si>
    <t>0c126e39f8d63756107d6c86751c9e7e</t>
  </si>
  <si>
    <t>155303e8c22847c73be43306faf833c3</t>
  </si>
  <si>
    <t>cf3846fd28df3fda672c21ce3118ec84</t>
  </si>
  <si>
    <t>e1155a41a8edb09560cf8234093ff635</t>
  </si>
  <si>
    <t>3713d66bff68568a81cc5bfd409a3703</t>
  </si>
  <si>
    <t>09949e05e2c5fa4ba780fe27213bc575</t>
  </si>
  <si>
    <t>92664de43e5721bc5c0cfd1c31f08f30</t>
  </si>
  <si>
    <t>518035c43e744099f69c7e3a7fa11116</t>
  </si>
  <si>
    <t>ff63a1e61dc77ef6d2ac4aed28de3ccc</t>
  </si>
  <si>
    <t>6ebaea9076291d5b4ce3bf24a1c59395</t>
  </si>
  <si>
    <t>eae846c7d1ca51474ebc7230ace47bf2</t>
  </si>
  <si>
    <t>7057b95dc1fb3eb27739710e0ac10ea4</t>
  </si>
  <si>
    <t>f0b6f95a4dba808cd64d2f2db1399bae</t>
  </si>
  <si>
    <t>5afcd2787d9efd296b8f9ba7c0739310</t>
  </si>
  <si>
    <t>5bf73f0ab50f712f61880e1254f1b723</t>
  </si>
  <si>
    <t>b3ab7a7c84d8d782efb167422af07ef0</t>
  </si>
  <si>
    <t>6220d78a81df90871ed5d07ad6023bf7</t>
  </si>
  <si>
    <t>8f70501a1a3952f03cde5658fc336fb5</t>
  </si>
  <si>
    <t>819fefda81994b411a379b51918baa45</t>
  </si>
  <si>
    <t>ad60db0f60a9cd81725966012b05c204</t>
  </si>
  <si>
    <t>ebe1c90bb54693ad08a177ae924f626d</t>
  </si>
  <si>
    <t>55d1cc840df0aaa9d74820a382761d6b</t>
  </si>
  <si>
    <t>ae2772b21b613743d53e95ec3d6e7041</t>
  </si>
  <si>
    <t>ffb6437e88796895205633f3ef695f66</t>
  </si>
  <si>
    <t>5b310acc61b824bed34736ac28969bef</t>
  </si>
  <si>
    <t>87159df0dcd6d3b95e9f8219091c28d2</t>
  </si>
  <si>
    <t>ff1aa43b2085763b0cbe5bf95aaad9a7</t>
  </si>
  <si>
    <t>af446d9d4f5e0474ee0a18d0491bc555</t>
  </si>
  <si>
    <t>3b551566417922917db5fab6953a4a41</t>
  </si>
  <si>
    <t>96c9f1595495506df084b0966e40432e</t>
  </si>
  <si>
    <t>1db09dff7179e16fd2ef7005b34a2e12</t>
  </si>
  <si>
    <t>d334c7dfa96b5fd5cc4f23e76e8b4166</t>
  </si>
  <si>
    <t>89f569993f4af498b320aaaf4eb610c3</t>
  </si>
  <si>
    <t>16d6ee3ca938689918718cc3b332fc35</t>
  </si>
  <si>
    <t>67b46df8fd1c23206e0572850ac213b5</t>
  </si>
  <si>
    <t>84ab4eb1857955a253918acfb633998d</t>
  </si>
  <si>
    <t>ca78c4487af4257616699a353ccaf296</t>
  </si>
  <si>
    <t>216d47b84e01adc02b49eead5b32f9e0</t>
  </si>
  <si>
    <t>0ff73ca20cd787c5b817aff62e7890da</t>
  </si>
  <si>
    <t>2270e891659e7141a8f83cb40206205f</t>
  </si>
  <si>
    <t>91edf9918caf23ade612be8a563a676b</t>
  </si>
  <si>
    <t>3cef5274bcca8c30f79c09a2aebc8669</t>
  </si>
  <si>
    <t>fc636d6c1cd2fdf06887830a70c377e3</t>
  </si>
  <si>
    <t>d6181e24bc01e4a832249fa9a2de8470</t>
  </si>
  <si>
    <t>de316fb56f066179bf15b2f2a69f53dd</t>
  </si>
  <si>
    <t>43d500eaaff1ff2bac75c18dea8fb94d</t>
  </si>
  <si>
    <t>56e4bd3f359025fba2d2e080cb2c25a9</t>
  </si>
  <si>
    <t>a7aa1c160e1fcc5540ac260d4b236441</t>
  </si>
  <si>
    <t>40acf2a9cf2fe4de391609431f40dfb7</t>
  </si>
  <si>
    <t>a0bee49db548813ba2be7ad75a992df2</t>
  </si>
  <si>
    <t>abc853a0085d995d5fc9dbc91e350ed1</t>
  </si>
  <si>
    <t>2b3b9fe4c02990377fa615eeb3369ec9</t>
  </si>
  <si>
    <t>0f7f8ed9a1db8fc2a42e273972db10d4</t>
  </si>
  <si>
    <t>888bce56d84202318a86efb8cd1c038d</t>
  </si>
  <si>
    <t>e9a0ddc40651a765e246e1f4b8c3d3c8</t>
  </si>
  <si>
    <t>b923dbd86db34a1294e93af71efb59ad</t>
  </si>
  <si>
    <t>7fd55078dabca05d6eb8964999ba5e3c</t>
  </si>
  <si>
    <t>7072a5c26d796e02dc28cb861210abba</t>
  </si>
  <si>
    <t>757be053baa902a28fef53520783d4c0</t>
  </si>
  <si>
    <t>ff31526c497a36611f9c89449b1c96ce</t>
  </si>
  <si>
    <t>082a1d41243d3f37ae65ba1c9d0e2b57</t>
  </si>
  <si>
    <t>721884708856a1b9b60f770bbb79e790</t>
  </si>
  <si>
    <t>3d5deb1962ceef3debcbc20a311eeac5</t>
  </si>
  <si>
    <t>ab88830c7df1320ff8e0fc8203fbc80c</t>
  </si>
  <si>
    <t>ee1a896071cdbed43e2f31e1d8337bd2</t>
  </si>
  <si>
    <t>84846ca9435252790f0e076d7d5d29df</t>
  </si>
  <si>
    <t>33a84c00e939cc5bc0ced0b8b246ab3e</t>
  </si>
  <si>
    <t>8f047b38280e17991af74f09b722e28d</t>
  </si>
  <si>
    <t>08a11ecb78affb9e1ea1045e58172ac4</t>
  </si>
  <si>
    <t>62f4b4e8f83d911919f6b2b365d614b8</t>
  </si>
  <si>
    <t>120ad10683075526ee1b3b00489dafec</t>
  </si>
  <si>
    <t>6a69660a9c35e93dc3ade91d832ba240</t>
  </si>
  <si>
    <t>a843139328a73ad8669c791f883e9043</t>
  </si>
  <si>
    <t>4a0d68b508f38d4480ec59a54ae116ba</t>
  </si>
  <si>
    <t>388966d8d6ed9d50cf2224bb52890be8</t>
  </si>
  <si>
    <t>f5ab819096e724e77696c8cb5ad21bf1</t>
  </si>
  <si>
    <t>8f2525ca728c98defbd9adc55c7ef3fc</t>
  </si>
  <si>
    <t>a0d63af8542e13942f6ac9577a738af3</t>
  </si>
  <si>
    <t>e96e43446dc54b1e2a36367f390bdb0c</t>
  </si>
  <si>
    <t>2372fa6a62bc2cbfd3e701ac00efa0c7</t>
  </si>
  <si>
    <t>0410a1c4a3742c73adeee2b39910723b</t>
  </si>
  <si>
    <t>710179ef2349eccc3856fbb894f72d80</t>
  </si>
  <si>
    <t>bd1bb6b87180689231804f4ceb383485</t>
  </si>
  <si>
    <t>812aaef09df6ab83a9e124cfcb432675</t>
  </si>
  <si>
    <t>041206f8e2b84e6a7b701788fe8c10ce</t>
  </si>
  <si>
    <t>0a31b8b048c10332ece27bef9670bda8</t>
  </si>
  <si>
    <t>15b695656d258983a761f94a6b94d948</t>
  </si>
  <si>
    <t>7e4fbd0ee181747b48a8626835bbfae9</t>
  </si>
  <si>
    <t>bcfee5ef480e3ecfe5e95675e149c27b</t>
  </si>
  <si>
    <t>d4bc7c8d13eb8284436c4498f37f4a7a</t>
  </si>
  <si>
    <t>80cdac07fb2b27a0021352a711bbcd69</t>
  </si>
  <si>
    <t>8341e64b8fa858982126af1076840776</t>
  </si>
  <si>
    <t>21c6d7a1fc87615fa44ae7657a773566</t>
  </si>
  <si>
    <t>9416ee6f8b80c68e03265d13fb136a49</t>
  </si>
  <si>
    <t>6b15a5dc44e3676a5cf62e5ccf0d542e</t>
  </si>
  <si>
    <t>3eb98498c491436f425cd830b3f447fa</t>
  </si>
  <si>
    <t>43e3f815cf7fe4dc813ba16eef04e1da</t>
  </si>
  <si>
    <t>4b0e9d0b2ec615f32fc627d50cd04c5f</t>
  </si>
  <si>
    <t>7314a789d9c965494dc1b1c371d120e9</t>
  </si>
  <si>
    <t>5261961cfcb904628f54edd0c5f9739f</t>
  </si>
  <si>
    <t>317d5338c2dd1182bd094370a1121ee4</t>
  </si>
  <si>
    <t>500dbe7f22bb9b808769c635446b5972</t>
  </si>
  <si>
    <t>aca704179243b072a128766eb67ad4ab</t>
  </si>
  <si>
    <t>7bc6fd37ca955009b464c9918ada8719</t>
  </si>
  <si>
    <t>69e437ff7067a3c307417c25451f1344</t>
  </si>
  <si>
    <t>afb385227f5ff1dcd5c746974baf1060</t>
  </si>
  <si>
    <t>ce7bafe02f8fb1a3f15f52a9c239d0ef</t>
  </si>
  <si>
    <t>d538fafd2c832e8cb5d424d68dc7f8af</t>
  </si>
  <si>
    <t>8dc56b3dd5380fcd7402ce0fbc75cb1e</t>
  </si>
  <si>
    <t>50c2e156c1502fb41bc5d51be51d76a3</t>
  </si>
  <si>
    <t>73cdac09836439688e0c3626d39d3ef3</t>
  </si>
  <si>
    <t>e4f7dd56f5b3d6db55c68937acdc288f</t>
  </si>
  <si>
    <t>36adad451566a9d8f0a9cd1ff06b8e3a</t>
  </si>
  <si>
    <t>e2c5889335b1a8988442b4a53af56d0c</t>
  </si>
  <si>
    <t>31b60c338e0c43f9100464d36c446e08</t>
  </si>
  <si>
    <t>ff22192942900d826b366bc1ba92e665</t>
  </si>
  <si>
    <t>abc8b42c04b3df828530e5292ad14b91</t>
  </si>
  <si>
    <t>b277ed5354b3e16e0a7a18f026ad8743</t>
  </si>
  <si>
    <t>c16c4407a60fbdfc8930637b47cd2a1a</t>
  </si>
  <si>
    <t>467c91b5cf6b0775b563fe44a05388a0</t>
  </si>
  <si>
    <t>5dd808ef0d37652165522bd8b73b795e</t>
  </si>
  <si>
    <t>d2ab1b817736bf790ca530b6bd705c5a</t>
  </si>
  <si>
    <t>829986ab9445b46f3bd8461eff19e412</t>
  </si>
  <si>
    <t>f30fc9b0f89bdf0ec0b33b6fa2de82a8</t>
  </si>
  <si>
    <t>6a923382c8c5696a76af7a604937de28</t>
  </si>
  <si>
    <t>b8318ac0b80996f19844156459d09bbb</t>
  </si>
  <si>
    <t>585290b0ed4953f353078a3788934ca0</t>
  </si>
  <si>
    <t>8ff57dffc365fcb5233232fff6e6bfd0</t>
  </si>
  <si>
    <t>018b1d3ea470dbb00e3dd6438af19bfb</t>
  </si>
  <si>
    <t>e658047c67a80c47b5ba982ab520b59a</t>
  </si>
  <si>
    <t>048517851c55e77cf9daf170c6fdd7ab</t>
  </si>
  <si>
    <t>b937a56ac2082006f7b0a40ab60fe958</t>
  </si>
  <si>
    <t>e19ca372bf6eed81fbf6dfc59ce9c625</t>
  </si>
  <si>
    <t>fc51f566fbeb56194ca2beaefc9aaf4b</t>
  </si>
  <si>
    <t>f09845b1ef57647ae29b2833540f0028</t>
  </si>
  <si>
    <t>37a3d08abac5f12e8c0fad6cfe21e079</t>
  </si>
  <si>
    <t>dcaadd992d05b51b8a81e2e6821a4574</t>
  </si>
  <si>
    <t>00f42382da08bb47df2585a2590be0a7</t>
  </si>
  <si>
    <t>0fc55b68b62a7bdc44bfc347f48d4277</t>
  </si>
  <si>
    <t>9f6c077a408bac3edc58b85effd90c45</t>
  </si>
  <si>
    <t>0141f065e310a9e40011628269e71ded</t>
  </si>
  <si>
    <t>b56b1c311b63f21db9eee26031aa2b4d</t>
  </si>
  <si>
    <t>aafe7061523ba396c00a46a0f4056b31</t>
  </si>
  <si>
    <t>eb2c115996de9709efa58507c07b40ab</t>
  </si>
  <si>
    <t>ec28805f3b725ff393c2b4a3f80c104d</t>
  </si>
  <si>
    <t>6106c564e568969d698ddd9c43632195</t>
  </si>
  <si>
    <t>9cc4d8fda1533429ac126a2ddf4ebf11</t>
  </si>
  <si>
    <t>a81855f5ad4a94d453bb634487082a90</t>
  </si>
  <si>
    <t>f6cfa63e87f868894fd3ecaa4d0fa6e3</t>
  </si>
  <si>
    <t>00efe3d30e8d51ae61fa5d5c96478a95</t>
  </si>
  <si>
    <t>64b707eebcb0eb4f7907a3bcbf1df6e6</t>
  </si>
  <si>
    <t>f60a0773c48f1312c792c95a86d459e7</t>
  </si>
  <si>
    <t>616767b0bfb0a97510747d8bbcc40290</t>
  </si>
  <si>
    <t>0e9d48fe4fca69a47f5353d0a62333c2</t>
  </si>
  <si>
    <t>55055df57e5c23d67dd957d1a4bd8b91</t>
  </si>
  <si>
    <t>6a12f708b55e1bfdd870fc3ed6292b1b</t>
  </si>
  <si>
    <t>e92a6f37ebb87a6bfbc569d439cf1635</t>
  </si>
  <si>
    <t>f7d7a8410cdb8c339a83a959bd0bf96e</t>
  </si>
  <si>
    <t>2d76ad7ae5fb13d95eb34c39c6fb59b0</t>
  </si>
  <si>
    <t>8bfcbdd65996c417acdfad207838abb9</t>
  </si>
  <si>
    <t>d0f04d58dba0df8d2946971047f8c895</t>
  </si>
  <si>
    <t>b226889aa1cb9f4efb3c18343b7f07c0</t>
  </si>
  <si>
    <t>c634461583738aa142215561fe7f0248</t>
  </si>
  <si>
    <t>ae0ecbe3e82ed7eb0c1066059d9513df</t>
  </si>
  <si>
    <t>e16b7c6134db5e15a521ec10fd405ddf</t>
  </si>
  <si>
    <t>f36a0f70291c903ae5664927b016c488</t>
  </si>
  <si>
    <t>6e46c13ed39fe5d1af9985e17d98b28a</t>
  </si>
  <si>
    <t>62a620c9f1f5dbe99651c2c9e369cbb0</t>
  </si>
  <si>
    <t>d9a212a763c82cc06a17a3e84449eb50</t>
  </si>
  <si>
    <t>387e02e10694ac10252a1a3430cb44cc</t>
  </si>
  <si>
    <t>61d62d0476b05d467684cfd3e2a1fe4a</t>
  </si>
  <si>
    <t>5fee73752ea487e464e6d547c7697f15</t>
  </si>
  <si>
    <t>8122bf18052063455d3ec59fe8b564ef</t>
  </si>
  <si>
    <t>d162afc49f55985d7a550edc9f2864aa</t>
  </si>
  <si>
    <t>75181a27e029e8d9d2e677df25a90ae2</t>
  </si>
  <si>
    <t>8cc8cb74f22a588e728b78d11696d2fb</t>
  </si>
  <si>
    <t>b41785e01b7f3ae10e9cbdb6dc452ed0</t>
  </si>
  <si>
    <t>3c5cc1a2e1d86abfce2a16a1bcc80e26</t>
  </si>
  <si>
    <t>13b6c44c75e1049f71f6531d435e1b72</t>
  </si>
  <si>
    <t>a128c87f5f533b784a2c3f5064b3cdea</t>
  </si>
  <si>
    <t>962380b7277df0e5903792c14238c059</t>
  </si>
  <si>
    <t>0f1d59d2fc7aeed664d853399a09d57a</t>
  </si>
  <si>
    <t>30fa273648836083a415ebe0d4662cf5</t>
  </si>
  <si>
    <t>84ff7015cca989303244d13f1a8146fd</t>
  </si>
  <si>
    <t>00275937100699204a3d5ae3caf7190d</t>
  </si>
  <si>
    <t>8641afa4db7421c9eeaf01260d8afefe</t>
  </si>
  <si>
    <t>f0adba5e5ab49b4bcc17febff2d1c7bd</t>
  </si>
  <si>
    <t>1c83e61d344700d36ad0564af509728b</t>
  </si>
  <si>
    <t>314d7b95c872c8d6d5f61d0ddb88acda</t>
  </si>
  <si>
    <t>105f42dc7e4a525528246f056ff4dc1d</t>
  </si>
  <si>
    <t>f29ef36d82c4a804fcba53aa4d2940f0</t>
  </si>
  <si>
    <t>1632af4762431469541ac66e2d6f4b45</t>
  </si>
  <si>
    <t>5981b0f78d15e748a9b0c43202461be2</t>
  </si>
  <si>
    <t>c684180210d57e2cced6e0cb59b620d9</t>
  </si>
  <si>
    <t>9df372c20395ad99d9cb43dfd84e305f</t>
  </si>
  <si>
    <t>37f92a98dd57884d64f167d8edb12095</t>
  </si>
  <si>
    <t>51f9202d078ef51f91532ec32bba2a7d</t>
  </si>
  <si>
    <t>eeb3b040d8d25cd782183ae757fdbfd0</t>
  </si>
  <si>
    <t>def4bf8b332ec684f60d57af1c8a8f43</t>
  </si>
  <si>
    <t>7d3029aebef6762e96d7b267c221703a</t>
  </si>
  <si>
    <t>1694d213f1a463560a0a1b142de02296</t>
  </si>
  <si>
    <t>78fae49d26eda3e6a828cb07e659acad</t>
  </si>
  <si>
    <t>cecc9ca84be1d2cd9c5e88f159af74e7</t>
  </si>
  <si>
    <t>04664cdba0fe8f389665e7d94cd40a49</t>
  </si>
  <si>
    <t>59b2aface30c16993c3a1d5ac9591da7</t>
  </si>
  <si>
    <t>967874531a7ce4884cfc0ecf081dc958</t>
  </si>
  <si>
    <t>c1d5dce0983c0cdc77eb9dadd6d6206b</t>
  </si>
  <si>
    <t>f0b4c4ef4ee243742edd86cd944574ec</t>
  </si>
  <si>
    <t>b500b9b586a97c5ee4763ca51494805d</t>
  </si>
  <si>
    <t>fedc1c02505c1330544af28c1abe2528</t>
  </si>
  <si>
    <t>2ce5c4c3e3cfda2fb5c21d44b204aea8</t>
  </si>
  <si>
    <t>469bb5102adac5e2e718d47cd346cb49</t>
  </si>
  <si>
    <t>059bff08310fd05681c41964cd161908</t>
  </si>
  <si>
    <t>5e3a41375149e55c2f2c663673b2c88e</t>
  </si>
  <si>
    <t>eb35a69ff6fd56c8ac8cd0a3fb695de5</t>
  </si>
  <si>
    <t>311ce497f79478c471790cb0067b2863</t>
  </si>
  <si>
    <t>acf5f6c0f191807cf4e35ca95fd9a486</t>
  </si>
  <si>
    <t>5800ccd9514fd789d08e5831951aa6bc</t>
  </si>
  <si>
    <t>66eb81a2a1c2e634f6e2993408674fce</t>
  </si>
  <si>
    <t>1ec50ed5e408db09c21f88566223c2b9</t>
  </si>
  <si>
    <t>c31de872e4b768853e4180258bb2ab00</t>
  </si>
  <si>
    <t>5f798f5a3adcaeeca1ece15e954ae46f</t>
  </si>
  <si>
    <t>857763881cf6ef15c272415206e10282</t>
  </si>
  <si>
    <t>7b6461c83180bfed72e2c74061557552</t>
  </si>
  <si>
    <t>0ff84d0013aa5a6291df86b46f1aac5a</t>
  </si>
  <si>
    <t>98270faebd9bd3d571e15575953a0e79</t>
  </si>
  <si>
    <t>5aa280f5c0342b720a72b71d3b2a0cc9</t>
  </si>
  <si>
    <t>02fd6cf9553be2d58efe687b857830f6</t>
  </si>
  <si>
    <t>becc9d7ac4cd63d3d57054f3e04c9709</t>
  </si>
  <si>
    <t>31e1e2efdea2be5836a56b04931926f6</t>
  </si>
  <si>
    <t>de1cd6d1094c686156efe93498c656fd</t>
  </si>
  <si>
    <t>dc0c11952bfc275612cbc3986021684f</t>
  </si>
  <si>
    <t>b9bcce4dd3e4920a3751e76bcc6de5aa</t>
  </si>
  <si>
    <t>ef93113daf64285642a85fb159236e59</t>
  </si>
  <si>
    <t>657e28a0f2bb6ac7755d08066847dae1</t>
  </si>
  <si>
    <t>28f960d096e8e646d3100bc759d4c24c</t>
  </si>
  <si>
    <t>904c8fb988626da85712893a8adc45f1</t>
  </si>
  <si>
    <t>430b55d1924ca394c90192228f7995df</t>
  </si>
  <si>
    <t>061c3918f72d289ee93d5d8a06c15c2e</t>
  </si>
  <si>
    <t>c8af2c4e697bad9f8923682b361402fc</t>
  </si>
  <si>
    <t>3188907d61235ababce50e9c0569d84d</t>
  </si>
  <si>
    <t>7894fb70687d7d6ed620d74d67420eb5</t>
  </si>
  <si>
    <t>47cd9b242ad7a8e2ebc41a4ea69d2ca9</t>
  </si>
  <si>
    <t>45bea76d85f0369f4ce7ac9253f9d5cb</t>
  </si>
  <si>
    <t>d33ec1bca9da0c5511978a847f9e2243</t>
  </si>
  <si>
    <t>52746115ed4579e191e8a82c2c6682b5</t>
  </si>
  <si>
    <t>f000a1de8374f743ccec2fe40a082bed</t>
  </si>
  <si>
    <t>f1ed9b42aad1b999647239402da50936</t>
  </si>
  <si>
    <t>5993b4373194ddea753c3cc5e10afabe</t>
  </si>
  <si>
    <t>849b7cc98e1bc3031623a73645b5dcd8</t>
  </si>
  <si>
    <t>a32a0390d684304dc132b7e3abcda8be</t>
  </si>
  <si>
    <t>14747ce6489fb4e8a58fe09fa2e91827</t>
  </si>
  <si>
    <t>87780f7c05ecd79791bde76af663db15</t>
  </si>
  <si>
    <t>e0b6c164920a5a463aa98867f13038d4</t>
  </si>
  <si>
    <t>513d6bdbaed51319e9aa9f84a7f7518e</t>
  </si>
  <si>
    <t>8a34f184173d7b37cc58aab79bcd034a</t>
  </si>
  <si>
    <t>084c141bcb1a60bb9619aafc340241fd</t>
  </si>
  <si>
    <t>48c1462ea0fb7789b592dbce582de58a</t>
  </si>
  <si>
    <t>cfb8a1d29fd07f8e0e2ab2ffee176eb1</t>
  </si>
  <si>
    <t>d98b225d73bfca8fec036835fedfdc8e</t>
  </si>
  <si>
    <t>94c72a6d91e030affb4a487c7c5ee8b9</t>
  </si>
  <si>
    <t>6658b3fcc28fc1b0ac05e2063eeadad2</t>
  </si>
  <si>
    <t>e0aced54b9701d1d04536bc3010a05e6</t>
  </si>
  <si>
    <t>114234b0d73c7887a1364b5c4405b29a</t>
  </si>
  <si>
    <t>4779f3c10414814bc988c4fb6475b4c7</t>
  </si>
  <si>
    <t>b52be9379d67e7fbf3734111625cc017</t>
  </si>
  <si>
    <t>302810c531dc591423c0ab6271fdc1ec</t>
  </si>
  <si>
    <t>73d9c7d2db90aa0822a391920474f3e2</t>
  </si>
  <si>
    <t>84f3c1e3175163b2200bdf7edf808468</t>
  </si>
  <si>
    <t>b236c744e94e72c48bb073c1e1fe4417</t>
  </si>
  <si>
    <t>4fb42be7b6205f2b98de9f5d5903c3b3</t>
  </si>
  <si>
    <t>4ec96ef90786e0f2d9f7b61b5ab0209b</t>
  </si>
  <si>
    <t>abfa1f5e96b177d167fe072425909a14</t>
  </si>
  <si>
    <t>4d231a32781b0536c2290fb9898630f9</t>
  </si>
  <si>
    <t>e854b5811aa316976d5b4eb4dff806a6</t>
  </si>
  <si>
    <t>5b2b90013bf899246dfdfd063813e999</t>
  </si>
  <si>
    <t>ea344d40ba4d83dcb5e08328b1789614</t>
  </si>
  <si>
    <t>164ecd36bc9fc1781df239d00b004d3b</t>
  </si>
  <si>
    <t>4dad75d2365dedf73aa94b7606de7426</t>
  </si>
  <si>
    <t>cacee9a8b1df96c354216d0e4e16014a</t>
  </si>
  <si>
    <t>4a2c2a734b252dc23c12ab78188606df</t>
  </si>
  <si>
    <t>115679d0a013d1e98730c72c91dd0123</t>
  </si>
  <si>
    <t>51ac520c783d88964a793e455dae3506</t>
  </si>
  <si>
    <t>43270821c3f3f838312dc462c8d920cc</t>
  </si>
  <si>
    <t>34c5b339ea5917d60a26a3d1ef3a8fb2</t>
  </si>
  <si>
    <t>a48afc5e23ee2d4ac60701c938dc4d6e</t>
  </si>
  <si>
    <t>77256f6a65f788492187ca266030af59</t>
  </si>
  <si>
    <t>3af7a3caf8d2fe05aaf020bdb06f833c</t>
  </si>
  <si>
    <t>95f00bc44b6f60f6bd75f28170a24740</t>
  </si>
  <si>
    <t>f1294e4013a5d5f467bdb6cde16adf35</t>
  </si>
  <si>
    <t>d7e7bd5df3a07138eb7cb500f01f89fe</t>
  </si>
  <si>
    <t>c706c2ec1c2d50d5ea2382392dbe1b4b</t>
  </si>
  <si>
    <t>e3dcbbd3700f2751672af339581d8fa3</t>
  </si>
  <si>
    <t>ca6127525a83011e6a686a3e49cad955</t>
  </si>
  <si>
    <t>7b42e2bdd7970b25e929cfd12c64f23c</t>
  </si>
  <si>
    <t>0bdd7c4a155e5f79a8d081741b2828b4</t>
  </si>
  <si>
    <t>c721af033e9cb9e718f1ce3ca2c4e09c</t>
  </si>
  <si>
    <t>1d5fe42fe9d32afaa94d6b020be8384c</t>
  </si>
  <si>
    <t>489a340e7e59e0bcbec67b4a19c1b229</t>
  </si>
  <si>
    <t>3829860e770a42d68f8328a71a8bd353</t>
  </si>
  <si>
    <t>6bcbf359dd1fca3e6b281096abb24303</t>
  </si>
  <si>
    <t>2c41848295efeeb47beabefb10751ed3</t>
  </si>
  <si>
    <t>f1e3e5a26c6c13cf504e6dc8f7c140b0</t>
  </si>
  <si>
    <t>89a86fb8fae4e02bc68ad6327fcf4d73</t>
  </si>
  <si>
    <t>dfb5185fcebd36be73800d8c7549b49f</t>
  </si>
  <si>
    <t>abc58d2523df2aea708a509fbd201437</t>
  </si>
  <si>
    <t>1c38fdd837bd814787fd6ea06ec72dc3</t>
  </si>
  <si>
    <t>f01343d174b6dbc8cd10add58111dfa7</t>
  </si>
  <si>
    <t>7d81853c3b9c80746412829fcf8d2049</t>
  </si>
  <si>
    <t>4bb9b27e427755a85d3e46ba97619f06</t>
  </si>
  <si>
    <t>ff08c7b60b04ee8cc988ea0742a5e77e</t>
  </si>
  <si>
    <t>9e3a7911950eab6a8924acece3960e02</t>
  </si>
  <si>
    <t>915dec2be7f609c9b0944089d14361de</t>
  </si>
  <si>
    <t>e4698785c2dd62a17bad5d0cb3d3e9ee</t>
  </si>
  <si>
    <t>6da987f4db3577a16f958f27c6d0a251</t>
  </si>
  <si>
    <t>0c6702e7c69ad5df080432c20b524db6</t>
  </si>
  <si>
    <t>155c238e516a4518c40b498dd4aaaba5</t>
  </si>
  <si>
    <t>6c795eec1c0467ec2121a73e2132604b</t>
  </si>
  <si>
    <t>f0fe8624ed77b0f2c7c5a6e6826021cd</t>
  </si>
  <si>
    <t>2ddd93f42feeba056d189ad5a84f1793</t>
  </si>
  <si>
    <t>363d93b89826b0bde38f57bd7bf52e20</t>
  </si>
  <si>
    <t>ad9582d61e0e515df4ee5f9f1bece798</t>
  </si>
  <si>
    <t>e21fbb46105c5238f41b8184125658ad</t>
  </si>
  <si>
    <t>6744140b06a752fafd3c7e4937075ca8</t>
  </si>
  <si>
    <t>8e266aef0beb22dc747cc1db12bb018b</t>
  </si>
  <si>
    <t>8f86e15bc763aa2b566e5b74829200a2</t>
  </si>
  <si>
    <t>c6e935b38be71a5a4194967464a44772</t>
  </si>
  <si>
    <t>81d46f9dfffbb00ef615472f9027b58d</t>
  </si>
  <si>
    <t>a7c2e56b94b4f46ec60a68e20b4e8f9c</t>
  </si>
  <si>
    <t>a8d73284b5d2d7a3251cd5fad424a476</t>
  </si>
  <si>
    <t>007491783420080b25639249163d109d</t>
  </si>
  <si>
    <t>444d8477c9764f0afff3f91ee5165019</t>
  </si>
  <si>
    <t>32a16c22a08b5360601d155c4803b7f2</t>
  </si>
  <si>
    <t>f702407c8ab99af3b508ed528516b86c</t>
  </si>
  <si>
    <t>d0b9ad3d3ca9c79694e2ce99aee06382</t>
  </si>
  <si>
    <t>f2169fa8be6ba030c53e9f81c47c1d99</t>
  </si>
  <si>
    <t>cf76184c6e3c74405cc7016920e53004</t>
  </si>
  <si>
    <t>6150bf474f35cfe72d60c24f46a991fc</t>
  </si>
  <si>
    <t>9fa80e175795759b2749da4ab953784d</t>
  </si>
  <si>
    <t>3f6ef69d17c6561909c684b8189fe349</t>
  </si>
  <si>
    <t>7db18f538959df68c644ed49564833a3</t>
  </si>
  <si>
    <t>2517e55b4bfe200e1e2c7dfd27e8fd5f</t>
  </si>
  <si>
    <t>65bc6b569d41780546eeb0d5b63626f2</t>
  </si>
  <si>
    <t>5abe018d038a5f636f45328b8950cc50</t>
  </si>
  <si>
    <t>77dd1e39a455f1c57e984f7fe30b59b9</t>
  </si>
  <si>
    <t>832f8bca9465c6df98528ba13891c147</t>
  </si>
  <si>
    <t>a1909e0d6464d48ffddb13b0ec34c563</t>
  </si>
  <si>
    <t>0160134f4214329e47c0dadcb73f646f</t>
  </si>
  <si>
    <t>634b9747aeb852449da30a415fb60aa9</t>
  </si>
  <si>
    <t>29a3d252405fb67dcf7e17e04522fff0</t>
  </si>
  <si>
    <t>3c393443d24e71aeb3557011787c11cd</t>
  </si>
  <si>
    <t>1c3e364cbbce8b2c102bf0dd90ca89fa</t>
  </si>
  <si>
    <t>be531378fcd22f55e661e629d5dab9c8</t>
  </si>
  <si>
    <t>051b614de48247432c8a44200229791d</t>
  </si>
  <si>
    <t>a06bfd4fadabe9ee5815911d150d4167</t>
  </si>
  <si>
    <t>f085547b5f91b3ab87bad8b4e0d7674a</t>
  </si>
  <si>
    <t>cadf9f2f22173800aa67dfcc25841440</t>
  </si>
  <si>
    <t>be61c6941614701dfb42cc43d04be6d2</t>
  </si>
  <si>
    <t>f5abe18064d57c2e5a768504a2041036</t>
  </si>
  <si>
    <t>08484fb15d5a63e5dcca8ea3d08374ae</t>
  </si>
  <si>
    <t>638d98a3871a7670e644fa1b69111fab</t>
  </si>
  <si>
    <t>43e8ab73ce9890e4e041d2db5fd36999</t>
  </si>
  <si>
    <t>b91e936ef19215572bb05977faae1d85</t>
  </si>
  <si>
    <t>8c46df32775afcc338f82c9abe645cc2</t>
  </si>
  <si>
    <t>24f0f5f2bd114f02fbf9a531068f0b44</t>
  </si>
  <si>
    <t>1eadd53b3f3f514579f064dc20b8c0e2</t>
  </si>
  <si>
    <t>9f4a44a16dec1a082e77acf25f2a5992</t>
  </si>
  <si>
    <t>a94589cf43e8ec17e83570b720109b94</t>
  </si>
  <si>
    <t>ed7c2df00da3928f799751b048ed5ab0</t>
  </si>
  <si>
    <t>00701bfa411bb151a8516b9730037148</t>
  </si>
  <si>
    <t>4ed1821c31cd5c17f150a5149ec39f8e</t>
  </si>
  <si>
    <t>b404579a33d6c50199eefb174df7b02a</t>
  </si>
  <si>
    <t>e5771214664db8f497f005808cb5869b</t>
  </si>
  <si>
    <t>1404d2d16ab402e5a4b412400ebb2307</t>
  </si>
  <si>
    <t>aa721632f9066fae441aa6f0b09bd9e4</t>
  </si>
  <si>
    <t>7af61e5f524cea0e7dab3a8dfc4c00d6</t>
  </si>
  <si>
    <t>96a8b6d3cae8b7a850188eebc0d1ecd7</t>
  </si>
  <si>
    <t>1ef101de84f042e4d763e3235785e0df</t>
  </si>
  <si>
    <t>e16e18c08f9710f81d96325f8cbd9524</t>
  </si>
  <si>
    <t>1169c74cbc26f95cf5c2a04434c97115</t>
  </si>
  <si>
    <t>08184de335b171e486b555d31d9c647b</t>
  </si>
  <si>
    <t>1757e3f18eafbd664e0bc8cd4c2e0e39</t>
  </si>
  <si>
    <t>df1d7cf1ec07fe3f4f3883ea11abb992</t>
  </si>
  <si>
    <t>c57bf132f2ca64d288f7353f2e11a38a</t>
  </si>
  <si>
    <t>f470fdd03171fb2bfe46d29c9f3e9306</t>
  </si>
  <si>
    <t>063f5947bbefa2dc4936b33f80cab66c</t>
  </si>
  <si>
    <t>254aeaad72ea9fae24715d6f62dc71a5</t>
  </si>
  <si>
    <t>b8cc49b19db5de8ec30f938aa3d916a9</t>
  </si>
  <si>
    <t>fd5e90020fbd7cf001751decb2397038</t>
  </si>
  <si>
    <t>576fe2a764389ae05931dd1f11ab6566</t>
  </si>
  <si>
    <t>977ff9171360694b980e08c49b3579dc</t>
  </si>
  <si>
    <t>045ce2e6853c2a1183f06fb5c0ed0850</t>
  </si>
  <si>
    <t>8c433a09bd26b943147c4d9bacb15efc</t>
  </si>
  <si>
    <t>c4bbc69cad5c99edfdf9a75ac210dce2</t>
  </si>
  <si>
    <t>fae638868c63f0bc5f9e26b95b828049</t>
  </si>
  <si>
    <t>5dbb759bbdae5f1c53e792747488ff52</t>
  </si>
  <si>
    <t>ce3d865b7bb66f7728988e0220bd51bd</t>
  </si>
  <si>
    <t>601d951f4f2552d36955ef1cd551253a</t>
  </si>
  <si>
    <t>41f68228d0fc3e3414dfabe7fc3631d0</t>
  </si>
  <si>
    <t>0c958f74bcd824f4a60d82201a845fa6</t>
  </si>
  <si>
    <t>34474dcb1ae25c15ec2439bc39eec736</t>
  </si>
  <si>
    <t>5d7de12a8c0269c0ad4795f295a48b25</t>
  </si>
  <si>
    <t>66ab2607003b903c9c09974584817b04</t>
  </si>
  <si>
    <t>c754f5d09de891bf9429e3a39af69ab6</t>
  </si>
  <si>
    <t>7d690f908a916c953eb7fa4f949b548b</t>
  </si>
  <si>
    <t>3567cfd1c686f29a14001b0e2d6bb6bc</t>
  </si>
  <si>
    <t>5950e5dfc73454c6d83969bb09ba7fcd</t>
  </si>
  <si>
    <t>f16ae7b81aea1828c86aa81e74c511de</t>
  </si>
  <si>
    <t>8476d966ed57bf67ad4ce07d59ca80ac</t>
  </si>
  <si>
    <t>c247525d91e6c9995de621adddaf41d1</t>
  </si>
  <si>
    <t>5be5a7506bfc5ce83afa8354f9ac5fff</t>
  </si>
  <si>
    <t>b51b5a040fd76d72567c599481147956</t>
  </si>
  <si>
    <t>695f53f1db4d435235a6cc4d64b96660</t>
  </si>
  <si>
    <t>ed818923ca007fc44b6f7e47de7eb87a</t>
  </si>
  <si>
    <t>dc0f604bed9e7fe164e5568aa0ebf53e</t>
  </si>
  <si>
    <t>bac146ef43c3c4fd224c5444e60faa93</t>
  </si>
  <si>
    <t>151d5575a642287261af4311d569e07c</t>
  </si>
  <si>
    <t>372bf62b72d24e14467cdbe1a7692a7c</t>
  </si>
  <si>
    <t>63c6182693644ee5d5724dc5103748cb</t>
  </si>
  <si>
    <t>94c9298b94dc161216483cfaf7ad8333</t>
  </si>
  <si>
    <t>8dd831e4a369590fd04f354d960b2967</t>
  </si>
  <si>
    <t>eb3e78a6d08bc2aad5ab094608a71c77</t>
  </si>
  <si>
    <t>9458a2f8516751e16831dfba0c019582</t>
  </si>
  <si>
    <t>d303e6665ea75181d5bdf2221aa8a0fa</t>
  </si>
  <si>
    <t>3659943c93a11347e91c430725613c9a</t>
  </si>
  <si>
    <t>9ea66f48769859364f58fb5458bc89b6</t>
  </si>
  <si>
    <t>8387418ed9ce2d0e0188fced31bb45d4</t>
  </si>
  <si>
    <t>d607cb39183721ffdca411d397c2db0d</t>
  </si>
  <si>
    <t>786723d8a8743466b6206c86f2970f2e</t>
  </si>
  <si>
    <t>294e6cdc2c9154dfc741880c4374b66a</t>
  </si>
  <si>
    <t>28136aa7beca6ef377beef7ab87ea573</t>
  </si>
  <si>
    <t>3cf0846b792ba6419864fa31eba4d3fe</t>
  </si>
  <si>
    <t>bf411614dc97660a06ab79418eb12417</t>
  </si>
  <si>
    <t>a2d436321f525baeeb4021f7c9f3047d</t>
  </si>
  <si>
    <t>afd74c13e62a269471bca76837fc25d5</t>
  </si>
  <si>
    <t>eef3298c9cda3e9623ea25d2230ec88e</t>
  </si>
  <si>
    <t>7fa6590e1b6cc9f17eb5cfdcfad63d50</t>
  </si>
  <si>
    <t>39f4330e7135ef4936816967f9927739</t>
  </si>
  <si>
    <t>9688c999c6508777280b6e8074ad82fa</t>
  </si>
  <si>
    <t>1cba40e3efa7040ac28c0f065f7cacd1</t>
  </si>
  <si>
    <t>d68887eb62ebc7bafb5ad892919b44e2</t>
  </si>
  <si>
    <t>e3dabf77dd2fc079db2f54e480c00595</t>
  </si>
  <si>
    <t>83218450304f89053114eaa3b1487815</t>
  </si>
  <si>
    <t>48a34b386d28d2887f07eb97a60c9540</t>
  </si>
  <si>
    <t>2ef610424f612b411a3e43f0917fb3a6</t>
  </si>
  <si>
    <t>419348705183d1c2215cbff57669cc36</t>
  </si>
  <si>
    <t>fce66b28c576f7fa8f94c49c95bea437</t>
  </si>
  <si>
    <t>f546530f9d36ecd8a57b56c5f8bd98e8</t>
  </si>
  <si>
    <t>48ecd78598456095d654c9196f973b00</t>
  </si>
  <si>
    <t>a728eb04f5469d9c5ec50dfd13a067f9</t>
  </si>
  <si>
    <t>9c2bab00442da25569e13f04de9ffae5</t>
  </si>
  <si>
    <t>c70370bf064170a05f1e3e95de3ea26f</t>
  </si>
  <si>
    <t>911d28522117a1c1f47a42df7743b846</t>
  </si>
  <si>
    <t>f45441ae6bc4a14109990b452feea703</t>
  </si>
  <si>
    <t>49e1ed7b49f9a99380daed2233ae4f63</t>
  </si>
  <si>
    <t>7cc363172b333199364a4e07bae60688</t>
  </si>
  <si>
    <t>116b896114ff71245852cace1f9f69c5</t>
  </si>
  <si>
    <t>92f57807d7a38f80a3b0f7fd4b639da9</t>
  </si>
  <si>
    <t>44c2f762a8f66756fb4b6f00606e17ee</t>
  </si>
  <si>
    <t>298731e3aaaf9ab8825be38dc73bf1c7</t>
  </si>
  <si>
    <t>5eac0347e226308d6c55e79d4d4e6eb0</t>
  </si>
  <si>
    <t>2a202546a9f78b3320773a9f3c44ea4c</t>
  </si>
  <si>
    <t>086ebdaea8c25abaebdfdee0f14ff396</t>
  </si>
  <si>
    <t>0b76fdf0c77a7c5b8b15b0eeb68109b8</t>
  </si>
  <si>
    <t>33c54daf901630e4e088b9986156a597</t>
  </si>
  <si>
    <t>70b98d30e383df910ce3d693603404fb</t>
  </si>
  <si>
    <t>ca4ba3a66c9c7b3a0ba4529b66d00928</t>
  </si>
  <si>
    <t>6c3b14f64524a7781460f4566bd754a0</t>
  </si>
  <si>
    <t>f2456637128949750284251766254fae</t>
  </si>
  <si>
    <t>64078d75b35c1df83ebde92c7babe9d4</t>
  </si>
  <si>
    <t>1c495f16f70906bb6768dd8933f8ab5b</t>
  </si>
  <si>
    <t>14a2750f09d061e1744e376eeaae4608</t>
  </si>
  <si>
    <t>0dc37dbfb671e83342895a9ffc8fed89</t>
  </si>
  <si>
    <t>f739ffec9c4d7bfab01e567918c29f03</t>
  </si>
  <si>
    <t>c6f272198f6f6dd8aa7d0522dbbf789c</t>
  </si>
  <si>
    <t>e52e11bcaceb09318392c684df299da3</t>
  </si>
  <si>
    <t>e25d3441c7affc18664a5064c36c96ba</t>
  </si>
  <si>
    <t>c54132b423e84e231137b096533d9c50</t>
  </si>
  <si>
    <t>63fe372a44401791d215daa2eedb8b7c</t>
  </si>
  <si>
    <t>3a0c652a9bb4387df21060f16048ce11</t>
  </si>
  <si>
    <t>0512c4a5f1576437ff9bcbc23b1db356</t>
  </si>
  <si>
    <t>13aa1df0f906a7db328f56a81aed2417</t>
  </si>
  <si>
    <t>c652ffbba1b471f8c3da23f9b3c387ce</t>
  </si>
  <si>
    <t>b147bd07b59bf6b845e2e4238bc73dbb</t>
  </si>
  <si>
    <t>d52999d6422d80b186ce620e746627bc</t>
  </si>
  <si>
    <t>afe0cc0beb2b9f988e0c0682bce4c01b</t>
  </si>
  <si>
    <t>ba1d4b5bbcb4556b5afab63e3f2b3e6d</t>
  </si>
  <si>
    <t>e940b96a746bb2917d9d8a48227456e2</t>
  </si>
  <si>
    <t>2a105749194b245dc8fed18134ced7a6</t>
  </si>
  <si>
    <t>193c41415729c936d40a3a927872bef3</t>
  </si>
  <si>
    <t>bd2f2b08aff741bddecbc867523e04d1</t>
  </si>
  <si>
    <t>80a9eda15c03d95e7ef34aa6c648fbc5</t>
  </si>
  <si>
    <t>627fb92e3ebba0b88ce4a16d38f53e37</t>
  </si>
  <si>
    <t>aab63be06a8939d2a0aefdc8d8c2fdf0</t>
  </si>
  <si>
    <t>10620b7827f8e24f764b930240fa5c96</t>
  </si>
  <si>
    <t>97a57f2e25bb119e1a93d49477095f07</t>
  </si>
  <si>
    <t>e41fa3d414e8eaca9467ecace739b400</t>
  </si>
  <si>
    <t>0e2f55a256a7218367349b9e87657252</t>
  </si>
  <si>
    <t>7dd63bc018cc1cc492e7d87ac6c3e465</t>
  </si>
  <si>
    <t>5e8c84768da5bcb14f66d92aabe75092</t>
  </si>
  <si>
    <t>90f489687126854b708f866befcec1ea</t>
  </si>
  <si>
    <t>d7686a221f4e121ba0465eb70104efb7</t>
  </si>
  <si>
    <t>c43fbaa3bb76eb9f22224f575a8f0607</t>
  </si>
  <si>
    <t>1cc592e0dd99de5fa4555f68bb225e12</t>
  </si>
  <si>
    <t>f43f639000f6f3c6ff1f3e8006ac0816</t>
  </si>
  <si>
    <t>942a764a025ebb9250882be951b58743</t>
  </si>
  <si>
    <t>98c607c15e37617d01504227c5f5b597</t>
  </si>
  <si>
    <t>cf685b623ec061901728d5f731b765a3</t>
  </si>
  <si>
    <t>7f56061fb30e16364c61cc7fc0a8b4e9</t>
  </si>
  <si>
    <t>1306c03a55fa10ba20fa30bc3b098338</t>
  </si>
  <si>
    <t>cb15e297b291d8ef88f2f477defaab2d</t>
  </si>
  <si>
    <t>732752dbdef0f33b59d4701c53b5341b</t>
  </si>
  <si>
    <t>101ca20b57acb67a738bed02667279d8</t>
  </si>
  <si>
    <t>e5e63e1b118dabdbd6b5d2e7cf43b72c</t>
  </si>
  <si>
    <t>ec470ad3d3fb68337b14d514b9e73238</t>
  </si>
  <si>
    <t>fbe77ad230d9319dccf7c5006a012c06</t>
  </si>
  <si>
    <t>82f0c967da8c5e2a849e7290eb209f03</t>
  </si>
  <si>
    <t>a76650df1a9ed5ae6c11bce464aa2710</t>
  </si>
  <si>
    <t>a7308ceb6bfe23ec59af4c75cd8885ce</t>
  </si>
  <si>
    <t>a6cdf7d7accdc2a5afc50c9ce763cbf2</t>
  </si>
  <si>
    <t>058944e29ac0db15f9d8ff177b730609</t>
  </si>
  <si>
    <t>5782efc436ca617a069a0cbc86f5f371</t>
  </si>
  <si>
    <t>db9c81673b36dd9dacb092db793de572</t>
  </si>
  <si>
    <t>91270e97491a918496e6569c9fcff808</t>
  </si>
  <si>
    <t>9012a1c75d959d58edd3a3fc1c0f5b75</t>
  </si>
  <si>
    <t>0df634d9492c741eb699cdf87b9ab281</t>
  </si>
  <si>
    <t>89f88e2b3281be852faae4f18b8c0fcb</t>
  </si>
  <si>
    <t>7c667fcefbc8afcb8641fd246d60c462</t>
  </si>
  <si>
    <t>619c0570b1c04cd3426085a383cafb62</t>
  </si>
  <si>
    <t>0954173523b13b9dc8c4978a954fd0b0</t>
  </si>
  <si>
    <t>8e79d8f9f9bd5790fac0c5305066d111</t>
  </si>
  <si>
    <t>bff45300ab6b66080f7f9337d470791c</t>
  </si>
  <si>
    <t>0b05e2f5a10750f6fc431fe91cd28aa7</t>
  </si>
  <si>
    <t>bb4968ed0b140b4248317ab001c966c5</t>
  </si>
  <si>
    <t>b6ab25e26f747fb4282c742a98d892cb</t>
  </si>
  <si>
    <t>908c5a804c204a58e06d8f7f0b7e53b7</t>
  </si>
  <si>
    <t>dd0e5d3313b032ce56c959d25e1beee1</t>
  </si>
  <si>
    <t>5f8ff9510f85e3e9dcb1d74965bf8d48</t>
  </si>
  <si>
    <t>e14dc01aadd6ee3cee4ef338fd966b35</t>
  </si>
  <si>
    <t>28e268a8abf4b64614d94f8bba977246</t>
  </si>
  <si>
    <t>5ea40273e56bd87ec62c0a113f20fdc2</t>
  </si>
  <si>
    <t>572b2297b5fcd241d2c8b328f83948d1</t>
  </si>
  <si>
    <t>960c4a626b7d97c94f29b118a8d395f1</t>
  </si>
  <si>
    <t>f0d92a0e3d866de3ab42f2223efddec7</t>
  </si>
  <si>
    <t>92b5eb942a693af473d741b2c487fdd5</t>
  </si>
  <si>
    <t>da4b6c9de8b0a3adf66759c0fcbef5db</t>
  </si>
  <si>
    <t>b5641cd52206b351965ff0cb0e4aff6c</t>
  </si>
  <si>
    <t>f843b38155cd45cd93df8b66feaf3492</t>
  </si>
  <si>
    <t>054dc98b329e8837d6429c4840c88268</t>
  </si>
  <si>
    <t>adf06790db90a92467a44a9a4d913e08</t>
  </si>
  <si>
    <t>42f2d2234188bfdd8fab51ddcadcee37</t>
  </si>
  <si>
    <t>e1db696dd96f55544d1a322402e33f52</t>
  </si>
  <si>
    <t>e7cb3af0459b010c53533157ed3d1110</t>
  </si>
  <si>
    <t>c2bc8f626b7aa52fb0eb9871805d865f</t>
  </si>
  <si>
    <t>fc09bc726c8f8212248df25f0b6c4f24</t>
  </si>
  <si>
    <t>6ab08e73ce25fd0431693a4c3998cdfc</t>
  </si>
  <si>
    <t>1504d56c70e614417b8d1aec1090fec5</t>
  </si>
  <si>
    <t>2191b0457b51692049fca7e1bb5c4aca</t>
  </si>
  <si>
    <t>32235d0407f38dd1a6781a0db62b457b</t>
  </si>
  <si>
    <t>e9c283d59b5d6f8035d3978c061661f5</t>
  </si>
  <si>
    <t>ef591ef20bf1f1923947002769dd0fa0</t>
  </si>
  <si>
    <t>92df13aefec1a7292f606a4c7d4187bf</t>
  </si>
  <si>
    <t>99d403e4b3d5513eb108bac456ad8b1b</t>
  </si>
  <si>
    <t>c4ace1b3502c205d946d46afc3de1766</t>
  </si>
  <si>
    <t>dfc3b656bac13de62e4efca322b3f2c1</t>
  </si>
  <si>
    <t>5896580fef0fba59f84ab5a2f3d3664d</t>
  </si>
  <si>
    <t>628a5609738c5431003e28cd9b913a62</t>
  </si>
  <si>
    <t>090ffa1062e6dde353c36524563acefc</t>
  </si>
  <si>
    <t>5d977a1a6ac388fbbbc745d11142cdd8</t>
  </si>
  <si>
    <t>9404007133da9b27ee9b99aac68fdcd1</t>
  </si>
  <si>
    <t>fedc79bd71deb70ba0564157e3314fec</t>
  </si>
  <si>
    <t>457c7caf38b56ec93afbf6ad22877478</t>
  </si>
  <si>
    <t>64bb4061482a669cede062dfe81b88e9</t>
  </si>
  <si>
    <t>fe2e9cb2ea6cb28769e3c4947d156690</t>
  </si>
  <si>
    <t>436daf7e5bdda10a4194fa6e7fb100d9</t>
  </si>
  <si>
    <t>c2a6300aa487ba1f56883b5d6c05e8aa</t>
  </si>
  <si>
    <t>d0192e84341a8e7ba5cc70d8346bc0b3</t>
  </si>
  <si>
    <t>f2f3317a5ab09cfc369091bf08f239a4</t>
  </si>
  <si>
    <t>fde4d164a6f20582854b04bb779f621d</t>
  </si>
  <si>
    <t>54c295687bc2a7b6d2e9d61e0e5d6f66</t>
  </si>
  <si>
    <t>f999094362eeb32f2ef5a275991df98b</t>
  </si>
  <si>
    <t>60dfc9f44b250ed03992a2a1b39a30c1</t>
  </si>
  <si>
    <t>9dff9ab17beb0a69734bac543900c536</t>
  </si>
  <si>
    <t>d36ac395fa31afe3c1cc571c09a9644d</t>
  </si>
  <si>
    <t>2db559a91e35ed06d98446aa9cbbcc73</t>
  </si>
  <si>
    <t>4385a0335a5daa56f694a86f9e3e599e</t>
  </si>
  <si>
    <t>d12fec62f69e678f635825963e988562</t>
  </si>
  <si>
    <t>9e04709686781f100b7c46c697891c17</t>
  </si>
  <si>
    <t>947501a196966253d01a63be8a17e8cd</t>
  </si>
  <si>
    <t>7859df91d0151aa6b404de12b8362300</t>
  </si>
  <si>
    <t>6bec3e778994bf422cdff4cc8ee341a2</t>
  </si>
  <si>
    <t>cc4d91edae41488c825cc05a61fc4452</t>
  </si>
  <si>
    <t>3e984ce2ff389ee3a938f3ca5b014e4d</t>
  </si>
  <si>
    <t>0b99dab71519032b917dc641cdd7ac5b</t>
  </si>
  <si>
    <t>d41d8cd98f00b204e9800998ecf8427e</t>
  </si>
  <si>
    <t>acc16ca49b7630c6f073f845dc586dcd</t>
  </si>
  <si>
    <t>e998c9a2c0e92504311cde9e43a34026</t>
  </si>
  <si>
    <t>64efc780f9e9d573f623c9c0718a7b9a</t>
  </si>
  <si>
    <t>f386f35a4c15acb710fd7bf4f00110a3</t>
  </si>
  <si>
    <t>f18c83d4df979ea9f9363d95ee757148</t>
  </si>
  <si>
    <t>35fd51d1e96fbe2f28760472a381534a</t>
  </si>
  <si>
    <t>bb5a9482a2dfd06d2e68299a8cabdf31</t>
  </si>
  <si>
    <t>5f03fe4af2ac4432fb8514bd43d88648</t>
  </si>
  <si>
    <t>6e2559b077897e54a426cbdbd0bb05cc</t>
  </si>
  <si>
    <t>52158d6f6f2a8228033b2dd5924de7f7</t>
  </si>
  <si>
    <t>eeb57c36455e343cd204cb698a6e8079</t>
  </si>
  <si>
    <t>603107e69309e0846426fd3f516aef2b</t>
  </si>
  <si>
    <t>f0ba61470384eb03b493f0650c2f33ae</t>
  </si>
  <si>
    <t>3002c4f3485b1e76717e48f96e5fcbe7</t>
  </si>
  <si>
    <t>e49f17bdae6bfb91c8a996d7ba623799</t>
  </si>
  <si>
    <t>94e5334342049bf8fc3c617362be2304</t>
  </si>
  <si>
    <t>e564b6518a085f7925bf32cab9c32584</t>
  </si>
  <si>
    <t>5bfcd83ad8acb6ab91ffa9a89da30c90</t>
  </si>
  <si>
    <t>41b388b1c94a67752c29f62a6b12b0fa</t>
  </si>
  <si>
    <t>2c7b84fa30f0cea96a90729afe2970a0</t>
  </si>
  <si>
    <t>772b0baed68e072715d9958602a7a8c3</t>
  </si>
  <si>
    <t>5134baf5f48adb897172536a7d6bd1d6</t>
  </si>
  <si>
    <t>c9d64f4101b5c9a415f45c377b780f6b</t>
  </si>
  <si>
    <t>8d04c13e080ecc73656118e7650fbb4c</t>
  </si>
  <si>
    <t>4ead4a1873d5c890f6fd1f296422a4cb</t>
  </si>
  <si>
    <t>5b7e0a1ad5d9ac9ef3063b05f55b6d31</t>
  </si>
  <si>
    <t>cc6a03346a8c24eacf57bdf97c1f9c9e</t>
  </si>
  <si>
    <t>1b9a2958ea60ecfadb3e39071801675f</t>
  </si>
  <si>
    <t>469571404e9f875662e862b4adca3245</t>
  </si>
  <si>
    <t>e41e2bf8a60897a711c94976b5df5070</t>
  </si>
  <si>
    <t>690baec7c6e9b45cfeaf09ccec212bb4</t>
  </si>
  <si>
    <t>f614dcb06ea2d91916df976112cbefcd</t>
  </si>
  <si>
    <t>722eaf15b47c6ce753f1482b352f5c48</t>
  </si>
  <si>
    <t>ad5ba4274138d6f039cc4cc1c14867cf</t>
  </si>
  <si>
    <t>22b91e866a98674f898cc7add8841a39</t>
  </si>
  <si>
    <t>4bb51d72da028d47b13bbe68fa9d43bf</t>
  </si>
  <si>
    <t>b3793d60191d559f7ab979f5b00a1a17</t>
  </si>
  <si>
    <t>3b6c4cb66e2dbfd2ab568af84dc844af</t>
  </si>
  <si>
    <t>18d84eb30b59b5f3cc748bfe9f68b472</t>
  </si>
  <si>
    <t>4ea1a79057f88cc5c1e0431929aa1d98</t>
  </si>
  <si>
    <t>b9a9bd7f17185ed559381b351751801b</t>
  </si>
  <si>
    <t>657b0ad0569f3ceae3427be2623753cc</t>
  </si>
  <si>
    <t>3fd71e7e6cf64921740567dcfefb68cf</t>
  </si>
  <si>
    <t>1bedba9c25b2c05793a5702f1c69ac45</t>
  </si>
  <si>
    <t>e562c0deb50e01ea8306d21282d54d26</t>
  </si>
  <si>
    <t>a286be2b8cb6de66943d8025b3fa7e33</t>
  </si>
  <si>
    <t>f9cba935dc57ee3ead2f292cd14d3c3c</t>
  </si>
  <si>
    <t>a77d3cad2f8792ea23272c9eef1b6597</t>
  </si>
  <si>
    <t>f044c6276e36beb1492ca9e529efc680</t>
  </si>
  <si>
    <t>2ffe64129ff66819d763ef9148d4c761</t>
  </si>
  <si>
    <t>8a152128c60bbb20063e9df8f7d35c45</t>
  </si>
  <si>
    <t>9e78649769df2c1e78ceb740d2305814</t>
  </si>
  <si>
    <t>8eadf40572785446ae7cb39cad8c1737</t>
  </si>
  <si>
    <t>553ed65b08798c8e41e5bb4b8486d49a</t>
  </si>
  <si>
    <t>1e4ae01c3bb00107531af91686e82c60</t>
  </si>
  <si>
    <t>c42bd6650f37513f5375dd4e9414b359</t>
  </si>
  <si>
    <t>5b4fa71a2749f25fe9703a7987301c23</t>
  </si>
  <si>
    <t>9077ce55ba293bab4278d5e5e47a9106</t>
  </si>
  <si>
    <t>5f3de53fbab794234589dff4e8ebf060</t>
  </si>
  <si>
    <t>b14e228e56dcd28c35dd0b41a5891c04</t>
  </si>
  <si>
    <t>8e07aa10a5403c30415e19d7cd694b97</t>
  </si>
  <si>
    <t>dbaa5619351a23aa1f82f787f2802e7b</t>
  </si>
  <si>
    <t>5a9261e940edbb56aab440902b1454e2</t>
  </si>
  <si>
    <t>3e145d35dd1945b8b95ec55deaa076ba</t>
  </si>
  <si>
    <t>537f656bcf18ee9855da98b28157857a</t>
  </si>
  <si>
    <t>6a318eb72f69fe14f22c44abe23bdf53</t>
  </si>
  <si>
    <t>f070a8b1f1949464a959bfeaef8fbb67</t>
  </si>
  <si>
    <t>372dfb0a40d906361a899bd38ac0eb93</t>
  </si>
  <si>
    <t>b6339541958d9ab4daf28fdd7f5784ed</t>
  </si>
  <si>
    <t>ce0f8c54d0364e112b25e06db7c59b46</t>
  </si>
  <si>
    <t>901c5103458da9452862157b5b4a2584</t>
  </si>
  <si>
    <t>078fbc1d65812e5859c6382f0eb1bb5e</t>
  </si>
  <si>
    <t>b51887d225c4084c4c75f34ae85ff5e8</t>
  </si>
  <si>
    <t>202f23d31e8c8dd9fbe4669c5e0cc7f7</t>
  </si>
  <si>
    <t>86c1638ed997351a04bcc55a57dc05cd</t>
  </si>
  <si>
    <t>2ec0e064ff1ce7e35575be2cd7aa9431</t>
  </si>
  <si>
    <t>674677f8d24764e5f2f0ccad6781ef47</t>
  </si>
  <si>
    <t>2feec85dc487b235304e69f08fed3a39</t>
  </si>
  <si>
    <t>96f10132748c7049e3bbf5ca0b275f18</t>
  </si>
  <si>
    <t>c3feff36f100596a451a7ab3f53075d9</t>
  </si>
  <si>
    <t>fcbdf2bdb9c2d9636594702ac076f167</t>
  </si>
  <si>
    <t>82553a1ebce1e1df751e69b697bd097b</t>
  </si>
  <si>
    <t>22c2de9dd51537147e2042c8372d62c5</t>
  </si>
  <si>
    <t>72ed91f272d521b8337e030fbb0d9810</t>
  </si>
  <si>
    <t>1fdfb6f89419a6d2e520339bfea2d0bb</t>
  </si>
  <si>
    <t>ba2cec26293a1db3489823447cd00914</t>
  </si>
  <si>
    <t>35a56c3a743d11bf7908edc1f53482ba</t>
  </si>
  <si>
    <t>7cc823641aebc866527e31b0d294f215</t>
  </si>
  <si>
    <t>95831099d5d2171aea50c24de5332f73</t>
  </si>
  <si>
    <t>2ea3bbe4bd6170e7d1439523953dd068</t>
  </si>
  <si>
    <t>8b3e245494a534cae8182756e1c33a4f</t>
  </si>
  <si>
    <t>3c50dacab7d81a61f9e2fb94daefbfb6</t>
  </si>
  <si>
    <t>ea1acb5549f38021d7372b6eeb61fd05</t>
  </si>
  <si>
    <t>38527f6aa36f7cf468e6f6b561afe994</t>
  </si>
  <si>
    <t>df799efd470820bf3df8d4b9c29730ce</t>
  </si>
  <si>
    <t>dad9375c9bd04516b37e25662b76e0eb</t>
  </si>
  <si>
    <t>bd8f44067769dbfb91bd4b4c13c967c2</t>
  </si>
  <si>
    <t>555d4939b10bf95704808379fb9d29d0</t>
  </si>
  <si>
    <t>a8da9e43859d5040532f379059831a0b</t>
  </si>
  <si>
    <t>cdb1b8659398b6fc3d538fb524493d5e</t>
  </si>
  <si>
    <t>b868a75cbe1372040841ba8235b4f070</t>
  </si>
  <si>
    <t>ef550dcce21575f93d8595c44f220121</t>
  </si>
  <si>
    <t>12795bc7a24533b7946cf3584f0e8e1e</t>
  </si>
  <si>
    <t>789980830f6960e332045653a8fe1a1b</t>
  </si>
  <si>
    <t>7a43fa89fbc04c64cd1f481b59db4b45</t>
  </si>
  <si>
    <t>fffffe98d0963d27015c198262d97221</t>
  </si>
  <si>
    <t>61f3024ed641390e498517b310f7a378</t>
  </si>
  <si>
    <t>edc584da9943130e5fe7b9f60e863f1f</t>
  </si>
  <si>
    <t>90067edaa1a5fd3244571b6d71522b61</t>
  </si>
  <si>
    <t>4140fe6a9358de3c9d660225c4c2fcb4</t>
  </si>
  <si>
    <t>7dd9884b559f0344c9254ce81e001ae4</t>
  </si>
  <si>
    <t>1364f5a1e2fd89c14c1d75d61cd44982</t>
  </si>
  <si>
    <t>b8bdaee506282b82d47d2777faa9d241</t>
  </si>
  <si>
    <t>ab2376b87c861284c1022c539ca9b001</t>
  </si>
  <si>
    <t>10e71f188f6f3575f6be7f7e94c50c44</t>
  </si>
  <si>
    <t>d09690ee3975605e0388eac03d655623</t>
  </si>
  <si>
    <t>2f1cd5f3b17a865d680fb1f2c299e705</t>
  </si>
  <si>
    <t>9735d7a0dbe9dbeed16a16c4c785b769</t>
  </si>
  <si>
    <t>e30b6fe36d1ad2145ca4544e3362b5c1</t>
  </si>
  <si>
    <t>ec104944be7abcb1b28b0069a5c35913</t>
  </si>
  <si>
    <t>d372d4ba86f4a5e6d13b05144b47506e</t>
  </si>
  <si>
    <t>962c66216e363a8f4407a546fcc1a85d</t>
  </si>
  <si>
    <t>6338c24be7d85863109dc1a27183263a</t>
  </si>
  <si>
    <t>c319b80e19fefc69d451ad9eae7efdb4</t>
  </si>
  <si>
    <t>984caf5cd6531beb94e435db458b7cc9</t>
  </si>
  <si>
    <t>ec8cb5c7c2b8b15598b6b6d4f41af482</t>
  </si>
  <si>
    <t>f5ab797de5386f2868f35ff96a052cd9</t>
  </si>
  <si>
    <t>5e285258b2a7b03236d37eb86a562ee5</t>
  </si>
  <si>
    <t>7c74782c46a2cecf21f674c10da18534</t>
  </si>
  <si>
    <t>753dba7a1e2b2511de6aaefc613b7aeb</t>
  </si>
  <si>
    <t>6ef77bd3e3cfb00cd02bba48e6e9a9e3</t>
  </si>
  <si>
    <t>c0a4b0fa8862500a10f65f4d6b1d4490</t>
  </si>
  <si>
    <t>9a16bdc968115f58668f35dd4bf26158</t>
  </si>
  <si>
    <t>2c5d7eba7610493f33dd6b68d75ef87c</t>
  </si>
  <si>
    <t>4a875e76606323d2f7573b7a86b656fd</t>
  </si>
  <si>
    <t>5ef6fac3b859bda32552555b77f147dd</t>
  </si>
  <si>
    <t>a5d8bb936c943624140ddade75f55b79</t>
  </si>
  <si>
    <t>6587f3f6839dc4091f5c6afe2148ac7f</t>
  </si>
  <si>
    <t>7c1bc13be224c2dc020fdcdc6604a49c</t>
  </si>
  <si>
    <t>72d8c52e8efc6b0e3db32756ee69c9f9</t>
  </si>
  <si>
    <t>67245236ce5a981076ce7feffc35c893</t>
  </si>
  <si>
    <t>0b2b304595422fcc7a7b45fc7329e5ca</t>
  </si>
  <si>
    <t>e2e67cce16ad4e30e1f8962402480f17</t>
  </si>
  <si>
    <t>8efada2b3d4c7acb1a733be531121ac7</t>
  </si>
  <si>
    <t>92755a673d57a87da1f03770a5e3f6c6</t>
  </si>
  <si>
    <t>d9f1f4dc0015d78e977e427cbc75736a</t>
  </si>
  <si>
    <t>7237b93253823cc2ffd24ddfb8ee4b4c</t>
  </si>
  <si>
    <t>69f0cadc7e2f0e79b31a546a1a60fe90</t>
  </si>
  <si>
    <t>57990ea703eff0f2408e8bac75f342d3</t>
  </si>
  <si>
    <t>30b8014701a623705dd4bbc01ee7860b</t>
  </si>
  <si>
    <t>ca68cd8857bff0680afb365cacc580c4</t>
  </si>
  <si>
    <t>3f6692d46f80ef436cb5050f3c094e15</t>
  </si>
  <si>
    <t>657577da81e125b33239d0cc645b7164</t>
  </si>
  <si>
    <t>14506ccc39f3552b05392398d45abbb7</t>
  </si>
  <si>
    <t>bb8e9f780bd9dfae6288d1b15d13ffed</t>
  </si>
  <si>
    <t>25fa2d39a0143f1f30c36eece145a526</t>
  </si>
  <si>
    <t>7570a1928de2b6137980bde646329ba6</t>
  </si>
  <si>
    <t>25a66e13390694e2b55814e888c8d3f0</t>
  </si>
  <si>
    <t>dd473ece077230d91b9340e3b4e57c11</t>
  </si>
  <si>
    <t>a11c4a4b078821ac00177f52c59d9990</t>
  </si>
  <si>
    <t>6a83281271574c5862e937abe66b2e23</t>
  </si>
  <si>
    <t>efda1f74bbe96f65d38c079fc9c0ca32</t>
  </si>
  <si>
    <t>7378210190a8c382ad226ab9a7b54523</t>
  </si>
  <si>
    <t>36fa774e2070c58cdc2ddb03d8645356</t>
  </si>
  <si>
    <t>1e4cb2e03f2f23188afd6326c1ccd15b</t>
  </si>
  <si>
    <t>5117923acfec808f84c1108340268328</t>
  </si>
  <si>
    <t>31415e86b6cfa88ee7580b08922c0dca</t>
  </si>
  <si>
    <t>c6a16e20d228020b3e2f28d3ba692399</t>
  </si>
  <si>
    <t>4e12a64387b9e833d5a82b5ce26b4a50</t>
  </si>
  <si>
    <t>74349b2e19170fe0bbb4feb6f5720c5a</t>
  </si>
  <si>
    <t>0c239762d3a80dad4458be9d4540ba95</t>
  </si>
  <si>
    <t>508cfab9631f5b501a9991a62d93b669</t>
  </si>
  <si>
    <t>32d0cd3623c4eab3ededbe84943049d2</t>
  </si>
  <si>
    <t>11354ac67b0edf60148085d3567844a5</t>
  </si>
  <si>
    <t>4e342d4579c83b48ac6b9ed83a646fcb</t>
  </si>
  <si>
    <t>270c9837c3b21fb83bee9224f701f3aa</t>
  </si>
  <si>
    <t>7cd26db58f0de31308f6954245630c03</t>
  </si>
  <si>
    <t>52a6b7e16cac1d84b4e832c1aa0005e3</t>
  </si>
  <si>
    <t>44e67a303e887000a5489eeece7f6d14</t>
  </si>
  <si>
    <t>0283baf7c9ff556f467ccc5d6b41740c</t>
  </si>
  <si>
    <t>4e902e89b55e2b76c93ed971cf8fda92</t>
  </si>
  <si>
    <t>8e0f5a9efbf3ad58606380abe0decf95</t>
  </si>
  <si>
    <t>95167ae279a3d7d96f8b54e6e97cc3e6</t>
  </si>
  <si>
    <t>cd84d9ba87f839044df81b56aa7667f3</t>
  </si>
  <si>
    <t>1c1487a542f4b4c0b2f14890514f178b</t>
  </si>
  <si>
    <t>0a70b4e9e53d81c726eb245123e2b384</t>
  </si>
  <si>
    <t>69a4241986721658eb6237d56c1b8abc</t>
  </si>
  <si>
    <t>9f365ac1b27ce95a3f99bdcc68420756</t>
  </si>
  <si>
    <t>d805b3977c018e4f8d30c5e6b0e59b42</t>
  </si>
  <si>
    <t>d4d2775cb2a95db2d267b98def4c3e6b</t>
  </si>
  <si>
    <t>1da76f4e60189995aa60cc1d19993ae9</t>
  </si>
  <si>
    <t>cc0e12fa2fbc6425a7a810921be3eac3</t>
  </si>
  <si>
    <t>c73f4d8f3e0c84920eef1464c4c73cb8</t>
  </si>
  <si>
    <t>ce4b094fc70468917d37378c7f0175d1</t>
  </si>
  <si>
    <t>c801f0b7dfb4c99d8daeede22e16e7b6</t>
  </si>
  <si>
    <t>bb7ec17dfd5fcce3cd424b09a7ebb688</t>
  </si>
  <si>
    <t>04d2aa72d47158c3893f1eb1b63a4d7d</t>
  </si>
  <si>
    <t>46b58cc60d2381f5329ccaef74edea93</t>
  </si>
  <si>
    <t>0fa55706c70cfddbae6b05020b195b07</t>
  </si>
  <si>
    <t>00d424190dde9518f8edc5a2658b230d</t>
  </si>
  <si>
    <t>c7c6102d3e9a9c2796099bdb93d3d23f</t>
  </si>
  <si>
    <t>aaa77a0735b6312a741f903324a022b2</t>
  </si>
  <si>
    <t>8d1f15fe248cf8a3911eedaa5a006a3e</t>
  </si>
  <si>
    <t>fe82aeadeaea2186478fe6353d6d5301</t>
  </si>
  <si>
    <t>dead87a4c00de43486ca1c34d9b33c3c</t>
  </si>
  <si>
    <t>15afaeb2c3c4446728e3adfbd35d0801</t>
  </si>
  <si>
    <t>a7c3525b2c5e24f3f212246ee3a64b6d</t>
  </si>
  <si>
    <t>d5f61adf90fbec61cd8c251392bad27d</t>
  </si>
  <si>
    <t>c0eab7b86485ab4672f0c8b4d62af19e</t>
  </si>
  <si>
    <t>93c6c0bd09a280606df12f66752d7b76</t>
  </si>
  <si>
    <t>cb8750613b57d53ea7abfbbdf742976c</t>
  </si>
  <si>
    <t>81ed4d7130d22722194f33b1ab0f937c</t>
  </si>
  <si>
    <t>68cc2a928d18fc6a91e6c944dc8538d0</t>
  </si>
  <si>
    <t>ce53c47e9ce09161564a02707c0b409b</t>
  </si>
  <si>
    <t>17b3df6678b9e61d8c61dc98cf282915</t>
  </si>
  <si>
    <t>bc9e82730f512b188638dde8d5f51cd2</t>
  </si>
  <si>
    <t>064206d63ed10088b994526b21057921</t>
  </si>
  <si>
    <t>a2b3cbe949d6c9cdd5e41ae444be14f5</t>
  </si>
  <si>
    <t>68d9b6f0ca40f114c048f4a91d701085</t>
  </si>
  <si>
    <t>de9605e0626838ac9bc425bbafec7050</t>
  </si>
  <si>
    <t>003d859bbd84a526b9e06340ce7d185f</t>
  </si>
  <si>
    <t>932b37d0151f3368360515ee9397841c</t>
  </si>
  <si>
    <t>45af4af2ae6bf55e858a019a76aa20a7</t>
  </si>
  <si>
    <t>7570fece02991134d0785190d9e5a4eb</t>
  </si>
  <si>
    <t>4f6f19ea03fdcda778f33d42c250fc0a</t>
  </si>
  <si>
    <t>22ecc5d03493ba26f7778851c126bee3</t>
  </si>
  <si>
    <t>8a6a6209090b90fbc29026916155dec2</t>
  </si>
  <si>
    <t>24d866dcbe66afe0feee5936c5d54cac</t>
  </si>
  <si>
    <t>e873d2cf0661d3eaf417b952c7147578</t>
  </si>
  <si>
    <t>8eda503db8f01a5fe0006e1c27655211</t>
  </si>
  <si>
    <t>a08c49164c7d28e6084d1cb99da28f2f</t>
  </si>
  <si>
    <t>9d02788d7cf4ed2fd71f530add408b8f</t>
  </si>
  <si>
    <t>e2f8878a9018464d0e6c32e6c5f755f1</t>
  </si>
  <si>
    <t>8f012eb115c6b37cd310b1643497d6d6</t>
  </si>
  <si>
    <t>b16779a74f2b20eb9a17a785519f63a0</t>
  </si>
  <si>
    <t>ae2da010af91a365a412e97d26ae4e59</t>
  </si>
  <si>
    <t>a0cc6870eeb1114255bb4866b98151ac</t>
  </si>
  <si>
    <t>fe0cb52457d81488e822c9f05591a0dc</t>
  </si>
  <si>
    <t>16d718d40146b50ca7a8a045f1b06834</t>
  </si>
  <si>
    <t>c6dc54236a1eec66569a098d8984177e</t>
  </si>
  <si>
    <t>48c166e714c21cbdb72f2e85d87fb118</t>
  </si>
  <si>
    <t>10f39dba81ce772b450e776e718ccff3</t>
  </si>
  <si>
    <t>34e81352505555b8fea122cba1403273</t>
  </si>
  <si>
    <t>181d697ba3986e50233a8dfb70d2d11a</t>
  </si>
  <si>
    <t>5a48316dcefbfd05ab7a7d98a5e9ec13</t>
  </si>
  <si>
    <t>84a4b37779ee88caf98a810ddc375033</t>
  </si>
  <si>
    <t>3b0297d5f6b35c9ce9075e5873628a72</t>
  </si>
  <si>
    <t>a37f6eb69c0ec999a1679da5e7968c73</t>
  </si>
  <si>
    <t>af6b3a926fd801b68dbe0a5e10d76fa8</t>
  </si>
  <si>
    <t>5b8f025dafb56cb8d3088b7259aadcfb</t>
  </si>
  <si>
    <t>0c48d6d0f656b10e4c01ad9f83cbc1e9</t>
  </si>
  <si>
    <t>49117628ac2ccc7459e70c95fc9f55f1</t>
  </si>
  <si>
    <t>3aea860a87895eee6b72f666b3d7b98a</t>
  </si>
  <si>
    <t>81551074cfb8ca8453f46a9e3332044c</t>
  </si>
  <si>
    <t>ce3ecbaee3cc8014c4c2cba7b7106a38</t>
  </si>
  <si>
    <t>48b0c1e73495f288ff1e4c1244101cc8</t>
  </si>
  <si>
    <t>3e3371f8470ce094c7c82c09b7bd59d9</t>
  </si>
  <si>
    <t>994a333e90d888a480e45e6e6e41707a</t>
  </si>
  <si>
    <t>108a42bc32d9f01c45d9cdc93156edd5</t>
  </si>
  <si>
    <t>f5aa7691b4059b96dbdb0439f1b43c7f</t>
  </si>
  <si>
    <t>643d9e3a6e58bde642a3ee358ff7b63b</t>
  </si>
  <si>
    <t>23d2204075d31bb041a8603d053651b2</t>
  </si>
  <si>
    <t>91091ac32f525d88daa6d6b721420ac1</t>
  </si>
  <si>
    <t>0b3f0a040caa140654d4f7cea2630275</t>
  </si>
  <si>
    <t>89b6ae7e9c0ae4761036f785812c313a</t>
  </si>
  <si>
    <t>3d3156f5541daae6744fdcf2e27a099f</t>
  </si>
  <si>
    <t>9b7080d2be0c83c547f822e62dcc2c02</t>
  </si>
  <si>
    <t>bad8918c94004ec3b357281f01ad4af1</t>
  </si>
  <si>
    <t>18b30c4ac2b116fdb322b3a7f749979e</t>
  </si>
  <si>
    <t>e5f733249a6f0dc11a6b1d4568c786da</t>
  </si>
  <si>
    <t>a330238f5e5026982abe38b8f2215898</t>
  </si>
  <si>
    <t>c4d219d519a87e6dfe9d8b7a5bf3d352</t>
  </si>
  <si>
    <t>16d40a3be745187190a9683cc8a9e1c0</t>
  </si>
  <si>
    <t>34662410ceec47a14953059e1a1ceed1</t>
  </si>
  <si>
    <t>08a3025fd10fa889271712e6c66951e0</t>
  </si>
  <si>
    <t>c645af1622ea09472ecda1b012d444e8</t>
  </si>
  <si>
    <t>82bb153bc3037adf373b43babcfffd03</t>
  </si>
  <si>
    <t>69daeea8d60db98c428f11dc980effdc</t>
  </si>
  <si>
    <t>0460c5723b287202cf850b7ae996f03e</t>
  </si>
  <si>
    <t>b374d856eb3d8f78c56820a5eb29629d</t>
  </si>
  <si>
    <t>0d046bfbcea5badab201f3b708d12b3a</t>
  </si>
  <si>
    <t>cf4352a7d775ba25bc66ac22006a13cb</t>
  </si>
  <si>
    <t>6cfe342b4bf39298aada48c80ad8c49d</t>
  </si>
  <si>
    <t>acd5b6d5d51950ae88fae89262a97aa0</t>
  </si>
  <si>
    <t>b17dd06dc3e1db6768768c56cfcadd40</t>
  </si>
  <si>
    <t>44007f34034857cf878ebe2f0fa15e06</t>
  </si>
  <si>
    <t>20dd4cde4ef566b0b6756dbbcb6cebc9</t>
  </si>
  <si>
    <t>dcbfce59b437eb4cef494a921fc7f79a</t>
  </si>
  <si>
    <t>80082ade64b01197cca8376811426b1f</t>
  </si>
  <si>
    <t>1951440c60517e1646b22e78584305b1</t>
  </si>
  <si>
    <t>41ca9e4fc93fff22596daa94dd437689</t>
  </si>
  <si>
    <t>9012dbd23c4d2e33be5eccb0e5f72517</t>
  </si>
  <si>
    <t>65951d951d3b5df75fc887290a473774</t>
  </si>
  <si>
    <t>744a37185fa8c4449a60bd11976f9045</t>
  </si>
  <si>
    <t>a05def2ffe22028e9db25b4e6e99543d</t>
  </si>
  <si>
    <t>f925a12c1605eac85a75144b0043c343</t>
  </si>
  <si>
    <t>ac936595d26d8c1d3d2db539dce0fffa</t>
  </si>
  <si>
    <t>645b2f3e4380afe5121a2a90ca732c74</t>
  </si>
  <si>
    <t>e03cba77a01e29e49e8fe0d2fd26d577</t>
  </si>
  <si>
    <t>229f6715312aa818e40a6b8475f0d280</t>
  </si>
  <si>
    <t>a544abb197a74a4fce50a04e5537c39f</t>
  </si>
  <si>
    <t>4557bf99646c0bf1d9773e671d5a55fc</t>
  </si>
  <si>
    <t>1736246cb52ecbe46bddc1cd2b60cf48</t>
  </si>
  <si>
    <t>7a8c5bb149dd17a1ead52c15e3ed4f47</t>
  </si>
  <si>
    <t>e5a55ca0e0c107c9ece3e8c09650a4a1</t>
  </si>
  <si>
    <t>d890f33e2b71506322bde37f3abafb71</t>
  </si>
  <si>
    <t>c3fbc138598bb208f9a02bff183976c3</t>
  </si>
  <si>
    <t>fb77fa236d1bb1ce3973d53b8576c3eb</t>
  </si>
  <si>
    <t>53dd89df1de277e4661ba844d4853bb5</t>
  </si>
  <si>
    <t>ca1c804883933ab8227beb75dece4b5b</t>
  </si>
  <si>
    <t>c8097345b2fc2ffa3ce19c9a02305f76</t>
  </si>
  <si>
    <t>544c524548645636cc8aa7ee8ad63b75</t>
  </si>
  <si>
    <t>325e0fb6c663a5fc2dc128dc8798563a</t>
  </si>
  <si>
    <t>07882514141f3f7512e11dfd1757d2d3</t>
  </si>
  <si>
    <t>a8abf6982a83e0d8eb7ec924962f7424</t>
  </si>
  <si>
    <t>eef43b55de33c2d530ea4a9669b81062</t>
  </si>
  <si>
    <t>4161e625f532bf71b6919eba99dd0c25</t>
  </si>
  <si>
    <t>cb12ca193d39b38f33f7d09a2ce6d080</t>
  </si>
  <si>
    <t>ec2324256bdb9d5159c9195b002f851b</t>
  </si>
  <si>
    <t>d40bdee0fd721835b35fd121261946f9</t>
  </si>
  <si>
    <t>cc99b45713ce89a0a569e36be200e8ca</t>
  </si>
  <si>
    <t>6121a3272f178b1627bbe55eab85cd78</t>
  </si>
  <si>
    <t>4a11791c655ba29d3978d655a68516e5</t>
  </si>
  <si>
    <t>9c108d0cb8dd18ea82733a05930b1aed</t>
  </si>
  <si>
    <t>3c841cee5b2497ea9617f7e630b8ead1</t>
  </si>
  <si>
    <t>a528bca9b3e06f60ba610a7249ab99e5</t>
  </si>
  <si>
    <t>9339be1158aa50c53147b3b53bf0f259</t>
  </si>
  <si>
    <t>6625f532eb7087a824ae1ac3cf43ea98</t>
  </si>
  <si>
    <t>f3f64102d3726f3a58c564c77b11117a</t>
  </si>
  <si>
    <t>6829f04c08f76d864d84dfad889698f2</t>
  </si>
  <si>
    <t>e7fec9502eb4a715cff899dc03e6fcff</t>
  </si>
  <si>
    <t>ed4f2064045ca72b7f2a53f052d82c55</t>
  </si>
  <si>
    <t>382c8bbbcb0aab881c1a340d390b5e32</t>
  </si>
  <si>
    <t>c08845406b78842b7ee7f3339c31cef6</t>
  </si>
  <si>
    <t>a7a89b342fac79af75d36d7fca34fa28</t>
  </si>
  <si>
    <t>3096906059efe2c9098fe8b265ebb949</t>
  </si>
  <si>
    <t>7211907fcb1520b6c0ff323be1c9c670</t>
  </si>
  <si>
    <t>8f71156e9df4967ceca8023b36710673</t>
  </si>
  <si>
    <t>934a966c733eda15d17c38e6456b4571</t>
  </si>
  <si>
    <t>39f08ca9bf44368a6a029b0ff7c43ab3</t>
  </si>
  <si>
    <t>6710565534bb35faf7fad5971cf885b3</t>
  </si>
  <si>
    <t>0c83f57c786a0b4a39efab23731c7ebc</t>
  </si>
  <si>
    <t>14ea0c66c8880377adab0c2c561dbdda</t>
  </si>
  <si>
    <t>d2b60f53253f7048bee93e4986a440dc</t>
  </si>
  <si>
    <t>67f55bdfb5f4a130f5b5d53dbcd915e5</t>
  </si>
  <si>
    <t>1b97f9e9b29e9fb69eebb6f936b9570b</t>
  </si>
  <si>
    <t>34164328c04dabc126f4fe82bbb2d5e6</t>
  </si>
  <si>
    <t>d4763bd84aff781165cf12e29435a527</t>
  </si>
  <si>
    <t>f4c1f8a98bd9d71eacac4a85c855e149</t>
  </si>
  <si>
    <t>56f2eaa35dee4797dc86b2c6e1bbfacc</t>
  </si>
  <si>
    <t>39d03a3562c450fec0091a5391c27e11</t>
  </si>
  <si>
    <t>5990d9872c5c85cd62ef6ffb0f09c202</t>
  </si>
  <si>
    <t>684c02747b08547490f9fca80f2e5cf1</t>
  </si>
  <si>
    <t>1eaceb6978b52baa6d14ca600f5349ea</t>
  </si>
  <si>
    <t>e4204b5b0b924745e0e5ab8d0082bc42</t>
  </si>
  <si>
    <t>7e11885cec8e2f84909c7b365e255413</t>
  </si>
  <si>
    <t>65f97a5d3b797cb062824e3baf8610e0</t>
  </si>
  <si>
    <t>6eb30e742d5ee0762fd726e9690c2a1a</t>
  </si>
  <si>
    <t>d1ced6defcf8c0b6faa930336a1f7e79</t>
  </si>
  <si>
    <t>26d0c91010aed04a15325e72861cfee7</t>
  </si>
  <si>
    <t>3ed01b2f00d103d14fc020557a7c6ee2</t>
  </si>
  <si>
    <t>049f1769058084a60645ec6bb65cc463</t>
  </si>
  <si>
    <t>5738ac7801a7ea5896a95bba26b30c3f</t>
  </si>
  <si>
    <t>dbe3bcfb77f7bcbb56c0a4e7e3200e54</t>
  </si>
  <si>
    <t>0bc62afce4c0004839d37c08c5f0528a</t>
  </si>
  <si>
    <t>b06203ae0aa50dc524712b1f59c85fc1</t>
  </si>
  <si>
    <t>0c6067e0417d32f71a6a15556ee5d6c6</t>
  </si>
  <si>
    <t>672021d2a6b68c01099af2678964b82c</t>
  </si>
  <si>
    <t>e5f26eb284909fb8f3719559f57babc4</t>
  </si>
  <si>
    <t>f57543dba03374705c8ea62d65808076</t>
  </si>
  <si>
    <t>70d5c573c693c4053f908d9d9314ce87</t>
  </si>
  <si>
    <t>465ecc6b3833a9cd97ebf3561b10753c</t>
  </si>
  <si>
    <t>5bc6da5f353093c37734eddd2eafc993</t>
  </si>
  <si>
    <t>514d7c19ec76427e74c6688774f4e2e7</t>
  </si>
  <si>
    <t>052ec8fc3baf1d017b9a0f7559a18b5a</t>
  </si>
  <si>
    <t>a2e36e3b44b3b692ac65005125f04db9</t>
  </si>
  <si>
    <t>30a6f14072f934a20887fc88f51e922f</t>
  </si>
  <si>
    <t>5dca5f20a1b1baf0ad0729137f901dc3</t>
  </si>
  <si>
    <t>e0d90dcc491a3323763c77d1dff7248b</t>
  </si>
  <si>
    <t>b72d941d680f092a8da24e4a8cfaf83a</t>
  </si>
  <si>
    <t>580c4496c6753715f35135749ec09bb3</t>
  </si>
  <si>
    <t>279a8a4af46de7caf29071434c2aa9d9</t>
  </si>
  <si>
    <t>515d801464ef09ae12425ce6be85447c</t>
  </si>
  <si>
    <t>2d776f635af2685af7b556b3bf270c33</t>
  </si>
  <si>
    <t>dfc9e4d35fdc35e6f3afeec8d7e0e474</t>
  </si>
  <si>
    <t>5415a1b662e89ddebdfac1c5e9b98701</t>
  </si>
  <si>
    <t>a1a72c40f696aeee9d7110b922d3b534</t>
  </si>
  <si>
    <t>54cbacbc5d8130ebcec9891bf80027d8</t>
  </si>
  <si>
    <t>10b7aacb4303a22494c755fd942ab5b8</t>
  </si>
  <si>
    <t>4258f3315c6167919da625f44d6fe61e</t>
  </si>
  <si>
    <t>16a766553d27e24a2ecb59dda7126dd8</t>
  </si>
  <si>
    <t>f6a55a2a55a160ba72bb9acdfccf164e</t>
  </si>
  <si>
    <t>a4965216e237306510bc0e0f2dc67a79</t>
  </si>
  <si>
    <t>aa67a5155398e6ffede7cf8b4825fe39</t>
  </si>
  <si>
    <t>03a07d614ab1040c167f45a3560de124</t>
  </si>
  <si>
    <t>8bd73c11f9e36c039ff3cee4f3f5e2d2</t>
  </si>
  <si>
    <t>de6ddd41822944b7a1c6f82769b53fa6</t>
  </si>
  <si>
    <t>0b6412624cfd8ebee546fa2dc1db6945</t>
  </si>
  <si>
    <t>55b3c1a839223ee808021abbf6d0dc52</t>
  </si>
  <si>
    <t>ade022cfc5a5e59959b5df2e4c0cd06a</t>
  </si>
  <si>
    <t>1f3a4f7715b9fd855595b4836101ec30</t>
  </si>
  <si>
    <t>56b65de416c2c508f3b53298e3059fe6</t>
  </si>
  <si>
    <t>daaed502af6c37e34477e1dee6cb38fd</t>
  </si>
  <si>
    <t>795daa0834ca092ed52b5d0a5848387d</t>
  </si>
  <si>
    <t>425a9f1cd945cb291c58c4212654eb8d</t>
  </si>
  <si>
    <t>9b46cae14639ee92bc8477140c8cf2f1</t>
  </si>
  <si>
    <t>0434e46664b3b1cc05543b6ee7e9aa0b</t>
  </si>
  <si>
    <t>0823c49a9e65383b45002784b5220bf8</t>
  </si>
  <si>
    <t>b16caa2fa08a03ed5bfe3e889dfba641</t>
  </si>
  <si>
    <t>fc4db0e1e8dfd5a305da563f9b2fc192</t>
  </si>
  <si>
    <t>01b4c766324890206fd9c3236aea50f8</t>
  </si>
  <si>
    <t>934b94f18de135e7d781b57311c687a0</t>
  </si>
  <si>
    <t>04fae60fb65ed1515d4d9baa61e73adb</t>
  </si>
  <si>
    <t>3344c30b90c7038aeb1b0dedc8def929</t>
  </si>
  <si>
    <t>e1335d95cb3b93d835eb22780be7327f</t>
  </si>
  <si>
    <t>4564fdd57f5486b8207d166d33bb937a</t>
  </si>
  <si>
    <t>f01b7be7d43d51e505a307a223676662</t>
  </si>
  <si>
    <t>6992eedfcf2e59f50aaf0d0c9f07ae9d</t>
  </si>
  <si>
    <t>3e864b47b8a2d0bbc43aca4c5da5ddbe</t>
  </si>
  <si>
    <t>e58a710561d2841bbe6f99df0113a818</t>
  </si>
  <si>
    <t>4927e1395ab1d386386a762cad17d7a7</t>
  </si>
  <si>
    <t>89e47f8946a9789ab2ad43d084afac90</t>
  </si>
  <si>
    <t>dcb11c8709d0fa789e651fdb3a4cf26a</t>
  </si>
  <si>
    <t>ad92301430dc5fe354e6d0b1946e537f</t>
  </si>
  <si>
    <t>5fd69e4f4037bc5b912ebb242fe8821b</t>
  </si>
  <si>
    <t>0271b2789051bd61d1b7d97ba4fe6449</t>
  </si>
  <si>
    <t>4a9afaeb2472f426769ee7fe737f82ff</t>
  </si>
  <si>
    <t>909356f33e0f20f0bc5737c086ed9234</t>
  </si>
  <si>
    <t>5c6ccef01fc04bcec1297ec5a752c9ad</t>
  </si>
  <si>
    <t>c0b54a064244ef7bad433580da897bad</t>
  </si>
  <si>
    <t>f15f14f5ad42b6afabb5680c5d2c940d</t>
  </si>
  <si>
    <t>0576b5fad6276ca587c160062b91360e</t>
  </si>
  <si>
    <t>1baca9df5850e5ba75545d8b2eb8d966</t>
  </si>
  <si>
    <t>faf743ecf661c0daf83e52c4cd0811be</t>
  </si>
  <si>
    <t>e2d5466377ae503933e23110e5942a3a</t>
  </si>
  <si>
    <t>ce7cf3a2f1334f82df304f443b1339ef</t>
  </si>
  <si>
    <t>d98a1d25616198cda311476afeade289</t>
  </si>
  <si>
    <t>15ade92dceaab28c5a6a7f7fb4c669be</t>
  </si>
  <si>
    <t>11d8270a3399de3133c7096617e6c8ca</t>
  </si>
  <si>
    <t>07020a9491ae4a41e9189fb185196a42</t>
  </si>
  <si>
    <t>e71fceaf910b1065b49f118cbde48313</t>
  </si>
  <si>
    <t>85e5e0842d745041f29f57f0f3c7a92c</t>
  </si>
  <si>
    <t>afbaf584fc421873bc405e388c95e220</t>
  </si>
  <si>
    <t>3e477743dda87ebc24d3c93bfb817d58</t>
  </si>
  <si>
    <t>67ca3192a9793d768d6706d0541842f4</t>
  </si>
  <si>
    <t>4da6c4d07033d355453ce49273d591c6</t>
  </si>
  <si>
    <t>0067035172fc786488ff7c6317ed88c9</t>
  </si>
  <si>
    <t>03cab2d7904852792c985c18e53e5323</t>
  </si>
  <si>
    <t>3ae5d34ee4c3f8e40f0985b5b97c8414</t>
  </si>
  <si>
    <t>03c7c0ace395d80182db07ae2c30f034</t>
  </si>
  <si>
    <t>8385583a61497aa5d15857e068482a65</t>
  </si>
  <si>
    <t>e3f665e5f5a9984682fffacba7ce9845</t>
  </si>
  <si>
    <t>e3fae482c95fe489ccd717cbda2cab9a</t>
  </si>
  <si>
    <t>1a9ee261949127cf848fadb72c8593d7</t>
  </si>
  <si>
    <t>caea84e7e50ea556a7cd84ee1d0963a8</t>
  </si>
  <si>
    <t>95bf5763251f491480a0c1e5b76a16d8</t>
  </si>
  <si>
    <t>9577bb430d9c3b7a961802108fb95292</t>
  </si>
  <si>
    <t>348a43bb0eadc84915bcd8d95f373b0f</t>
  </si>
  <si>
    <t>cc73ed6fa658dab4deb142aa5266cff7</t>
  </si>
  <si>
    <t>b3579acde25b2dab713999fa7f42c914</t>
  </si>
  <si>
    <t>5db413912b703e46bc1aaee48504bfae</t>
  </si>
  <si>
    <t>b360f694e319be64b87987476137d1a2</t>
  </si>
  <si>
    <t>d8166895388be59b84a430ce0697df62</t>
  </si>
  <si>
    <t>3a1f9e5507d13b7ef90e08ab05737391</t>
  </si>
  <si>
    <t>6f58f3b172bef95307def60e8be52b00</t>
  </si>
  <si>
    <t>7f59f49965ea6a0f208e543c814b4e91</t>
  </si>
  <si>
    <t>89dd0bb688f2eb30d44361097c83be2c</t>
  </si>
  <si>
    <t>09c57ba013d3f30c2c796d7605abc7b8</t>
  </si>
  <si>
    <t>8253c7f87a4ec34d392b5fb236aad608</t>
  </si>
  <si>
    <t>23950fd434a60d9c5b55ce6f09bd30a6</t>
  </si>
  <si>
    <t>0d6bc3c00e4e64927cae2e8d9c6a0b9b</t>
  </si>
  <si>
    <t>b210d3789a96350fb4b8e79720ea5976</t>
  </si>
  <si>
    <t>a577349580779b4a1d0146250bf13ed7</t>
  </si>
  <si>
    <t>c34c0674051bde0e8850f8ce4f2ca37f</t>
  </si>
  <si>
    <t>bd442fb1060e3f68dde9ffdf2dedded5</t>
  </si>
  <si>
    <t>98885cb05f04f6d492cbb85504db9787</t>
  </si>
  <si>
    <t>88459e18041da7409cf4533bb826880b</t>
  </si>
  <si>
    <t>95e00030b8bd03e7c44548a60263ee6d</t>
  </si>
  <si>
    <t>f1ac05f17b46ec530353d295ff77c508</t>
  </si>
  <si>
    <t>75d281aa6b0e43509bb8bf8d6e57ca28</t>
  </si>
  <si>
    <t>856a7819fdb79bbe8ae25fc835c35aba</t>
  </si>
  <si>
    <t>ee40ded7dc801923f81ab6dbbf6e5417</t>
  </si>
  <si>
    <t>d589dd26d0c0260c8a2001f8db379c14</t>
  </si>
  <si>
    <t>931cad0d73bc5648212d48966f6fcc21</t>
  </si>
  <si>
    <t>a8edf505b8c0d810010b3573c9316929</t>
  </si>
  <si>
    <t>cade2aee3b1062fe9c6314856ba263e7</t>
  </si>
  <si>
    <t>3069e0434a72c4ca9efd86b81a43957c</t>
  </si>
  <si>
    <t>effd6e9cd3f0b5bce88107b4cbcd4a8b</t>
  </si>
  <si>
    <t>7ea03f4ac6f9e60de3b59ebf784b22d6</t>
  </si>
  <si>
    <t>e7b5b8a1ae60d4207a0837248daf1599</t>
  </si>
  <si>
    <t>075b352cd6b628c1b964ec661127d4fa</t>
  </si>
  <si>
    <t>3cd2d4372341b4fab9a6775852024e45</t>
  </si>
  <si>
    <t>5ef8cf77201dc48f2a2f22cd14ec648c</t>
  </si>
  <si>
    <t>6b1e2c2e15d2f2696ea4e0f911334f6b</t>
  </si>
  <si>
    <t>97b3628a420221f9e6f4daab23b75070</t>
  </si>
  <si>
    <t>e7964b868c9e6d6506e5a69c1b680ee0</t>
  </si>
  <si>
    <t>cd3b1a524a7c489164eb52735036e4c4</t>
  </si>
  <si>
    <t>371e5908cd5d0f190e4479cfdd5e1d9c</t>
  </si>
  <si>
    <t>d26d49b8e4c08eae95a256b23bee031c</t>
  </si>
  <si>
    <t>1768bc8c31a3cd81b33098e5ec2e868f</t>
  </si>
  <si>
    <t>f65c00c041bab77ab44874be15c53276</t>
  </si>
  <si>
    <t>c36615321286c6ac958ad820ab896fb4</t>
  </si>
  <si>
    <t>70607e3a9b9376b3b41ecfc024f2c89c</t>
  </si>
  <si>
    <t>9c1eac301f2d8111596719a7bc1b90d4</t>
  </si>
  <si>
    <t>5881e3923b458b99806039dd27ec0711</t>
  </si>
  <si>
    <t>fa5739b0a82f56a52dbdf64e32a969c4</t>
  </si>
  <si>
    <t>6c2201e67e0fdd52f99c6f5332c73f24</t>
  </si>
  <si>
    <t>da017bde8667eb2a4930c964408dca42</t>
  </si>
  <si>
    <t>e5f6c8ca67571d3496e7e6609a197521</t>
  </si>
  <si>
    <t>5590ca803d2831d2a3dff3fa3eaca6f4</t>
  </si>
  <si>
    <t>42c6101a56e15d7ec3c8bd3695bea65d</t>
  </si>
  <si>
    <t>ca6b3a03ff85131141a80501ba7ca23b</t>
  </si>
  <si>
    <t>64bc5de04c2d2dee8c16bc2eb87d4ea2</t>
  </si>
  <si>
    <t>ec1792990dc6ac02bb49c91875ee51fa</t>
  </si>
  <si>
    <t>7bf3fbacc7fe74b379f7767efc372329</t>
  </si>
  <si>
    <t>aa8af3ebe14831a7cd1b6d1383a03755</t>
  </si>
  <si>
    <t>fe9216af121c8adb375578f7622274c2</t>
  </si>
  <si>
    <t>71a592ef199d8e8f91b3ee5feecd86f1</t>
  </si>
  <si>
    <t>4bd106ffe5e8ef167227db73267a1011</t>
  </si>
  <si>
    <t>ffd5a146054a13ce7bd23f9ed8612e7c</t>
  </si>
  <si>
    <t>e136876296da8524fd7568266c80bfe2</t>
  </si>
  <si>
    <t>7debb2fb5d95fdb307d636dd3972171a</t>
  </si>
  <si>
    <t>a40c9d844c1b8800c8939aaecd6f3ba8</t>
  </si>
  <si>
    <t>f4b33a92a256fd5341c5275020bb8e45</t>
  </si>
  <si>
    <t>3545258378f2a3566e4a823d0ad28a3e</t>
  </si>
  <si>
    <t>8fd647489f12678592421f0c386c74f0</t>
  </si>
  <si>
    <t>116c87e094144d0002cff857e56a322f</t>
  </si>
  <si>
    <t>1389f372d9685b20d2e3477c47ed568f</t>
  </si>
  <si>
    <t>755f12c05f69fc1dbd113cf9599fbfd4</t>
  </si>
  <si>
    <t>91e0cbfbdfa13d641eb6d7c734790b41</t>
  </si>
  <si>
    <t>dcc8a9fd507393fbe719661712d9ad64</t>
  </si>
  <si>
    <t>2130c1eb94bf7767173970321cca0a89</t>
  </si>
  <si>
    <t>78da6fd6770a2d61fbee51b8834d418d</t>
  </si>
  <si>
    <t>1164aaba098a3dcba8b6e7713cd2fb64</t>
  </si>
  <si>
    <t>6d19b223b7e2905a5c47a7748fc01699</t>
  </si>
  <si>
    <t>768a48621db6578fbfcda8edc7d647e2</t>
  </si>
  <si>
    <t>9f32a0554217915208ab7dfedc7943ac</t>
  </si>
  <si>
    <t>8870f76779e7c585e74cdb4f300921f1</t>
  </si>
  <si>
    <t>f1a58918e5937cbf008a17b8ce77b579</t>
  </si>
  <si>
    <t>99edc3daf630586eae1fa7529e68bb78</t>
  </si>
  <si>
    <t>c0f9e439226ea0373a7e3c0dfe71e4f9</t>
  </si>
  <si>
    <t>46bbc4a56de136ad319e59e37ef55644</t>
  </si>
  <si>
    <t>e1c1027ff3bdee0557d38637781802f8</t>
  </si>
  <si>
    <t>6e35148cd8189c67fc462bb214e77f46</t>
  </si>
  <si>
    <t>74c51c08166a444760e2363ae10eaaa7</t>
  </si>
  <si>
    <t>b8e8d48caa87e495e8b371564efbd9c3</t>
  </si>
  <si>
    <t>d1c366f7e48f4c707261d658dab76623</t>
  </si>
  <si>
    <t>7c995df1ffa78d4ccac4e2e8b2fa3f88</t>
  </si>
  <si>
    <t>4e6bdf8e5aed24d7a26d7318e0c87417</t>
  </si>
  <si>
    <t>77fb534c73679ddb543437d0b3db77c4</t>
  </si>
  <si>
    <t>90a85209de63519f0c04728a1bdb9313</t>
  </si>
  <si>
    <t>5a50de67f810f5450045a367a19fdb03</t>
  </si>
  <si>
    <t>ac3f291f10e6cded34a8c10cce182b10</t>
  </si>
  <si>
    <t>bb3e90115fe0edc297846a47dc731ae4</t>
  </si>
  <si>
    <t>b901ad8e8c03a6f22f40b7de9a5041be</t>
  </si>
  <si>
    <t>a548ddf8b00548a20b3e63373476c6ea</t>
  </si>
  <si>
    <t>71e04d8a85ed261e4763a9b0dab3ab79</t>
  </si>
  <si>
    <t>9338c9d9365d0f2793a7723c264660b4</t>
  </si>
  <si>
    <t>04ee08ead1a259009cab6b2198fb6d93</t>
  </si>
  <si>
    <t>02c29fad5f164d62227212fbb95e02f1</t>
  </si>
  <si>
    <t>29eafc27fdf31dfc7feae0d495fb8ead</t>
  </si>
  <si>
    <t>42751fb669b1fe8b899c5a70deb061d8</t>
  </si>
  <si>
    <t>7fd60e83598ba7103b06e21feac9f435</t>
  </si>
  <si>
    <t>74b846eb2dcd22fe703bebcd75a3aff1</t>
  </si>
  <si>
    <t>ccfca21346c3478e872460bfaa0ba337</t>
  </si>
  <si>
    <t>bf2f4d60479ee325b2fa8308009230b6</t>
  </si>
  <si>
    <t>9ae0e1661f21a790e485c6d9b7299180</t>
  </si>
  <si>
    <t>28eb72beb39c803322c843071024b921</t>
  </si>
  <si>
    <t>57c1b7b72487b5ad15e6f2abe2370c17</t>
  </si>
  <si>
    <t>166fa7410ac1923b2cf2680f79e08850</t>
  </si>
  <si>
    <t>8164a0c13d70c3caee61a85d035d5f25</t>
  </si>
  <si>
    <t>d0c7b759a5c678852d78b8a3e4d3c36d</t>
  </si>
  <si>
    <t>c2cb1fc76f1bbf73ce680c2b78aa328f</t>
  </si>
  <si>
    <t>82b311985747d95c7164ae295f539c95</t>
  </si>
  <si>
    <t>975643d32f495b3ef6409c11fa1dec18</t>
  </si>
  <si>
    <t>db6812fe6a7155525f318274bdf46c4c</t>
  </si>
  <si>
    <t>2d879a9dc61db834e7597d21c9f65101</t>
  </si>
  <si>
    <t>1d52e8b258d574501d81d697920317b7</t>
  </si>
  <si>
    <t>9dc8c63495af559018c3a33fa4ee71f4</t>
  </si>
  <si>
    <t>2546165141cc6ca7f363a38c5f1c382b</t>
  </si>
  <si>
    <t>f48379ea32cff607c810d55e03611bf2</t>
  </si>
  <si>
    <t>0625ca637bf063abf254a66fe91fa84b</t>
  </si>
  <si>
    <t>dc8913dbc5afc5fe40f10ac6aabf6854</t>
  </si>
  <si>
    <t>e785289359e17762a5385b7f44da20ce</t>
  </si>
  <si>
    <t>b0e7419bb3a9c888b3fa988b5c4e552a</t>
  </si>
  <si>
    <t>11b8d3b78031b222c720affbaf39f9e7</t>
  </si>
  <si>
    <t>f8758b0bd918708613c2c550c67327ba</t>
  </si>
  <si>
    <t>e90925dc271ec13b3e8f0bf306759bd5</t>
  </si>
  <si>
    <t>b80ee7270cb478f771821dd00951ea56</t>
  </si>
  <si>
    <t>e22c4e5078ccb5b8b8677392986ce186</t>
  </si>
  <si>
    <t>a127c5a2ed0a7a7790327f59706b0b77</t>
  </si>
  <si>
    <t>164ec3053b616b5034ece5db18f4faf0</t>
  </si>
  <si>
    <t>c91d5eb1b3f05dc2e98aab23a7945181</t>
  </si>
  <si>
    <t>dad2d19c60c361ea558c6a6fef7155d7</t>
  </si>
  <si>
    <t>bb997d580d9b9d97167966b8591917fb</t>
  </si>
  <si>
    <t>585a999cb6b22b1e8ced8066e496784c</t>
  </si>
  <si>
    <t>b76bb256fc4184f4c961819bd60d469a</t>
  </si>
  <si>
    <t>7636a7f2c22f93b7632c0ee463af2718</t>
  </si>
  <si>
    <t>a19fbff55f49a023807bfe3ea9a9946e</t>
  </si>
  <si>
    <t>204dbb40a6272d96566a58b0b2387bc5</t>
  </si>
  <si>
    <t>a80788ea7a51aea6758580944fd40b5d</t>
  </si>
  <si>
    <t>bc8147ca69573b8a699c18e7ddbcfb48</t>
  </si>
  <si>
    <t>7e810f05bd88ff0f86dce7116b9fa527</t>
  </si>
  <si>
    <t>4ccf5109bc31de5bc4ea47993b515836</t>
  </si>
  <si>
    <t>33a900397522c1d3f78ba2f8744a653b</t>
  </si>
  <si>
    <t>d1c953566a3133574fc8e3f7bc1c126b</t>
  </si>
  <si>
    <t>709a255d7ae6859551c9cb810d091a7b</t>
  </si>
  <si>
    <t>22a993565308ccff8a1db375e32fdaee</t>
  </si>
  <si>
    <t>3bb76268c4e97fceb80480530d8ee462</t>
  </si>
  <si>
    <t>758206fbaf1b624515dc37767ef6edc8</t>
  </si>
  <si>
    <t>d0cefa43d15f7e4b74ae21595155ec91</t>
  </si>
  <si>
    <t>331ffa63ab5f2d214d68a6cbbddb3095</t>
  </si>
  <si>
    <t>1db703eb6e8207f4b34233a69bcdc6dc</t>
  </si>
  <si>
    <t>7aeaa881c9a72b62b4842549c501a8aa</t>
  </si>
  <si>
    <t>9e30387be1bdc568dfca37927852dc94</t>
  </si>
  <si>
    <t>aba5f32ff88dba3c5522c176deb5ae92</t>
  </si>
  <si>
    <t>50ccab9fbc343b7cf1a1f149bf4facfd</t>
  </si>
  <si>
    <t>ac72056e309158cc9cb768fe36feba61</t>
  </si>
  <si>
    <t>2b20f55922bf6019d6da6ee6a5518080</t>
  </si>
  <si>
    <t>59a05c7d027eb14c8207e64d7b73fd98</t>
  </si>
  <si>
    <t>18f91d43eb4c7f0e879697f012ea3815</t>
  </si>
  <si>
    <t>facc76c5fedb359064cffc3b6ef6b311</t>
  </si>
  <si>
    <t>aa052871fcf883780072ada1301e9773</t>
  </si>
  <si>
    <t>032608a0d8ef4946d0f7bec3707c024f</t>
  </si>
  <si>
    <t>baf4c5540f5b865947895d6f7ed30b68</t>
  </si>
  <si>
    <t>ec169a34f974ccb7e834fbfc88d61ff3</t>
  </si>
  <si>
    <t>4ef93030a385d1fb29b83ecce3644ec2</t>
  </si>
  <si>
    <t>5d7f3ae5e70092e467df4fd3001215a5</t>
  </si>
  <si>
    <t>a07ee351d0b3e5104dc2777f647f52ea</t>
  </si>
  <si>
    <t>ea7a98942b8033462a7c54397555e842</t>
  </si>
  <si>
    <t>4d94505c21dcf1b185fe555ef07c5ca5</t>
  </si>
  <si>
    <t>102b91e75544875f2a482fe6f9fe18b6</t>
  </si>
  <si>
    <t>0df6570042b58ec026e899f45b8e840a</t>
  </si>
  <si>
    <t>2fb795a41461f9664f41efb0c07e9461</t>
  </si>
  <si>
    <t>f4058a5d761d71d61086fcad052b5240</t>
  </si>
  <si>
    <t>04e7a0ec8d1e93cc858d552490a56bcf</t>
  </si>
  <si>
    <t>15166d5c89154c879fb5d866fa9708d7</t>
  </si>
  <si>
    <t>e723a81a98983a235ca76982097868df</t>
  </si>
  <si>
    <t>ce10b99820f24fb3dc769a4f9fb67672</t>
  </si>
  <si>
    <t>d750e19732486e9e38f209862486c1cc</t>
  </si>
  <si>
    <t>68fa8bc4c8b50ad66a583462a1c684e4</t>
  </si>
  <si>
    <t>5ae48b4c96448759db40185ccec22661</t>
  </si>
  <si>
    <t>593b67e33629da61d6b95433e2db89a1</t>
  </si>
  <si>
    <t>f63882d3bda05f2da7b8127a2b308364</t>
  </si>
  <si>
    <t>c9c9f8e41433ff4ad15aa577a465e599</t>
  </si>
  <si>
    <t>7e77ed13c0304ebec4e12f5beb25c3b4</t>
  </si>
  <si>
    <t>036efd498a7ed0c32b04e1d663965bd9</t>
  </si>
  <si>
    <t>b240984b4cc0f84615308bf708df6516</t>
  </si>
  <si>
    <t>6d45066876e395f8fe89add37704b90d</t>
  </si>
  <si>
    <t>d7c07a4975a495b6f48b5bd597797366</t>
  </si>
  <si>
    <t>25d55323f4e0a8da13ad296f41c8c574</t>
  </si>
  <si>
    <t>01478c73428e40a234730b5096efce0d</t>
  </si>
  <si>
    <t>ad0e1110d4470fa5d4b1481688337b26</t>
  </si>
  <si>
    <t>f9fb432b73278bb1b3d13dd41f30cf8e</t>
  </si>
  <si>
    <t>31fbbf027ddf70f3db56c2382758d9c9</t>
  </si>
  <si>
    <t>87876ca731b4c56b3f48110c953e0401</t>
  </si>
  <si>
    <t>40ca42a23b5d855b75f16932e8509b2a</t>
  </si>
  <si>
    <t>3f471e0e587a9e83b568eb6759d1fa15</t>
  </si>
  <si>
    <t>10164f723a34e25cd518da38b02af653</t>
  </si>
  <si>
    <t>9e98b948f4f3c15274939173e5c20799</t>
  </si>
  <si>
    <t>fb8b25d02a3d508548a993c59946c1e6</t>
  </si>
  <si>
    <t>e597d6ea31ca28a6355e2dbf5b3013ee</t>
  </si>
  <si>
    <t>a5707b0085dc71b1783efc16453fb0bf</t>
  </si>
  <si>
    <t>69f1d5a45626923b41a978215de0174a</t>
  </si>
  <si>
    <t>9eb87b710e10e833e9259aab3276c2a7</t>
  </si>
  <si>
    <t>4dce7b5d590277e9993b439f902c3291</t>
  </si>
  <si>
    <t>36179605b136215afcba7b1344c136a8</t>
  </si>
  <si>
    <t>355cd105f79507780fad8848469baca1</t>
  </si>
  <si>
    <t>569195aae6620c164f78f5afdc29f4de</t>
  </si>
  <si>
    <t>98c9832865e4ab224a1649e8e6e9a2a0</t>
  </si>
  <si>
    <t>fa17a68f853853baf9cf1ee222cfe999</t>
  </si>
  <si>
    <t>4457906f472a0a4e966a17de3054a8bc</t>
  </si>
  <si>
    <t>6b998835b626af9fd58e2c3521628217</t>
  </si>
  <si>
    <t>8de1db0c3bd1ffe5fa7383a7bfee2beb</t>
  </si>
  <si>
    <t>8c98ec1d4947ca23fbf9ed07c8adbfa5</t>
  </si>
  <si>
    <t>f5d0adbd21d9afa3d701967462202f4b</t>
  </si>
  <si>
    <t>85c8395916ffc2198dd670da1b20d108</t>
  </si>
  <si>
    <t>34576207c8c0fab46627c880a109c01f</t>
  </si>
  <si>
    <t>2a7391fb632a4dac9422201bb041c043</t>
  </si>
  <si>
    <t>3d88841ebcc0f7920755726b280302e7</t>
  </si>
  <si>
    <t>5a2c8a18227cbb0bc2634e610a3c1746</t>
  </si>
  <si>
    <t>a87a1dd7a916d6d29a3eead260040e87</t>
  </si>
  <si>
    <t>fc6abf7b29980aa85f2fb4b97682190f</t>
  </si>
  <si>
    <t>39026fc58808a001437223b5bc0be8a6</t>
  </si>
  <si>
    <t>123547595da482ffd2775d9a481f6b4e</t>
  </si>
  <si>
    <t>fc7bb39f8162e580740d570464b3d85a</t>
  </si>
  <si>
    <t>46b9cf2d91977c26d75e1edd363ab08b</t>
  </si>
  <si>
    <t>c15e297925c4cff8760eead96426b961</t>
  </si>
  <si>
    <t>457ad4752923de991424e3d0f5a6abb6</t>
  </si>
  <si>
    <t>19476197eb1991bedc8ce1c956fc9829</t>
  </si>
  <si>
    <t>5eff46c7fc603910e15eb944d97c13c0</t>
  </si>
  <si>
    <t>49d3b4db2721b0aa94033cd2bbbdde43</t>
  </si>
  <si>
    <t>b5ab90fa9773176f49e9e5c51fbfac9f</t>
  </si>
  <si>
    <t>6b68749e7c77847afa55dd65082ab603</t>
  </si>
  <si>
    <t>6bca76cea8f3c180cd035d70f9bc7b0c</t>
  </si>
  <si>
    <t>ccb946faf2ff655ccffee7f306a81888</t>
  </si>
  <si>
    <t>cbfad8cfc479906fe118a2696d34ee4f</t>
  </si>
  <si>
    <t>a0260f9d42dabf3b109e60acef594ad0</t>
  </si>
  <si>
    <t>9271667269fe565003bebc03c3c03444</t>
  </si>
  <si>
    <t>24cc88c5956669234ce6c4dcb803c715</t>
  </si>
  <si>
    <t>bead7746a397e7cba55be9edd37486ba</t>
  </si>
  <si>
    <t>9d2f78b13eda78c1cb7627677db9935f</t>
  </si>
  <si>
    <t>0d173a5f998a6ce4a461508bd6e72668</t>
  </si>
  <si>
    <t>b44bb13a1a7c7fe75b44a21c85b4a035</t>
  </si>
  <si>
    <t>5180c117b826676fbc02291d16ffd03d</t>
  </si>
  <si>
    <t>bf5a72f10c8a5910f76537e4a7ed07dc</t>
  </si>
  <si>
    <t>8e3b5d566a45e76ba85c3a2e34428668</t>
  </si>
  <si>
    <t>ad0c3f343a1862b516d46b7344ffc209</t>
  </si>
  <si>
    <t>e363d655ac00b1517a688689f4295eaf</t>
  </si>
  <si>
    <t>6b6ed5a249b7e07c8579fe97e165423e</t>
  </si>
  <si>
    <t>9cad35fe6e63c2113d38a7c97b4a919c</t>
  </si>
  <si>
    <t>a8edd0eb1714923dd0ad7fcb1ec305de</t>
  </si>
  <si>
    <t>8cbf80b9807fe5a9303612d700338aba</t>
  </si>
  <si>
    <t>8bd1189eabd85baf05782c2e1c463672</t>
  </si>
  <si>
    <t>598bb634aacec76b3f16edb4bda29a3f</t>
  </si>
  <si>
    <t>6422800bdd4c6b0e4df31535c3f93c07</t>
  </si>
  <si>
    <t>34c5d87943fe70502a8e9d5f758d92cb</t>
  </si>
  <si>
    <t>f766062778cfe284c267e9bb1bd5499d</t>
  </si>
  <si>
    <t>d23f1d1cd4efe77dac5482f856a9d12d</t>
  </si>
  <si>
    <t>65b43ff2de82ea9f9df478f53b59feb9</t>
  </si>
  <si>
    <t>da0c03acd1f39210011e050871fa3570</t>
  </si>
  <si>
    <t>518fe3cd7d052ab4bc27c50d5584d8b2</t>
  </si>
  <si>
    <t>fc9ca3e4d1a80974540180b18e5783e3</t>
  </si>
  <si>
    <t>60acfecba1f22c46c0298f303655f520</t>
  </si>
  <si>
    <t>cc80340474901bf4636a8630bb8edd3b</t>
  </si>
  <si>
    <t>4fc6dab4a7563bdae6315d673ff09f3b</t>
  </si>
  <si>
    <t>b95e6f83cab58477a9fbac688fc3cc3e</t>
  </si>
  <si>
    <t>94243d5d15ba8508b70d6197ca46173a</t>
  </si>
  <si>
    <t>ea09e5eec6c0977bfc617baa6d75e339</t>
  </si>
  <si>
    <t>f0f42953e6ac78566f36c5824c795c7f</t>
  </si>
  <si>
    <t>34435249b8b3b8e48ea4460075fe0d4a</t>
  </si>
  <si>
    <t>a05feb5ea711fae86b501c3dcc77c00c</t>
  </si>
  <si>
    <t>a528cdb26f26b20fecd0d76902990f0b</t>
  </si>
  <si>
    <t>9304e840061f69214ea586ac8c0c7c65</t>
  </si>
  <si>
    <t>2424d8d387f02e81c63aa227e4b0ebe6</t>
  </si>
  <si>
    <t>a8641042a65f0cb99c82df186d88b182</t>
  </si>
  <si>
    <t>6b595bb87a53c615a535554667cfdde0</t>
  </si>
  <si>
    <t>edac623c2ba3e8d8c388378f8645aafe</t>
  </si>
  <si>
    <t>91d054b242704a7a9196a568fb02974a</t>
  </si>
  <si>
    <t>578a7cb268f4a87693a8efa93554b1e5</t>
  </si>
  <si>
    <t>0a25c20c0e39acbc6c7d8bda405d3af1</t>
  </si>
  <si>
    <t>01a28000ad28de1acf07bb4d830a5ae5</t>
  </si>
  <si>
    <t>7cd7cb3db3154d9b1b3b57b675963bb2</t>
  </si>
  <si>
    <t>77487ac14aa5a4e7e5521642407eea5c</t>
  </si>
  <si>
    <t>4d458f5bff55df79373f54f73f7e3472</t>
  </si>
  <si>
    <t>df0e19d29493ef2136fc3e2fc029c054</t>
  </si>
  <si>
    <t>bbb96d7adad8c94da269ae0494bb2ec2</t>
  </si>
  <si>
    <t>720a860f1a870a7f103b2518f7f9843a</t>
  </si>
  <si>
    <t>094bc4aa468a6cb48642c3ebbf2b8b71</t>
  </si>
  <si>
    <t>bb2dba24644723c5ee4d687215836391</t>
  </si>
  <si>
    <t>e0a1ea6d27cd898fd92395d5228c22ff</t>
  </si>
  <si>
    <t>d2d5b139c2d31f6055633cba79228a33</t>
  </si>
  <si>
    <t>29b348bed4010ff28d9fe86ddedd4d21</t>
  </si>
  <si>
    <t>4491e3b53b2927d21cfef53e66058bd5</t>
  </si>
  <si>
    <t>1ba4d572a08babfe8c7d9c9717ec1599</t>
  </si>
  <si>
    <t>274aa30dfa6ebfc053832b395598c1aa</t>
  </si>
  <si>
    <t>761635701a1b57e55385d45e8e868498</t>
  </si>
  <si>
    <t>4e1213b3b6b7ff55099c76ffd9eb4b58</t>
  </si>
  <si>
    <t>8d70a49aa04daef1ff57762246c51978</t>
  </si>
  <si>
    <t>c5e247391bbdd57927e2930538296f2e</t>
  </si>
  <si>
    <t>fb6bb1278f020833319dd6e557ca4d88</t>
  </si>
  <si>
    <t>47bae4cea2f848fe1d91c9051a300a29</t>
  </si>
  <si>
    <t>d374d0c18780e492c3d2e63f91752d0d</t>
  </si>
  <si>
    <t>75e889ffb4c956022354ba317a6626ed</t>
  </si>
  <si>
    <t>dcef2760cae209169100185640b5a2a0</t>
  </si>
  <si>
    <t>dee39f3a5ab881ab30a36b0ee71300aa</t>
  </si>
  <si>
    <t>564ed2dbdd6f0567500e8a1b7981f28b</t>
  </si>
  <si>
    <t>10ab26922e2648bd3f79f8f8631af7cf</t>
  </si>
  <si>
    <t>55b0dce57b47df0013b6bfdfd5636f3f</t>
  </si>
  <si>
    <t>7753eb3f2d2f5dd5bda141d7761e38e4</t>
  </si>
  <si>
    <t>eecd44ca6cde2b98f9c7150cb135861c</t>
  </si>
  <si>
    <t>ef17814ab770a950071cfdd5c635d5de</t>
  </si>
  <si>
    <t>dc86e5c1b77c661891d91aeca52ad8b6</t>
  </si>
  <si>
    <t>f7baa5d5ed7d88c6b4a99873955915a0</t>
  </si>
  <si>
    <t>7cbabebc4ff57faf9cd22b4188243793</t>
  </si>
  <si>
    <t>04c227d911d48c609eb763c34c5bef82</t>
  </si>
  <si>
    <t>3d6506f8e91b91b051c8f1d956c4429f</t>
  </si>
  <si>
    <t>2daeba9b5d09c2ebd5ad42e5477e5d8f</t>
  </si>
  <si>
    <t>bb51ee24da672e857c3d9775b0abee4c</t>
  </si>
  <si>
    <t>8ababfb3b5bfd90b512efe5304de5977</t>
  </si>
  <si>
    <t>bb5e4f2974573e970a73419f0a5f7f41</t>
  </si>
  <si>
    <t>f49de2e342635d248eb162cb55e7dac1</t>
  </si>
  <si>
    <t>fea42d70f2e3905853625e0e9762120f</t>
  </si>
  <si>
    <t>3d830ca43771c3ac56b1c24d2a9f1779</t>
  </si>
  <si>
    <t>e1b6c6fb7a203ca62d0108642cc5767c</t>
  </si>
  <si>
    <t>4be3f33048a13363e1e434aebb27ce99</t>
  </si>
  <si>
    <t>9588bf5a0386ffed13edebe714ee75e5</t>
  </si>
  <si>
    <t>f945420454f21243509f5cfc441dc799</t>
  </si>
  <si>
    <t>4a295a87a340012cd5cb23cbb5e7461b</t>
  </si>
  <si>
    <t>fadfdf637107815db80af769d997a32d</t>
  </si>
  <si>
    <t>5f68d79da98d5ad7e2fa873c8c8c0383</t>
  </si>
  <si>
    <t>611a80e9562b4c0738021647c910846f</t>
  </si>
  <si>
    <t>e1a2719218ad9000036929229c99cd3a</t>
  </si>
  <si>
    <t>daef884ea3a9751b7f2de19244903bd0</t>
  </si>
  <si>
    <t>55c4128949ee2224ac9108e9601f53f8</t>
  </si>
  <si>
    <t>4b6424d40c97d82d476d0b30522253c0</t>
  </si>
  <si>
    <t>cab36570c534dcc2d3649d43dbe3e903</t>
  </si>
  <si>
    <t>33361cd70854b41ce5b022000f77b434</t>
  </si>
  <si>
    <t>f3ff512452bab41fce871de6cfbb2911</t>
  </si>
  <si>
    <t>f0a7d979c6e57d746e1164ed6e44678e</t>
  </si>
  <si>
    <t>24e793957f197ac27745a8818586ec8c</t>
  </si>
  <si>
    <t>01b04548cc5b5a18f025db4bf5f32064</t>
  </si>
  <si>
    <t>4ec90e56bd5c0e3c0b3496496ef0d3e2</t>
  </si>
  <si>
    <t>cb9fad4d3a1f53ba5f5409eb8865ee00</t>
  </si>
  <si>
    <t>286313479c3c890d2aebb38af6375722</t>
  </si>
  <si>
    <t>5d6df14111efdde523323f1e8815ea68</t>
  </si>
  <si>
    <t>a702207db66fc2b8859a0e7aa413f0b2</t>
  </si>
  <si>
    <t>7a076925b6494fc1ccf0db99d7965203</t>
  </si>
  <si>
    <t>3985c3f6f10fa559cb7403cd0121d5c1</t>
  </si>
  <si>
    <t>433db795566d9f51a72086333588e655</t>
  </si>
  <si>
    <t>e66160e598192a253a015cb90ab371dc</t>
  </si>
  <si>
    <t>afa4488056658f524727d7911f8f801c</t>
  </si>
  <si>
    <t>5b2bf96684c3e37470d69b6c701cb7b3</t>
  </si>
  <si>
    <t>3e5fa5d77c90f90b0ddb3c43f64c2a78</t>
  </si>
  <si>
    <t>169ea72d893b7bfe6a36b531a78b48af</t>
  </si>
  <si>
    <t>c59f4b333f4ceb69eefde0d9c5ac8afc</t>
  </si>
  <si>
    <t>478c412ba6aaa1c6dc3d4b02284d4041</t>
  </si>
  <si>
    <t>4edac96613950d6c00a872b37ee20e5d</t>
  </si>
  <si>
    <t>2c439bc245533a95d51329968b9b26be</t>
  </si>
  <si>
    <t>256740a0777be3553c8d8ebdb23a443e</t>
  </si>
  <si>
    <t>b128623086957955b92331ca412595fc</t>
  </si>
  <si>
    <t>14cb4025dd2c4c63b76f1f5795e293eb</t>
  </si>
  <si>
    <t>a57b6cfb606cac574dc5be0dc524f1cf</t>
  </si>
  <si>
    <t>c2a79fe39f4801bdd710e19cd30e4999</t>
  </si>
  <si>
    <t>332d62c00e4e7218915d19a6f084d0ae</t>
  </si>
  <si>
    <t>8e65aff4b74febf52c314c22e34c2d32</t>
  </si>
  <si>
    <t>9cfb1408152933f6fd6361560194325e</t>
  </si>
  <si>
    <t>6bacc516b88b78d62e578cd9ad50c08b</t>
  </si>
  <si>
    <t>ae7ccf3b05a225121e4f9f9eccd6ece6</t>
  </si>
  <si>
    <t>f9c3adf1303060c6e57a765820c6372a</t>
  </si>
  <si>
    <t>cf9c63dd842330b6e9b6b20fe80ebb14</t>
  </si>
  <si>
    <t>95795d94cbc066886798b2d75e86705b</t>
  </si>
  <si>
    <t>9081d2e0daa8f21191bf58b26102c144</t>
  </si>
  <si>
    <t>90092a96d41dc90bde569b2383465360</t>
  </si>
  <si>
    <t>67e4b3ca7fb7e6e1e24767b1a6df70fe</t>
  </si>
  <si>
    <t>24fad321d1c4ae6e3d44878694f17590</t>
  </si>
  <si>
    <t>97d84fba14b84fb843751040837c95b4</t>
  </si>
  <si>
    <t>0c7105be927a03bb3567bf01feec05a5</t>
  </si>
  <si>
    <t>6174526bec27e6cf9343ff9b2585e67c</t>
  </si>
  <si>
    <t>ac9dab4e2a08d5e2c595cbbf45c5cc78</t>
  </si>
  <si>
    <t>63aec506bcfd90818d4d4eeed163edf6</t>
  </si>
  <si>
    <t>88dc6aff105a14cb76f8cde8ddce74e2</t>
  </si>
  <si>
    <t>cbd159e576d9b7ede8622c4fe355d50b</t>
  </si>
  <si>
    <t>97f415c3bb3fe916c116c41d3746cc73</t>
  </si>
  <si>
    <t>898c823ce97aab66b5ef0fd1ca661b4c</t>
  </si>
  <si>
    <t>0a2c8d94e057ab72ea4f88b67e0bb40e</t>
  </si>
  <si>
    <t>98229e47efcf293ba35164fa38faba05</t>
  </si>
  <si>
    <t>1074afbd8b5b7eb6576c26ecbf6f7e17</t>
  </si>
  <si>
    <t>170978449a44d129b9548d122cf7f42f</t>
  </si>
  <si>
    <t>b26e97075acf7373fe8430b66cba271d</t>
  </si>
  <si>
    <t>bc94f75c7d9299fef1c8445e33a43291</t>
  </si>
  <si>
    <t>5ca177e9af12f0d5d9c4c72668c81b63</t>
  </si>
  <si>
    <t>16b88c4db6ea7cb431e96c118b97939a</t>
  </si>
  <si>
    <t>ce65b72ad2e2a92b35b6b97377ee6d2e</t>
  </si>
  <si>
    <t>bf7526b5d27b25b06b99a95e1e690f05</t>
  </si>
  <si>
    <t>c9db91a33f7c9b95eeb17aa5d3cdef5c</t>
  </si>
  <si>
    <t>dfab173bb4e49a200b37e660e2677709</t>
  </si>
  <si>
    <t>933aef03173f263ee5b7eb84a5dd19e1</t>
  </si>
  <si>
    <t>3d2a67b164177142ff0a63a068c4ed6d</t>
  </si>
  <si>
    <t>fa520d9c2a0ed06a90e3ebc59df2a0d4</t>
  </si>
  <si>
    <t>8513d71f50e57e470cd1b333f514cc3d</t>
  </si>
  <si>
    <t>6a8c083c3f7029f6c4d81d0c22a5f106</t>
  </si>
  <si>
    <t>ac5579a7c19935299cd01e0f0d6ac56a</t>
  </si>
  <si>
    <t>155722af3900b91a17eeb5a3c987defe</t>
  </si>
  <si>
    <t>4e7c4a8df5bda13793353b73ef49a287</t>
  </si>
  <si>
    <t>768e0cc7e7645b8ef7f9e6846fb31a48</t>
  </si>
  <si>
    <t>a3d84321c2ae810ea876baffd7ae050d</t>
  </si>
  <si>
    <t>18c7d3e908572f255a619c09e04b461a</t>
  </si>
  <si>
    <t>decf0953ee783d807db519f9cc4bb27f</t>
  </si>
  <si>
    <t>f970d678e6dd06c055be0ba1113664ab</t>
  </si>
  <si>
    <t>cbdc5c18ea592c0c0e15c5a003b21cea</t>
  </si>
  <si>
    <t>a3af76f69a3c9c55f12cf5fc418a0593</t>
  </si>
  <si>
    <t>a4b3ca4ada2759e31078d66feb588e94</t>
  </si>
  <si>
    <t>227aef76fd3e65664c541ae9c04cca44</t>
  </si>
  <si>
    <t>baf29ae762c297c344e58ef23c982a9f</t>
  </si>
  <si>
    <t>97b7e121d7fbde23d1f19991e52793a3</t>
  </si>
  <si>
    <t>2bc7db4afbb8a8df863bc439257b2915</t>
  </si>
  <si>
    <t>b5bde7db296c1837f75b77a2e4e6013b</t>
  </si>
  <si>
    <t>39fd0bb6df13c8e89bbf7db0372df7ea</t>
  </si>
  <si>
    <t>b5c4df4f16237128934c0b239a2e49b3</t>
  </si>
  <si>
    <t>baf0353461042119372ff1b4ec01cff6</t>
  </si>
  <si>
    <t>3a03f9afd886282d8d1de4e0af465056</t>
  </si>
  <si>
    <t>04c7ec3579a0033ab281960fbd7b84c3</t>
  </si>
  <si>
    <t>75f5a325280e4f8d8402d0300e9da4f7</t>
  </si>
  <si>
    <t>6be62e2d792dfec1333ce271c9a1d906</t>
  </si>
  <si>
    <t>8494f6ad42261c6a8acc39ddafbbe080</t>
  </si>
  <si>
    <t>c12c73f22a34ac35f2c45f74b55402b0</t>
  </si>
  <si>
    <t>e3f20d78aa268dbc5a1ba6a2860eaec7</t>
  </si>
  <si>
    <t>1afc2196baf7c236bdf6a200de6af8b2</t>
  </si>
  <si>
    <t>7b672a4ef6b0fe8b994efa382c5a53c3</t>
  </si>
  <si>
    <t>2c9d9225385f6be2f576647e9e49e631</t>
  </si>
  <si>
    <t>1fcf4e6a7771f35daf0b98c69fb10528</t>
  </si>
  <si>
    <t>90b8b59c5597af1c719d701bddb575f2</t>
  </si>
  <si>
    <t>8999524db83541c7f1ad48906d5d4b86</t>
  </si>
  <si>
    <t>95d40515d78b92d75f485224d51a7ea6</t>
  </si>
  <si>
    <t>0312c4b8f08be04fc109109fba92a7b0</t>
  </si>
  <si>
    <t>f1e513f02d2dbe70b939178cb7d4fbac</t>
  </si>
  <si>
    <t>d70aaf1069fec18cb3786a7d96780aa1</t>
  </si>
  <si>
    <t>f2b50255f80e6fe6c7cac43fd89bd820</t>
  </si>
  <si>
    <t>eec4de6968164aaa8fc148df613e4c61</t>
  </si>
  <si>
    <t>1d3ac27a2d81ce37c69a148abaaf609d</t>
  </si>
  <si>
    <t>794f4d170884d586a02eb907a0c9c0dd</t>
  </si>
  <si>
    <t>5a64e013840f248e9ca5d648856a6cba</t>
  </si>
  <si>
    <t>4798443501a54a147b4098b919f7b44c</t>
  </si>
  <si>
    <t>65546ed1aea0d4a89d6aa035968c2a3d</t>
  </si>
  <si>
    <t>4a66c94e04d3094b75356c2cda68c8d9</t>
  </si>
  <si>
    <t>a42419f3420cc448a514307a35d8eda2</t>
  </si>
  <si>
    <t>48f02bed60a8daf40921885dc057107f</t>
  </si>
  <si>
    <t>b13245211331d16e2a04423665d4b3a8</t>
  </si>
  <si>
    <t>312dbec06d3efb840e10513e8775bc74</t>
  </si>
  <si>
    <t>2df9c7c23d39de0710ec45bb2348a287</t>
  </si>
  <si>
    <t>bd9a32d45f2cdfba6e942425c9c87960</t>
  </si>
  <si>
    <t>cb2dc70c84b332c8e5aef3045e20c16f</t>
  </si>
  <si>
    <t>711d9476d2d0fe26320f8b0a41cd0289</t>
  </si>
  <si>
    <t>27816fed47150f6fda5f96e75013749f</t>
  </si>
  <si>
    <t>f01d69a56fe9491dae460bf266ca4998</t>
  </si>
  <si>
    <t>234c7ac2c77173bbfe2e1495dc47c363</t>
  </si>
  <si>
    <t>71395be63174d9842f3e2b0c3520ed5e</t>
  </si>
  <si>
    <t>b757aa8b4d5f403e9c6c0a50a8cef71f</t>
  </si>
  <si>
    <t>be7f31219be243061a39a4a158898688</t>
  </si>
  <si>
    <t>ea4434c9a6df0098e720204ba3dbb76d</t>
  </si>
  <si>
    <t>6602aa0b985afb4059ebbebf05e46d76</t>
  </si>
  <si>
    <t>11172787bdf65ba27b6349969d340af4</t>
  </si>
  <si>
    <t>a160021eef38166360109540526c4766</t>
  </si>
  <si>
    <t>735f56c58c9c94f1e16df8134386a1bc</t>
  </si>
  <si>
    <t>45af559f3798063d200ffcd455f90e5f</t>
  </si>
  <si>
    <t>84a98e9bea194d59e442e2be756a2e08</t>
  </si>
  <si>
    <t>89146fe19c2c2381bf5e65a881ec218f</t>
  </si>
  <si>
    <t>9971bf4009012efdc5a9cb7ed7417e90</t>
  </si>
  <si>
    <t>386db06624c16f236b9815a220896e90</t>
  </si>
  <si>
    <t>ce1542ca94b4c1147ab2c8155fb41578</t>
  </si>
  <si>
    <t>41117e4291a10cd6720bc6fe706ed521</t>
  </si>
  <si>
    <t>fae30afa0073712435e3302fa439ad4c</t>
  </si>
  <si>
    <t>ab29fe6d1217894ad5cd4e77c34855e7</t>
  </si>
  <si>
    <t>62c19c2e9965481203a681b55a05e65a</t>
  </si>
  <si>
    <t>6ce8b21f4a3e266c37ba54cbb0fd2bc4</t>
  </si>
  <si>
    <t>ff6fb10988a20c8d51c53e75bc6d5e3b</t>
  </si>
  <si>
    <t>a521033c5d6c1afc9fc668aea0972a1b</t>
  </si>
  <si>
    <t>e5eaa929c6697d69cd76727daa809042</t>
  </si>
  <si>
    <t>ab881944a0881e36f759347e6c1735ed</t>
  </si>
  <si>
    <t>610dd082e924e67330156da59ac3db00</t>
  </si>
  <si>
    <t>a1c1c34f2d042043b7b6798a85500ce4</t>
  </si>
  <si>
    <t>45d95af3e246cc5a1514a05b6c5a172a</t>
  </si>
  <si>
    <t>7f22f2ce01a1d2ec3cb03a27a0db321f</t>
  </si>
  <si>
    <t>c6aae98722a05d2a1a2370faef8b1b66</t>
  </si>
  <si>
    <t>9a176baf810d96d12324b97d562117cd</t>
  </si>
  <si>
    <t>3bb7e223dd6fe07da16874517cf3fa54</t>
  </si>
  <si>
    <t>ba9be94b9a84fd28d757834ac32c0d60</t>
  </si>
  <si>
    <t>e1e32379b464961f67fba6ddf6d4b3b7</t>
  </si>
  <si>
    <t>eeee10ca0e0d0bef8556dc43da2097dc</t>
  </si>
  <si>
    <t>08be83f454d1b25bc644a44783b8b7d2</t>
  </si>
  <si>
    <t>093ace40ff7076ad59a3ab71dea56df0</t>
  </si>
  <si>
    <t>20004d9171f2c39562975a104b3b9d7d</t>
  </si>
  <si>
    <t>8433ddfeaa9887f62f36e8c05b6e7022</t>
  </si>
  <si>
    <t>ab99bdd324780a346267d29dc02230d2</t>
  </si>
  <si>
    <t>6b8df87e67318f5c70bf4ffad3485829</t>
  </si>
  <si>
    <t>10295c3028a55d58e22ef9b29c00071a</t>
  </si>
  <si>
    <t>601477f166ad8e20492d52c5888a1ce8</t>
  </si>
  <si>
    <t>105c713f26aceeeb177effaba81c5768</t>
  </si>
  <si>
    <t>cc2079f1f86ce2f9765a8659f9d07c8b</t>
  </si>
  <si>
    <t>387ba2ba73ce1e4c81fb09175bf2a1f3</t>
  </si>
  <si>
    <t>9173003064218a5f9e5a2504b53210ad</t>
  </si>
  <si>
    <t>06866f020cb80790b158b1ea301680a3</t>
  </si>
  <si>
    <t>1d9b1a8b18c79139022fa537f4a12fd7</t>
  </si>
  <si>
    <t>743159ebd0cb34f3a437e429724078f9</t>
  </si>
  <si>
    <t>035470355c525490c9db87b4f0a48b51</t>
  </si>
  <si>
    <t>d5a934d2db319845f83ff215eb10c452</t>
  </si>
  <si>
    <t>b21376ad4cebc51c2c0d2de9839dfcbb</t>
  </si>
  <si>
    <t>ccefa32875cbd01d9ca6025da13d83a2</t>
  </si>
  <si>
    <t>f9879a7e19f868752efe9914fe370118</t>
  </si>
  <si>
    <t>69c1b055b72973acb3d4e3b75b33deb8</t>
  </si>
  <si>
    <t>dd05f857aff427aad73e4c634b1cf060</t>
  </si>
  <si>
    <t>5f3083037c3660fda57fa58f31d89a63</t>
  </si>
  <si>
    <t>7b85277ad0a91a4b738f853380f9f6f2</t>
  </si>
  <si>
    <t>53afa44da0f77375f9ab54c9b8d61da8</t>
  </si>
  <si>
    <t>b07dae8bbe4114d04f34488119725b99</t>
  </si>
  <si>
    <t>3311b34d2f838ff7bc729a2a4e53c547</t>
  </si>
  <si>
    <t>42699380cdc9b654ffeb000a35e09272</t>
  </si>
  <si>
    <t>f6d454bdc87a16e0614ea35d9a737e72</t>
  </si>
  <si>
    <t>40d670477ea432dea2ee336c54d03a9b</t>
  </si>
  <si>
    <t>10489e28509965bdbb4234b23d3dbea4</t>
  </si>
  <si>
    <t>3bc143c3f9e05d4077f369a77bf13ed4</t>
  </si>
  <si>
    <t>12b5aec8a9910b09c5104fb61cb35336</t>
  </si>
  <si>
    <t>5dcf93a3757353548ad49dcc68d1c445</t>
  </si>
  <si>
    <t>8d697c1323b49f7888addaf6429d74b7</t>
  </si>
  <si>
    <t>4e6cbfdf24bc563142cc847f03f5ed29</t>
  </si>
  <si>
    <t>16baa254178accd16a8ad75c6a8f4aac</t>
  </si>
  <si>
    <t>33e4319ab5bea4bd4e07a5c7160506d5</t>
  </si>
  <si>
    <t>1138d7c3876a16c96a96a79656551f15</t>
  </si>
  <si>
    <t>9e69e41e77de02036b07dca91c05b099</t>
  </si>
  <si>
    <t>8ac0b1aab32e3f93c68e275171f099b9</t>
  </si>
  <si>
    <t>faaebcdfe2773845e540b7981ee4a09b</t>
  </si>
  <si>
    <t>142187f4dbc5f5dc401d35e896ad29f1</t>
  </si>
  <si>
    <t>097648fb7715dc008e029c2252f51071</t>
  </si>
  <si>
    <t>907f872fe100d37c2fd9a9a1a616dc54</t>
  </si>
  <si>
    <t>d42978e200f1862487207115227b5719</t>
  </si>
  <si>
    <t>80189d342698330b84a8a7999eaca843</t>
  </si>
  <si>
    <t>da03a6389035b1470aa3d49b3ba4360c</t>
  </si>
  <si>
    <t>5ce1696154c224dd56c13b37e0f2c618</t>
  </si>
  <si>
    <t>715735a90f4b1c43c73170b1343a65d2</t>
  </si>
  <si>
    <t>d1cd0a8c9b28f58703a097d5a25534e3</t>
  </si>
  <si>
    <t>ed2778e8d8cc95fc48592e71a3341841</t>
  </si>
  <si>
    <t>67107e5f6f1efb4409c37abd1645b0f5</t>
  </si>
  <si>
    <t>6de5f0ac87cbfa893c5a48aa39ddd549</t>
  </si>
  <si>
    <t>3b14bb16b93056a7eab0448b99490428</t>
  </si>
  <si>
    <t>8ea72b15523ac50dca6a1370d803eb19</t>
  </si>
  <si>
    <t>32caf458cd9c02201db30672a2302836</t>
  </si>
  <si>
    <t>51664f0519dc74d4ceb12b79d1d66442</t>
  </si>
  <si>
    <t>80cff27b15b30ca4c0186164c64f5a18</t>
  </si>
  <si>
    <t>5898b95f414c85269137d3aed09b7391</t>
  </si>
  <si>
    <t>8760f3931e4da88677b3b650b5743f89</t>
  </si>
  <si>
    <t>7a8a53c680deb1b715a7dce9c0f75de0</t>
  </si>
  <si>
    <t>fe9ba234704f9db9852cdaa2fdc36df0</t>
  </si>
  <si>
    <t>89ad49151f7fe46a62314005263bdbc4</t>
  </si>
  <si>
    <t>966f9ee50b04f60e17b65e6b713acd9b</t>
  </si>
  <si>
    <t>a692993d186a08a8ac16edf22edf706d</t>
  </si>
  <si>
    <t>5e2572c857b95a864bebd3cf5fd2e265</t>
  </si>
  <si>
    <t>1408f1a274dfa0469b0501dd323f83c1</t>
  </si>
  <si>
    <t>52b5792567ad3ebc7313816336ec822f</t>
  </si>
  <si>
    <t>801e72ef2ebe2b80ef71fb8b968d9b48</t>
  </si>
  <si>
    <t>a3c31a078dc3d0dd96c1b91d39e73d38</t>
  </si>
  <si>
    <t>cd5d786626b990d098e0407af7478475</t>
  </si>
  <si>
    <t>483cad40bcef17f30ff4139d525b6e81</t>
  </si>
  <si>
    <t>de829cc41d27f07c17771b5027167353</t>
  </si>
  <si>
    <t>10f5ac17ed7d6ee9a7d737ac1d2fcb32</t>
  </si>
  <si>
    <t>ce905b9b491b5529664506d2e8e04cbc</t>
  </si>
  <si>
    <t>85964acbaa00690472fbacd6a419a4b5</t>
  </si>
  <si>
    <t>e9abec5e32203998211653b45023be1c</t>
  </si>
  <si>
    <t>3ca498a36de1c5eb1c2d01f80341383a</t>
  </si>
  <si>
    <t>d4fd3aa1fbb67249daa0ba08def28060</t>
  </si>
  <si>
    <t>26a6bd1ee535715480898b5e9ebd03a7</t>
  </si>
  <si>
    <t>abae7d98a0ce038be2705fc36f5de8d9</t>
  </si>
  <si>
    <t>cb99590f7cf124e88bdd3a40b3b1c8bb</t>
  </si>
  <si>
    <t>3b2dde702df788b53316c6b6e8c3bd9b</t>
  </si>
  <si>
    <t>6e4f47d6a3e00616a565c69757bf59c5</t>
  </si>
  <si>
    <t>fc804d532af1ae8155de91061e37d756</t>
  </si>
  <si>
    <t>4cd32d6e6c24dad2afe99e445b936b66</t>
  </si>
  <si>
    <t>e46a846e522b549e338296fece070d70</t>
  </si>
  <si>
    <t>1ec5f5ec77c51a968271b2ca9862907d</t>
  </si>
  <si>
    <t>19b3fa53ed04b475f8eca3c2f862b60c</t>
  </si>
  <si>
    <t>fbb00e1e842e9e5350a7643e6d014863</t>
  </si>
  <si>
    <t>dd9902bc56a9d85cdc62c00083ea4871</t>
  </si>
  <si>
    <t>6681e99a8107c37b2a89c913244527a9</t>
  </si>
  <si>
    <t>f477a6f0f6aa8c609e6491ad02c5fe66</t>
  </si>
  <si>
    <t>1f163d2cf1782152bdd7333dbd880b46</t>
  </si>
  <si>
    <t>76069877da8f1384cce3ca8826982c1a</t>
  </si>
  <si>
    <t>e9c519a82a563ea4613914e83d06acda</t>
  </si>
  <si>
    <t>c336e823d31280b5ded5f32cdaa0fe0c</t>
  </si>
  <si>
    <t>a5ab1fa4199426a4a1f1cfa23bf299e8</t>
  </si>
  <si>
    <t>50f87b85a731cec08d8380b08c573ed3</t>
  </si>
  <si>
    <t>2ef1bbdc45ad8e0abaa18d187033bca2</t>
  </si>
  <si>
    <t>e297f099ebb4b475764f76a3b49c9b3b</t>
  </si>
  <si>
    <t>f4801d6ba7943af3d9d8872e81cf380e</t>
  </si>
  <si>
    <t>eb2f0fc72f358a3663182913cbcdb32f</t>
  </si>
  <si>
    <t>54b26778c1725894f48393baf84d3b30</t>
  </si>
  <si>
    <t>31fb220526c09d18bf9cfaff20bcba4e</t>
  </si>
  <si>
    <t>0965de46e3d5c19fe17b96ab3d174336</t>
  </si>
  <si>
    <t>7a456d7f29b4e7e92bb9a14c24dce430</t>
  </si>
  <si>
    <t>c18329a875ee3142771b03cad25cfc79</t>
  </si>
  <si>
    <t>e3b1fdbfb97eddd5f1dcc781498f1b47</t>
  </si>
  <si>
    <t>ce229b87ad8df6c983fb2922aeed0e23</t>
  </si>
  <si>
    <t>a0a8f64f5b82720a82bb36aeab48bb18</t>
  </si>
  <si>
    <t>89df30a4734b728774ac9cd022d4c8f9</t>
  </si>
  <si>
    <t>2ad908ea29b45df4bf8b2a3136690429</t>
  </si>
  <si>
    <t>7e57e1310f10c1a7fea50eb20669b057</t>
  </si>
  <si>
    <t>97d4d84826d8f8a9be5d1654df41dea9</t>
  </si>
  <si>
    <t>d231420fda34541e691c58019767ab04</t>
  </si>
  <si>
    <t>0b3246fe110a20162bb905e1baa06e50</t>
  </si>
  <si>
    <t>f90552c7a135cf7755f9cd613c06481d</t>
  </si>
  <si>
    <t>0fec42125d40c0f55a10393582501d42</t>
  </si>
  <si>
    <t>f16687bf60f00b108f59df28c5fd173b</t>
  </si>
  <si>
    <t>a83d567f09e542dbe66a7e1a9430504a</t>
  </si>
  <si>
    <t>5bb0b4dd9a4f5c0de3564b63d74bcf5f</t>
  </si>
  <si>
    <t>d845e2d9a29725baae2953898b1845f7</t>
  </si>
  <si>
    <t>29ab8937c72f36ca382c32ece8ca5595</t>
  </si>
  <si>
    <t>4b86f03081bd4d9cfc59e51fccb9eb45</t>
  </si>
  <si>
    <t>bd8694cd4794dbb5468f6b6bcabaeb4c</t>
  </si>
  <si>
    <t>19f0e3f4af9e4ff3592924dd2c248d35</t>
  </si>
  <si>
    <t>cd726e6cc24cd0afe34ca7572891678e</t>
  </si>
  <si>
    <t>2b7f3676262f189cbb4e3454f6330155</t>
  </si>
  <si>
    <t>2895912667223223c3277a2f44df5a1f</t>
  </si>
  <si>
    <t>e335b7276aee3087b73ebfa5e3193655</t>
  </si>
  <si>
    <t>d52a281185b41daea7ad4f5bab21e7dc</t>
  </si>
  <si>
    <t>5ec388af0251a9721a06e051c6bda168</t>
  </si>
  <si>
    <t>7378482f194890f4d9109e1ba3e2cf04</t>
  </si>
  <si>
    <t>8d06969939c8f260b8d1db5b900f7653</t>
  </si>
  <si>
    <t>86abd7edfb1117be399b9f519b8dd9e3</t>
  </si>
  <si>
    <t>8980cfa9b304002ed0b058511901b55a</t>
  </si>
  <si>
    <t>5801d49c965a32a5303ce2793f09750b</t>
  </si>
  <si>
    <t>91cd93e0fc08ec1e3067cb9c49e8f92d</t>
  </si>
  <si>
    <t>6751c52d7db6029b4ae52f24811dd5d5</t>
  </si>
  <si>
    <t>2e283777e7e2191d23fab7566e28beca</t>
  </si>
  <si>
    <t>f4de3672ef64c527799235acd16960c6</t>
  </si>
  <si>
    <t>2b01c70df55e88336d156e20f583a90e</t>
  </si>
  <si>
    <t>5557b67c89b4ff20c165303cfa98a81a</t>
  </si>
  <si>
    <t>49bf72bb66a00f922b002b7fcac4804f</t>
  </si>
  <si>
    <t>1eccc72bac34be6d4791e43d8874abc4</t>
  </si>
  <si>
    <t>e8964b9a2e065b1067f99ff74fcdb449</t>
  </si>
  <si>
    <t>d65a4f032c7efea300d514fa72b0bbcc</t>
  </si>
  <si>
    <t>a006c5c497ac22bc39a5698420ddb004</t>
  </si>
  <si>
    <t>16805acc50701e4904620cfe12273731</t>
  </si>
  <si>
    <t>dffe93f985ab86301115dfe29c3e0a41</t>
  </si>
  <si>
    <t>eeb00ab13106ffe8c16939b9834d2536</t>
  </si>
  <si>
    <t>d6a31df893267907bc8877ec5e1b7c04</t>
  </si>
  <si>
    <t>8f6240dce8bc1548c3f66bc5ed17369f</t>
  </si>
  <si>
    <t>a631032a4ca53c968fd251959795ec39</t>
  </si>
  <si>
    <t>9fcc8beb3e7cd46714d8fa78eb705ad5</t>
  </si>
  <si>
    <t>3efeff9dbd6bfd7ccc698c0baf52740c</t>
  </si>
  <si>
    <t>e49774d191d2589093dfa6dc07095670</t>
  </si>
  <si>
    <t>eda866dc38e946b387a0520d46df50b3</t>
  </si>
  <si>
    <t>647c30902deaaa927b1cdf13e4cb3dd5</t>
  </si>
  <si>
    <t>63db44691f9e40a103785a74c63543e6</t>
  </si>
  <si>
    <t>f93373ec8954c1677f33506e439e2331</t>
  </si>
  <si>
    <t>5d80f41d392a2f39804eae9eb91fe770</t>
  </si>
  <si>
    <t>9a80cf893678cf5d33cec3a91742837a</t>
  </si>
  <si>
    <t>cce119502b39f2cd9f69219bb6dbd241</t>
  </si>
  <si>
    <t>7fb81e85cec23c84c28f94cc331ba0bb</t>
  </si>
  <si>
    <t>d348627a08fabe278a8909ed03474447</t>
  </si>
  <si>
    <t>b328487b2b7959c38fd3c33a17bb6a00</t>
  </si>
  <si>
    <t>1bf502b835ee007957e558cbb1959ecb</t>
  </si>
  <si>
    <t>c8e8e237bfc7a4643f9c5f2841f1622f</t>
  </si>
  <si>
    <t>11ae9d2fb5ee5579a3a0db7674dff168</t>
  </si>
  <si>
    <t>b90ffa2e588795e7f7f8f73d04b5dc32</t>
  </si>
  <si>
    <t>44f46fc20811f78bd3e34a3d04dbdc70</t>
  </si>
  <si>
    <t>63b6da38dd39ce6dfce412cc36d8b1b5</t>
  </si>
  <si>
    <t>a75361ce50e67179d38f7082d687b571</t>
  </si>
  <si>
    <t>bfb542eee7ebaee0d567b99b69baf7ec</t>
  </si>
  <si>
    <t>c863dbb08e838f7637ab6d9fa1da2091</t>
  </si>
  <si>
    <t>acd4dbc10fbfd65a25eda61b46fc7820</t>
  </si>
  <si>
    <t>fc8cfa21bc52ce06040158d584ee1147</t>
  </si>
  <si>
    <t>ea26d7632974b9674121019875916c4b</t>
  </si>
  <si>
    <t>5d64ea6bc3bf7929860190fe5159b5b3</t>
  </si>
  <si>
    <t>4612cc4ffdf8a7dbd4174702b9b22afd</t>
  </si>
  <si>
    <t>76d4ea939889f465fbd328c44cb0c3cd</t>
  </si>
  <si>
    <t>d61e0dab436d2a75c7ec983d78c4a2cd</t>
  </si>
  <si>
    <t>1d10712905e2faf91de6700424d443f6</t>
  </si>
  <si>
    <t>29330fd16af21aa9a9559c4450d329e2</t>
  </si>
  <si>
    <t>f7dd3d581240954722d463381dec2521</t>
  </si>
  <si>
    <t>7a1eae3489145133fdd9dbd917810547</t>
  </si>
  <si>
    <t>e640e8d3c3f0f3ac92f3178396cbe044</t>
  </si>
  <si>
    <t>498caf50e8859f04fb9cf7a4ae05a83a</t>
  </si>
  <si>
    <t>6c0edc37f0857f16a191369763104d33</t>
  </si>
  <si>
    <t>2863298e1c75172824d2f5aa7517c899</t>
  </si>
  <si>
    <t>021ff8a9becc2eff3b3ec40a10b397e6</t>
  </si>
  <si>
    <t>04e28059dc3f7c648f544bf985f09e3a</t>
  </si>
  <si>
    <t>f20fd1e8deb34b1bc57a3146f2511eb2</t>
  </si>
  <si>
    <t>84ad88e9ffaeb60e8a2c83b6c108debd</t>
  </si>
  <si>
    <t>8488edf17e796d6b837dca8a46444721</t>
  </si>
  <si>
    <t>5290f86dffbdf4f7673878fe5a544535</t>
  </si>
  <si>
    <t>9d373d451beddb6c6a1134876433d259</t>
  </si>
  <si>
    <t>6cb5686162b6b655404343ae77bd9348</t>
  </si>
  <si>
    <t>f5680c1280b1c59b6bf77b0f5b3d92d6</t>
  </si>
  <si>
    <t>b2af41773def6795ea05e138b3007d75</t>
  </si>
  <si>
    <t>eec15c43f6e3cf156e3649f930c89a14</t>
  </si>
  <si>
    <t>1d44a1f32c916debdadfa721ebbd864d</t>
  </si>
  <si>
    <t>f0d5043436652b087d15406b9239cc19</t>
  </si>
  <si>
    <t>6ad68e971f818c8b3c5c9d5fda523810</t>
  </si>
  <si>
    <t>1aa49d5029bedbd82075fc78ff26b05d</t>
  </si>
  <si>
    <t>93a48d54d1f8518e199d496b5fa77ad8</t>
  </si>
  <si>
    <t>69acd488f0b7effcaf18a4ce85defc85</t>
  </si>
  <si>
    <t>282f81a0f102e8a41ac1e5b476779847</t>
  </si>
  <si>
    <t>2ade688b34d8b8adbb769b79e4fee500</t>
  </si>
  <si>
    <t>b31ff1b3c9984c63863cd293c9e2d5aa</t>
  </si>
  <si>
    <t>bd2ecba368839b7447db9829ba015e98</t>
  </si>
  <si>
    <t>834119d8cd999e0d70abd1bcabb627ad</t>
  </si>
  <si>
    <t>5fb2730cdffd7a73d54cf688412dfca6</t>
  </si>
  <si>
    <t>0cc7e7127f06bb7859605796888358f7</t>
  </si>
  <si>
    <t>378af5b044618d15ad01cc0c8e370ff8</t>
  </si>
  <si>
    <t>d6a5ec16b128a7d93cbfda57a757537a</t>
  </si>
  <si>
    <t>1d4c5efdd9d1039574051c55a39b21f7</t>
  </si>
  <si>
    <t>4461853cc6a73bc75d45fe1ea6e8ee6c</t>
  </si>
  <si>
    <t>11bd1fa9edc725f8d2a295da79eeb9fb</t>
  </si>
  <si>
    <t>182225ff10529aa86e60448b1eba2d0f</t>
  </si>
  <si>
    <t>59ff461e9d87fd02300ac1b7abf19f69</t>
  </si>
  <si>
    <t>e9ab41bc94bcd184eba7cfae0d75e40a</t>
  </si>
  <si>
    <t>35d2f91fdc6df2db3ca665d9a1a410f5</t>
  </si>
  <si>
    <t>3fcedf144be9f3dff1145db6c515fb34</t>
  </si>
  <si>
    <t>6ce911816178efa4b3b09d68d55c6c0a</t>
  </si>
  <si>
    <t>90a5a12198b43cd185f76c1674f140ca</t>
  </si>
  <si>
    <t>a3530a3c4ed7dfb3f7ab7fe787fea790</t>
  </si>
  <si>
    <t>a9d61b085ddc473847e9397f6c0e485a</t>
  </si>
  <si>
    <t>721e744b536889f207c3b82140a05cb5</t>
  </si>
  <si>
    <t>e5014c04644ae2e0148f218158554b16</t>
  </si>
  <si>
    <t>7dfca50f1976e6b46fb99619513b9215</t>
  </si>
  <si>
    <t>9ebeb6b99421142701bd7bdcf4fc0b47</t>
  </si>
  <si>
    <t>0eeda8e4fb95a71fd5260ceabf058137</t>
  </si>
  <si>
    <t>13506612e450df3e00db2da0f085e769</t>
  </si>
  <si>
    <t>e6fc583511b1b88c34bd2a2610248a8c</t>
  </si>
  <si>
    <t>913eaa8841a0049cf73a60ce17d2aaf0</t>
  </si>
  <si>
    <t>6a975ab39190974c74584462181a78d8</t>
  </si>
  <si>
    <t>4b751bc7d77713f88bc7c2d855e963a5</t>
  </si>
  <si>
    <t>a719fa25b2a1d8f332ce512e145d4e83</t>
  </si>
  <si>
    <t>7967058c47906d425e86394725b2afd6</t>
  </si>
  <si>
    <t>02c32194f5d8a18f6d4aa773b988462c</t>
  </si>
  <si>
    <t>367fa572c7af343a43e2dbc5cbaef903</t>
  </si>
  <si>
    <t>dcaf9b9fe015f970d789e226c78dcc68</t>
  </si>
  <si>
    <t>0fca245d13ae0fde217d65da2aeaebdc</t>
  </si>
  <si>
    <t>5c27c063fe2197bcca96d018127e66f3</t>
  </si>
  <si>
    <t>c3a1f23a07d6b7376ed3aae61d18a7a6</t>
  </si>
  <si>
    <t>5aa14e8d74a1e146fa26f5def723032d</t>
  </si>
  <si>
    <t>d4c54190d253fa7bf8d2a188c03bd448</t>
  </si>
  <si>
    <t>5637435c4bcb65aed58744f24c8adaea</t>
  </si>
  <si>
    <t>b385131592e7af5c1d249376c2f7d0bc</t>
  </si>
  <si>
    <t>c8288308562df62a6a837190f9ccaa45</t>
  </si>
  <si>
    <t>4e1536b061e7ec942c58bb29ae459ff4</t>
  </si>
  <si>
    <t>295ade13c3d8aa09b542b332336a852d</t>
  </si>
  <si>
    <t>028e7cccc08d94601ba3e9407c743c7f</t>
  </si>
  <si>
    <t>dea4e2001750c937ad310c6797cf674c</t>
  </si>
  <si>
    <t>d23941275ef524a546d5921aa8c5af2d</t>
  </si>
  <si>
    <t>5028abed85ac9405d44cba75291584f3</t>
  </si>
  <si>
    <t>49324aa17bffaf1a43a8613a2de9db4d</t>
  </si>
  <si>
    <t>d4d53713e4dab118111608c998bd6185</t>
  </si>
  <si>
    <t>189627e6dfdb79c621a10584770d0427</t>
  </si>
  <si>
    <t>0e84f8f034584f597520af86a81f9ac3</t>
  </si>
  <si>
    <t>05b078717c0d74c1e99adc22b314fbec</t>
  </si>
  <si>
    <t>36a530792d57e0fbb57ad2174dd62853</t>
  </si>
  <si>
    <t>e7bf1017621f65d4e7858af08b345bed</t>
  </si>
  <si>
    <t>7b1b613a6c527942b0a70a522b46e9e5</t>
  </si>
  <si>
    <t>ba07080c294e947a3fe56de53d907f9e</t>
  </si>
  <si>
    <t>eb3f249ea5c5b054997c944258ddbe93</t>
  </si>
  <si>
    <t>7f5993cdb977063bc7584810b255bc92</t>
  </si>
  <si>
    <t>6299f7b7e197e0a3cfb007c2c0b12a20</t>
  </si>
  <si>
    <t>7ef3c6710eb6d079171953dea45c3912</t>
  </si>
  <si>
    <t>e2631772cc931ae00d9e2d730b6abb7b</t>
  </si>
  <si>
    <t>e2bd79902aa2c126084f080211564dc8</t>
  </si>
  <si>
    <t>ff40bd279947ef968909c10336706f97</t>
  </si>
  <si>
    <t>df00f51a948c0a2bbd45a32d7f047aa6</t>
  </si>
  <si>
    <t>3416177568760e62da708674fc185ae5</t>
  </si>
  <si>
    <t>e6a07b64cc15d0ce53064207ece842dd</t>
  </si>
  <si>
    <t>5bc2931447642c01fa45d3de7212abdd</t>
  </si>
  <si>
    <t>b9603d20e1cbe010f3ed6275a0e3b885</t>
  </si>
  <si>
    <t>4810e3ec0a42f9824768643af3d99313</t>
  </si>
  <si>
    <t>f33dc5483be5538172f6e326dc2a4266</t>
  </si>
  <si>
    <t>60041d31882e8d08e106b82dd4197a76</t>
  </si>
  <si>
    <t>897c1eac194eb7db41acc4c73d04bf9e</t>
  </si>
  <si>
    <t>e6f6dea5ad5af912b84d619aeb71258d</t>
  </si>
  <si>
    <t>375e354da26e8619e407002dde41f19c</t>
  </si>
  <si>
    <t>be1f3b9abdc31feeeda082b2501c65f1</t>
  </si>
  <si>
    <t>dc65c7b3e6b2ea3a7c5aac41eeb8fbe0</t>
  </si>
  <si>
    <t>bd60b7054e3090a6a7b3fc94f4d9d17f</t>
  </si>
  <si>
    <t>daee4cd625dd079a114513f6bb1d4b9d</t>
  </si>
  <si>
    <t>03e6590e4c076c4f58de4bf85811d640</t>
  </si>
  <si>
    <t>984381c0f2f6388d272227375ac5c373</t>
  </si>
  <si>
    <t>24429f95286e6cdcc6e77aa1b4248cd2</t>
  </si>
  <si>
    <t>9040b06453b2f1d7ed7fd1ab2377e6a1</t>
  </si>
  <si>
    <t>58350ebc61b97bd7c28aeaca836c9c26</t>
  </si>
  <si>
    <t>1c04abeb85a834a19e1ace9220311fe2</t>
  </si>
  <si>
    <t>d29a8d2929a392319e84dcc21046ca9d</t>
  </si>
  <si>
    <t>9afe53ca909bd0bba8e614e9f824bc1f</t>
  </si>
  <si>
    <t>4c600743a60302ab380fb726cd7c49a8</t>
  </si>
  <si>
    <t>e0df2a6236771992a0d39345c4b73f71</t>
  </si>
  <si>
    <t>b27416b4650db0b348d5ce259521f749</t>
  </si>
  <si>
    <t>5f646a5880274ae390d1b52e4f372e5d</t>
  </si>
  <si>
    <t>8c1c08e691380b533c7312fbe3fbee6e</t>
  </si>
  <si>
    <t>99d4eaef9991695d7ad94b83ad5c5223</t>
  </si>
  <si>
    <t>1ad4dd307e6008f932e93b13dd19de5d</t>
  </si>
  <si>
    <t>ceee632a967af1be6e1c0a29e21bb1c5</t>
  </si>
  <si>
    <t>7289106c3ebccb21877f9a50b697e761</t>
  </si>
  <si>
    <t>02b710980274801e7136781fffa997c9</t>
  </si>
  <si>
    <t>8d912d37229efff168ceba5d640cc4a1</t>
  </si>
  <si>
    <t>24bd9a43665868b86b260f6e326b7c5f</t>
  </si>
  <si>
    <t>f4bb62e0c04206fbb517a106e1357dd2</t>
  </si>
  <si>
    <t>725124625c74ed2702c448c169c723c7</t>
  </si>
  <si>
    <t>8fe8b1a271feba2ac9af3584caddbf89</t>
  </si>
  <si>
    <t>48b928005eb587644756f16e5705e3f0</t>
  </si>
  <si>
    <t>67e19867d0c1a2fc445053ec818b59a1</t>
  </si>
  <si>
    <t>261258fa9daa95e7a0dd8872229b63b2</t>
  </si>
  <si>
    <t>32360cc376d9eccccb1fe41583e4eabc</t>
  </si>
  <si>
    <t>3a24e72cfa0b739f8c5b15a0caa24191</t>
  </si>
  <si>
    <t>6b814d3b944dcaaeb9538f0cea60b838</t>
  </si>
  <si>
    <t>6ea0c26d77ee6e6734da4a89e846b668</t>
  </si>
  <si>
    <t>abba6fc3cee14b26ebcfe34fc793b7d4</t>
  </si>
  <si>
    <t>9c8d31c02ff77587df09f1e89fc52b16</t>
  </si>
  <si>
    <t>c3badfdcfdd0211f106ec21d95e0bdf1</t>
  </si>
  <si>
    <t>b50b5a692bf4199456329af7b86c8e4b</t>
  </si>
  <si>
    <t>afb4ae095e2640ec1e64f1960a8f255c</t>
  </si>
  <si>
    <t>8f08d2ef8b9aec2ec5118fbcf7f96f11</t>
  </si>
  <si>
    <t>04c165998a3bfee2c2b46a8d8840dacc</t>
  </si>
  <si>
    <t>bd988b0e7b1fdfeb2f7f883fd067887b</t>
  </si>
  <si>
    <t>f72ea1e6ece2fdaf44afdde14a71f5b0</t>
  </si>
  <si>
    <t>9ed9db8a24173e361f760ee8d0c6ffee</t>
  </si>
  <si>
    <t>97c94ae691105989d42fdbb5d4f17e3e</t>
  </si>
  <si>
    <t>77cc6e00bd18eda4ff007fa5dd9c3a9e</t>
  </si>
  <si>
    <t>bb3a026fe12bd786f45348b570f08cba</t>
  </si>
  <si>
    <t>845803d7964d4fe814b629e902e01f40</t>
  </si>
  <si>
    <t>82aa20a74dbe3e0e85c23ba8d645d3ce</t>
  </si>
  <si>
    <t>ed838a488fe3b6f38b987ee11c9f8823</t>
  </si>
  <si>
    <t>db2675993c7f3e9137332dbdf18550fc</t>
  </si>
  <si>
    <t>a81d0525b1bf67680570fa60790b8e07</t>
  </si>
  <si>
    <t>e6a01bad243e951417c655ab34e09f76</t>
  </si>
  <si>
    <t>dd9da8799c27e57fab37594ea082d65d</t>
  </si>
  <si>
    <t>e51c23226c8e20febd0c656a33711356</t>
  </si>
  <si>
    <t>1d6f9ad9c60c2f65d59a06c1f56e75bd</t>
  </si>
  <si>
    <t>50f2ec48eebb3b01b7bff8e53f0b535f</t>
  </si>
  <si>
    <t>ac06d41898d3582eb1bbf0d85c46c5f0</t>
  </si>
  <si>
    <t>89d3f7e40882c24e14163199d6c814e0</t>
  </si>
  <si>
    <t>d206169bc7dfece738f2fe2467c21cde</t>
  </si>
  <si>
    <t>c3a7eb7c994a6475994948502df99fe4</t>
  </si>
  <si>
    <t>0d8a89515fe89cd53cdedd3c039a15b0</t>
  </si>
  <si>
    <t>12b0e252b8ef43391ae0c4bb6753e102</t>
  </si>
  <si>
    <t>5d2f634bb9a59d39eab86442d2459d64</t>
  </si>
  <si>
    <t>6508deb7d1b89059767d5af370618046</t>
  </si>
  <si>
    <t>043485b042179e1b0547288346a47044</t>
  </si>
  <si>
    <t>7a6f5f6a69fe900cda205b8c2d811cd4</t>
  </si>
  <si>
    <t>5601077f1cc5aa2ec7bdad06aa84b45f</t>
  </si>
  <si>
    <t>56f72d92dc0fb1f1948a30240ac0b20f</t>
  </si>
  <si>
    <t>83687da9071cc6cd690314b2d5a0f24b</t>
  </si>
  <si>
    <t>8cf4ff2dc2db6902d222b0c7dcc98d04</t>
  </si>
  <si>
    <t>8282b546dda9ec05515966ba0fe3e5d1</t>
  </si>
  <si>
    <t>bf6d02a952759582c95741bbc2f95eff</t>
  </si>
  <si>
    <t>7370a4e2d543e24ccc7714f12f3d83a4</t>
  </si>
  <si>
    <t>a8d7ddfb1a52643b880728e1fb453493</t>
  </si>
  <si>
    <t>57c63d5cb72265135f694bb785d474c3</t>
  </si>
  <si>
    <t>7c294b263646ae5cff036e366de104cf</t>
  </si>
  <si>
    <t>021cd7a416138abe57030f17bb3b2686</t>
  </si>
  <si>
    <t>0a4096345f092c37b8a29da4d03133f4</t>
  </si>
  <si>
    <t>193996d8a345080ba5cebe43bea3bd15</t>
  </si>
  <si>
    <t>5994cf5ebd61f4806932d5f226cb64d0</t>
  </si>
  <si>
    <t>e73dbb390cb1dd2a3e9d71c3ac806044</t>
  </si>
  <si>
    <t>4908744a7082090a05221fc94adce9db</t>
  </si>
  <si>
    <t>1f18933ca1e531c1eac9cccc4952a03b</t>
  </si>
  <si>
    <t>2f67c31ef2232270b2cbcc57d98b23e2</t>
  </si>
  <si>
    <t>222aaac522b686a196dc52372498ac8f</t>
  </si>
  <si>
    <t>bd3f1eb5c94a9ef8a93e0205ade42ff2</t>
  </si>
  <si>
    <t>6e1bdc97ffcbc6a73415bd776a130272</t>
  </si>
  <si>
    <t>480262a8c8a59b699e77de6ad8bb0001</t>
  </si>
  <si>
    <t>9fd3ac60c2e7a7b4b5984fb48bda8492</t>
  </si>
  <si>
    <t>db077222fb86870f6fa0583f80e2c6c0</t>
  </si>
  <si>
    <t>bfaac30872cb86835b1fd11b4e4129d8</t>
  </si>
  <si>
    <t>4b330002dec7431d835ebc2491091e68</t>
  </si>
  <si>
    <t>f0e52158d74ae8b44e0b9373034d6503</t>
  </si>
  <si>
    <t>25315d7e8e32b1441d08e0663d3e3187</t>
  </si>
  <si>
    <t>193864498a92b6aede7589f5d4826e12</t>
  </si>
  <si>
    <t>26cb01884a647829fce6479fbb176337</t>
  </si>
  <si>
    <t>8b2c5535d232cb9ff45a6944915000b1</t>
  </si>
  <si>
    <t>e800acf8774c816fa0156944bb45bf74</t>
  </si>
  <si>
    <t>9c28e4e91a8070d2228da176c2bf07fa</t>
  </si>
  <si>
    <t>a7b344c58979fefcf891b91a8e5abb22</t>
  </si>
  <si>
    <t>31577311e2012c8a369e46365f56891a</t>
  </si>
  <si>
    <t>4f0f33bd9633ddeca0990e10cf6bf79f</t>
  </si>
  <si>
    <t>3ac7bddf3581dec000154bc98e800cc5</t>
  </si>
  <si>
    <t>e355819c0931a90b594aeb8d6a73587f</t>
  </si>
  <si>
    <t>881033020c988cb96041b1c5f6361bdf</t>
  </si>
  <si>
    <t>a9136794e5b084c915b1470232654802</t>
  </si>
  <si>
    <t>97975a2bc49e8c5e9a69022c9bf9a046</t>
  </si>
  <si>
    <t>41768754d777815578bfe2fa95da614d</t>
  </si>
  <si>
    <t>1e344f02ca8df0c4cc9313a9964755e0</t>
  </si>
  <si>
    <t>1ee8e9027201b4aead6b5c6fa7846eee</t>
  </si>
  <si>
    <t>ce2d2842071611e967a135538bb0b3af</t>
  </si>
  <si>
    <t>995e869dac6a1eb7a46c430768a04db3</t>
  </si>
  <si>
    <t>cd4aa78eef2c2a097afdf7efae7bc1d9</t>
  </si>
  <si>
    <t>5612d8e312285c1879e33a26b40dd227</t>
  </si>
  <si>
    <t>10381a708c9f1f122da0db7005c0f452</t>
  </si>
  <si>
    <t>804589c2558377b846122344fdc54a72</t>
  </si>
  <si>
    <t>dc2975799aeb838479c3cea296015bce</t>
  </si>
  <si>
    <t>3f829e4bbf06ef5c7e66fb23666e44a5</t>
  </si>
  <si>
    <t>fbb3f91b7a5c26ffd7da7c16ed71b2d9</t>
  </si>
  <si>
    <t>44a1266e4d281aaef1704b6e60524cce</t>
  </si>
  <si>
    <t>53f51ff216e36eb3f93d24c4d0cc2793</t>
  </si>
  <si>
    <t>e6b61cb3f6d8c2bec3f885f43ffcc11e</t>
  </si>
  <si>
    <t>6ddbaad1111bb58e0d0fa94febfdad7c</t>
  </si>
  <si>
    <t>30c86954adc2eec0f2589a8bfc4c573f</t>
  </si>
  <si>
    <t>5282dceffe1d3da5d599abe98cf874de</t>
  </si>
  <si>
    <t>ec04b828851594e2a860ce40bc363855</t>
  </si>
  <si>
    <t>6a0d1066c2ae0280c18ff4bad692156f</t>
  </si>
  <si>
    <t>df752bc7e93276aa07a87579c2a8e830</t>
  </si>
  <si>
    <t>50265c271897a3399857d05aee3df4f5</t>
  </si>
  <si>
    <t>882a81b2869854538c5e3c5d3188a0ba</t>
  </si>
  <si>
    <t>0524bbc7d57d3edbd146cb19bbd4d1f2</t>
  </si>
  <si>
    <t>7a32efde7440d5abc3a490ba8fdc2ef7</t>
  </si>
  <si>
    <t>c0e3f3bd815a862433bc3399c487926b</t>
  </si>
  <si>
    <t>8f14179f61cad1a80133387187c01092</t>
  </si>
  <si>
    <t>13e4cde78ea68b1ca7e7c195ec5ba25e</t>
  </si>
  <si>
    <t>d7c93750864d8558583e2fc46620a0d2</t>
  </si>
  <si>
    <t>d3edfaac7b134307771e928cc3293131</t>
  </si>
  <si>
    <t>e8791c81f0dbb5e99c8abe851ec1900b</t>
  </si>
  <si>
    <t>f7fd54d7aabf8780fefbfb950d3488e8</t>
  </si>
  <si>
    <t>852be1ce1d25bb877395346423eb292b</t>
  </si>
  <si>
    <t>85ac30828335a92fe694ad583030ea95</t>
  </si>
  <si>
    <t>cba85cf9d0ca4714faa84f7edc9d533d</t>
  </si>
  <si>
    <t>fa959d174416af158000f1338cd77a20</t>
  </si>
  <si>
    <t>82fe1347d0cd0194a7bc3c4c48a8d7fa</t>
  </si>
  <si>
    <t>0c1ac221790f9286108317563d5a6c1a</t>
  </si>
  <si>
    <t>313ebfcef6e63e6f93d18c2d945db7c3</t>
  </si>
  <si>
    <t>57c29a4600a00164ce8b7f527b6bccc5</t>
  </si>
  <si>
    <t>011b01ca56ee758927a66be61a5bcc85</t>
  </si>
  <si>
    <t>ed45aea8d9710aade017fc1aea4054cf</t>
  </si>
  <si>
    <t>f2f45a479e61d0cc5e369fee64fb7f72</t>
  </si>
  <si>
    <t>7f8b4252d922cf4bbb8100ff6cc4bf7d</t>
  </si>
  <si>
    <t>9fb165a9b7dfef2a9f8ac7d69b22a42c</t>
  </si>
  <si>
    <t>ac7971b81b76ddd7341f4e89e1eb911e</t>
  </si>
  <si>
    <t>9c1905521e41acf1fcb24a248447ed22</t>
  </si>
  <si>
    <t>bf2bd587a017971b4b2edb9c649a726c</t>
  </si>
  <si>
    <t>e500b7708a865ec27eef36c33953b06e</t>
  </si>
  <si>
    <t>0d5837d82188e547040314b5db344a0c</t>
  </si>
  <si>
    <t>ebf283eef673870e3325594ffcc9049e</t>
  </si>
  <si>
    <t>d023b1ef80754864db9e412e1fd955ac</t>
  </si>
  <si>
    <t>714bb9ae1e0f98eab9dff4c8edaeb6f8</t>
  </si>
  <si>
    <t>1109171419a1b66ae0d9168429adfb61</t>
  </si>
  <si>
    <t>7493c1741d0bb92fd7dc521a51042b84</t>
  </si>
  <si>
    <t>ccdb762781d918b6f9a22d7e9c43d652</t>
  </si>
  <si>
    <t>171061605226364f27c0a15445307397</t>
  </si>
  <si>
    <t>c8899121cddf50938e8780e98f23bd1e</t>
  </si>
  <si>
    <t>cc5fa5d3ae683cca46d75d9066d3d0d9</t>
  </si>
  <si>
    <t>a34f04db062ee3c34f5281de339f3331</t>
  </si>
  <si>
    <t>0fc857ff172e6a0363604e8bdcf86ee4</t>
  </si>
  <si>
    <t>3dc55387cb95423475a19dea9e939b87</t>
  </si>
  <si>
    <t>2cfdb14e053ad700dcb0a4eabb9147d6</t>
  </si>
  <si>
    <t>6e8961d27943d81e27adf1ef127ae55c</t>
  </si>
  <si>
    <t>855574f497fe975ae99d6b7d5353c0e8</t>
  </si>
  <si>
    <t>f16805d9fc37f021a682d86ab3013bb7</t>
  </si>
  <si>
    <t>455d2494cf3dfebd4e54cd4b21bb2fa0</t>
  </si>
  <si>
    <t>df1d759af9661d783a0a36ef0ef288e9</t>
  </si>
  <si>
    <t>f6717917669866b9e4f6adcd511fa8f8</t>
  </si>
  <si>
    <t>ea83bad32870765c79d8745c5ae7e0c2</t>
  </si>
  <si>
    <t>775ced8a4d77641ed809d8a33917e6f0</t>
  </si>
  <si>
    <t>ebca0bfa3eb9d53305b7fef58d1a0c43</t>
  </si>
  <si>
    <t>0be0c89fca9642f6941b42a9d1922e19</t>
  </si>
  <si>
    <t>5796f99c5d3c7bac8c90cc042869a7ea</t>
  </si>
  <si>
    <t>04766957db82a24eaa3006fb015798ba</t>
  </si>
  <si>
    <t>56f828cd13fd369ee16c728e6c50fb57</t>
  </si>
  <si>
    <t>3f49a3095c3ce881fcf1910d6addc1aa</t>
  </si>
  <si>
    <t>ec42be71515ac87ff31ac02ad01eeefc</t>
  </si>
  <si>
    <t>ff580492eeafdce9321d4f73543b61e1</t>
  </si>
  <si>
    <t>ce6b01e4cd4166124283f11b1a09fe8a</t>
  </si>
  <si>
    <t>bc4520f1362bae7856bc2deb9f1c3270</t>
  </si>
  <si>
    <t>22852db60a3406b42630a69fbc08e4a2</t>
  </si>
  <si>
    <t>c4baf6469a476f27028b343c4aaa0883</t>
  </si>
  <si>
    <t>d537b88df8fe11bf4cba3d5ed1d86360</t>
  </si>
  <si>
    <t>37d7465c1cf6b226541c17d5b92034c1</t>
  </si>
  <si>
    <t>38b651967fc03601ac051178920acd30</t>
  </si>
  <si>
    <t>9b8335558c2c16a1e8e02da51b00537b</t>
  </si>
  <si>
    <t>ae4ecff0e6b752b3f2925ab248cdaef8</t>
  </si>
  <si>
    <t>1061f161cfeee8ce414f1a68f42b1c89</t>
  </si>
  <si>
    <t>0668a01b2098b4335c37c1a1ac0dd71a</t>
  </si>
  <si>
    <t>40ee0aa7de905226c097acc8c6b76d7f</t>
  </si>
  <si>
    <t>081b0e629b3899db213a23bc4e58a17d</t>
  </si>
  <si>
    <t>ed21b54c417d6d8638aef8efc652fe37</t>
  </si>
  <si>
    <t>dda33670117c841dd91bba9fb7165a03</t>
  </si>
  <si>
    <t>f9d56e4df9f4a94e2a2ef288d126f9da</t>
  </si>
  <si>
    <t>6ce8e09d88ff747283ee161a90cb1cd4</t>
  </si>
  <si>
    <t>bbaaae0146898b243174304a3928ee93</t>
  </si>
  <si>
    <t>a07574c09d0fbeffb49bdc14fed25be3</t>
  </si>
  <si>
    <t>da5ac2a4989f1ac70e4dec5ae331f9ca</t>
  </si>
  <si>
    <t>f07e9dc469e23c36b43f29299c84a3a9</t>
  </si>
  <si>
    <t>8f72f7d9931feb4ecedbb2c0722575eb</t>
  </si>
  <si>
    <t>833dc3b765e96b8141cad34f51dfef35</t>
  </si>
  <si>
    <t>7cfe973cfd3353ecacc3ec1e53a1c5ea</t>
  </si>
  <si>
    <t>9a81e45c27473af4628ddce5c7e1d576</t>
  </si>
  <si>
    <t>afacea90291a3389e605de5de080ed12</t>
  </si>
  <si>
    <t>a7e8c3f6e5ea8d4fd52278b05d7747b3</t>
  </si>
  <si>
    <t>abaae1c5a4f3eb2248bfc782c08ac6b0</t>
  </si>
  <si>
    <t>e8461ef52596925c898d68d1c7217c4c</t>
  </si>
  <si>
    <t>935e35865cbae77d52ea3dfd33edb576</t>
  </si>
  <si>
    <t>df97b6dc27449b13dd32c11daa478177</t>
  </si>
  <si>
    <t>a6a95a9dc083cc3218868b33c9b7084c</t>
  </si>
  <si>
    <t>bb0848134966fc5db45aa411b8933a5d</t>
  </si>
  <si>
    <t>8eecb5252905f8dcf307a09d6fb6745f</t>
  </si>
  <si>
    <t>d4366c47a957a1d968dc4fde9667a5be</t>
  </si>
  <si>
    <t>36a1c366bf2be376685c6ae023e666fd</t>
  </si>
  <si>
    <t>0d87a1c0ff1500e3c4febc7582848dc2</t>
  </si>
  <si>
    <t>67c68199f158340828fc50c3f66c99c5</t>
  </si>
  <si>
    <t>fabab19a45ecad140cca42ad9b34235c</t>
  </si>
  <si>
    <t>4fc9669f543abba50fd776facbcd7694</t>
  </si>
  <si>
    <t>95ee216e5a483732554f971b1708ad99</t>
  </si>
  <si>
    <t>60e7ded7364d816c851f08406d8fec74</t>
  </si>
  <si>
    <t>7bfe168f64fb31f08811347a43204d8e</t>
  </si>
  <si>
    <t>e948e43ad493d13687c77b8d5d056647</t>
  </si>
  <si>
    <t>4c26b0f501f781b43f0f9241d77b513d</t>
  </si>
  <si>
    <t>a23d5628a8085f89e0ac73cc6a4e44cd</t>
  </si>
  <si>
    <t>f3891b7bf6e1b37b8e1ba5deca9e88d4</t>
  </si>
  <si>
    <t>553986b255bf8bb6b0bdc1e400dbf7e4</t>
  </si>
  <si>
    <t>d55e7f514f0a6a39a5246624e0b71c33</t>
  </si>
  <si>
    <t>d7cfb31208898765facda162b01bda92</t>
  </si>
  <si>
    <t>4955943bc34e8cdf7ede68f294ff2cdf</t>
  </si>
  <si>
    <t>ba7a964e1319d5b1b3b1e9fae75e86db</t>
  </si>
  <si>
    <t>189d6ffac257d9eb4c265eff027c6569</t>
  </si>
  <si>
    <t>fe549d052df979630a6e7a56ec569a58</t>
  </si>
  <si>
    <t>4b2134c632519e481f1f2eb249d706ce</t>
  </si>
  <si>
    <t>61eaaf283fe86b62752354c8e003e6f1</t>
  </si>
  <si>
    <t>ce1225eec668c580d0712889541626fc</t>
  </si>
  <si>
    <t>4ca0d95c86f2ee0ebd3a49b6f448efc8</t>
  </si>
  <si>
    <t>ba45dc26ae53e46ad94b491dc175ff05</t>
  </si>
  <si>
    <t>f021a5566d8509939615e02a20f267e3</t>
  </si>
  <si>
    <t>1d50d2c72d133bf09d09cc73bbe2f5fd</t>
  </si>
  <si>
    <t>f1ada790ce8f26ed12d4f2070b44bc81</t>
  </si>
  <si>
    <t>a9588e180ff6d0bf6396566a35e9f36f</t>
  </si>
  <si>
    <t>5d599fc8f46d75efc30d93e0c500bf6f</t>
  </si>
  <si>
    <t>e6b3a795f213be19f3250b447dc1de3b</t>
  </si>
  <si>
    <t>e9433fc14b27c2c907dad393b9c2626d</t>
  </si>
  <si>
    <t>7ac59af27455c172d45cc7cb41cad2e9</t>
  </si>
  <si>
    <t>e17710ba7a0f5dc2fac4374b629dce33</t>
  </si>
  <si>
    <t>8dc6d6ed130ea73142c6de011fc26dbb</t>
  </si>
  <si>
    <t>3a3b87feb5d6e91e5716cb32551d90d6</t>
  </si>
  <si>
    <t>6d3026b7dff03974a1e250d610ab8b36</t>
  </si>
  <si>
    <t>7736debbc2c6bca58345c22dd791969b</t>
  </si>
  <si>
    <t>ec571ab7b4d7949853f9bf65e19442d5</t>
  </si>
  <si>
    <t>3277651248e7ccf4b6e6a8b1763508fe</t>
  </si>
  <si>
    <t>7d44eb268a656ba8bf731a62eb9156af</t>
  </si>
  <si>
    <t>67aa773382d70db394d69c0d6941b885</t>
  </si>
  <si>
    <t>4e33f301b88ec7f40f82be48344f7a4e</t>
  </si>
  <si>
    <t>bb75f42fe20b58737e3e9b4771bf1048</t>
  </si>
  <si>
    <t>1c4e4914cf140a06afac88eadea9d765</t>
  </si>
  <si>
    <t>65f5a24d2b690cf3819e992cc20173e6</t>
  </si>
  <si>
    <t>157e2c09fd6a096b061c2baf0b1d8899</t>
  </si>
  <si>
    <t>22ab6168adc1c019f687009e997b43a0</t>
  </si>
  <si>
    <t>f1b967e673681c3b9cdbc9c568949344</t>
  </si>
  <si>
    <t>54979d3e8c77b0def3a6a93bb970557f</t>
  </si>
  <si>
    <t>49d88d063afbe92c7f028d0c1f7e08eb</t>
  </si>
  <si>
    <t>891b03aa737ba5655affab01b01435c2</t>
  </si>
  <si>
    <t>776174b25a2867e6384f5cb3e00fd8c9</t>
  </si>
  <si>
    <t>8f8fb4fcea2366d031e78cb09fdf9814</t>
  </si>
  <si>
    <t>fc83c311415c9f67b6c7c87cf488b9c2</t>
  </si>
  <si>
    <t>1b291d5ca549452863d9ae59be207248</t>
  </si>
  <si>
    <t>393e4529c6e160b9ddc1aab3845fc35f</t>
  </si>
  <si>
    <t>ee6a59b36c59499b1bf9ee56b6e73ca1</t>
  </si>
  <si>
    <t>1dd78238c3cddc9bd2da470907bba815</t>
  </si>
  <si>
    <t>3a3fbf606d98da42ecaf1ed523ee083c</t>
  </si>
  <si>
    <t>3251617f7f52477cfa4689dae4c10322</t>
  </si>
  <si>
    <t>f8efc7c14e9be56f00e682929c90beea</t>
  </si>
  <si>
    <t>4f0130868fe171b5c2bf66d416a06ce2</t>
  </si>
  <si>
    <t>c7c9a9e56779cc8e8a35f5507c5bd939</t>
  </si>
  <si>
    <t>ba288e94194f1abd5c2cb5f9313905a5</t>
  </si>
  <si>
    <t>eddb68be86556f76236ecf815d32facb</t>
  </si>
  <si>
    <t>53f5040ad7f51d37a525e86c91241235</t>
  </si>
  <si>
    <t>ab74cae52afa59f5ab50f79a6599f236</t>
  </si>
  <si>
    <t>a1dbc648d3cde67e146a2f810ded7bbd</t>
  </si>
  <si>
    <t>52aee8d35ddb5c2c25334eef19d0b3fa</t>
  </si>
  <si>
    <t>bc15433f32b2e408dcf5f338935402af</t>
  </si>
  <si>
    <t>e1415faa4cca7f05db92f1d66ce238e6</t>
  </si>
  <si>
    <t>f5ebd52a0dc78551b072aa2eb23438b8</t>
  </si>
  <si>
    <t>60793eb1cf4738fc67df0a93d57ada14</t>
  </si>
  <si>
    <t>21aa3161ecfcb855e82c0ef1ebdf410d</t>
  </si>
  <si>
    <t>1d6f5d0e873ff67e5934494d9f99946e</t>
  </si>
  <si>
    <t>45357744aeca58e25b55d49ff3e28706</t>
  </si>
  <si>
    <t>1067186e81115b17ee94a90f1a4c124c</t>
  </si>
  <si>
    <t>80fb8b5d8e12b6d0cf36310afeb3ebc5</t>
  </si>
  <si>
    <t>08940bbad6e96fc4e620f2d9a00b1db4</t>
  </si>
  <si>
    <t>9fcec5bdc065a562866029dd39b5b2ad</t>
  </si>
  <si>
    <t>f7e38046dc880ae3144b422c84cb83e5</t>
  </si>
  <si>
    <t>6fc06a95ee1be694d56a0172bc2306b9</t>
  </si>
  <si>
    <t>3651084f2100c6e369b1d2d396df4291</t>
  </si>
  <si>
    <t>585f71bfcabaf958eea2dff2971b53f3</t>
  </si>
  <si>
    <t>74a7ac36372d9ef2c7b7ff0cc02001d2</t>
  </si>
  <si>
    <t>f07ca4fff2262325714456751a804932</t>
  </si>
  <si>
    <t>c336fcef7e3edebda3f4df29549bf5fb</t>
  </si>
  <si>
    <t>ce3c9c905135bab43c25500d3435a7a7</t>
  </si>
  <si>
    <t>b63f5641d0f58da69385e9bbbb990b1f</t>
  </si>
  <si>
    <t>2ef04073c2fe0526f1e12b9207d01a7f</t>
  </si>
  <si>
    <t>987d2f8de201e03eaf666747dafbc659</t>
  </si>
  <si>
    <t>dcae238b96cc21b0fd4a1d37ec177a4c</t>
  </si>
  <si>
    <t>eabe8e1fe6add3ddf6d65b6df954b376</t>
  </si>
  <si>
    <t>5dd53e1664525233d42f0464ecfb47f1</t>
  </si>
  <si>
    <t>fc23b5db09f447a88f995540924726bc</t>
  </si>
  <si>
    <t>41968108405ae4c20a77ce8f901d0c49</t>
  </si>
  <si>
    <t>9cb88dd759fcae2f3cb5907b9280bcaa</t>
  </si>
  <si>
    <t>b2d01c8af1be7532eda6194bdae2baef</t>
  </si>
  <si>
    <t>b26dda5248b725e9bd9c9bcec3d628b4</t>
  </si>
  <si>
    <t>d43601e8a1b7a88689e57107367b0d58</t>
  </si>
  <si>
    <t>f282242afef97d009d90f7c360fb1882</t>
  </si>
  <si>
    <t>6b34a8bba1dd1aaa9ac3fc1235f21f39</t>
  </si>
  <si>
    <t>bdc31e3996f71d8f34782dda5ea48511</t>
  </si>
  <si>
    <t>222ac746d4f76b4741704d9c615dd2b6</t>
  </si>
  <si>
    <t>dde4d6793dce955cb401d62f241e51df</t>
  </si>
  <si>
    <t>80d35379df4ce2f5297acefc78f60907</t>
  </si>
  <si>
    <t>920530cb8744c679e3a2ece84f1d5ce4</t>
  </si>
  <si>
    <t>71d2f46bae7fdd24ba0873898cc77fb6</t>
  </si>
  <si>
    <t>e51aa8e9806a70a036a77fec150d1407</t>
  </si>
  <si>
    <t>d9ba6267a2fccae086868d47552dcf40</t>
  </si>
  <si>
    <t>be1fe5a4cbad9fd763db5aaedf0ec611</t>
  </si>
  <si>
    <t>34760ceac693e42fec03f15aa139b9e6</t>
  </si>
  <si>
    <t>6e217b33f06c363aaca7dfd937b8fb89</t>
  </si>
  <si>
    <t>06277c373fd4be8ecb96de3776dd0963</t>
  </si>
  <si>
    <t>2be96323449fc62048a56a72fb6b8628</t>
  </si>
  <si>
    <t>38281a755d3843e2bd060945522326e4</t>
  </si>
  <si>
    <t>0e6c5db26dfd65228e29da9ed5cf51de</t>
  </si>
  <si>
    <t>ace87287116385dee78842512e867ff8</t>
  </si>
  <si>
    <t>5625c3aac56c198ad77688028e08a4c3</t>
  </si>
  <si>
    <t>a79f5158d38f5d570c22deb545a8fabd</t>
  </si>
  <si>
    <t>ea9172dfb7786020e75b271b602547b0</t>
  </si>
  <si>
    <t>feeff952d528623ec3d2e83387c051d8</t>
  </si>
  <si>
    <t>2608929989cddf6b12d764ce7c280437</t>
  </si>
  <si>
    <t>4480a9b9f076fedfce83aaebc13c5368</t>
  </si>
  <si>
    <t>e86b0b777206ca8a678f97428603deac</t>
  </si>
  <si>
    <t>bca7ef2efe3dffdb134f0bdff92a2ebc</t>
  </si>
  <si>
    <t>0a16b09784bae8287858faf95511a66e</t>
  </si>
  <si>
    <t>ec4f1bd61012641a6eb0aa63cd06cf39</t>
  </si>
  <si>
    <t>32899caf42c72b8288fbdbb5434a494c</t>
  </si>
  <si>
    <t>cf6c52221905bfcf348a5744df9ed076</t>
  </si>
  <si>
    <t>23a28e6d57e4c5d8eb0bff70ae01ed09</t>
  </si>
  <si>
    <t>d752136587ea829e1f5c07ceb23dc72c</t>
  </si>
  <si>
    <t>f1704ebe1eb5bfc1c24b0acb73d157a9</t>
  </si>
  <si>
    <t>0425c3c6371c66abe15d94092e638606</t>
  </si>
  <si>
    <t>913f7da49fa19c66a96f14d2c9c60185</t>
  </si>
  <si>
    <t>0cd5d9d528e8f06f787079c89480f5dc</t>
  </si>
  <si>
    <t>5c335556246f05fe8350184f12f178d6</t>
  </si>
  <si>
    <t>06e3ac5cb151f7b703651265a753506c</t>
  </si>
  <si>
    <t>0fa7a6046f45fddf0a651a7f58447680</t>
  </si>
  <si>
    <t>5870b76c7b4ff735e08214a63fdbbecf</t>
  </si>
  <si>
    <t>3e97f8a21231307807472705ecdf4a97</t>
  </si>
  <si>
    <t>ae0752582ef51ba1b182f3d7f7cd9751</t>
  </si>
  <si>
    <t>e4edfb4697cc2be24e31c23ff181d185</t>
  </si>
  <si>
    <t>0be68b6b40bb4c612b9b01aa78bde00f</t>
  </si>
  <si>
    <t>a7ad710353b08b3d1e7ee6daca9679cc</t>
  </si>
  <si>
    <t>aa37b70bbe5a37d659bf67dee2ca9492</t>
  </si>
  <si>
    <t>99789bac26e72647e95cd4073dc9b2f1</t>
  </si>
  <si>
    <t>73751fa59c3cfa96c7d3330adb106066</t>
  </si>
  <si>
    <t>363316592c0f32afc1b32dac6f80140c</t>
  </si>
  <si>
    <t>a868dea95a3f4888248ecf2ea5233c3b</t>
  </si>
  <si>
    <t>8f8018cdeaedacc1ad434e9dfa8d6e69</t>
  </si>
  <si>
    <t>b5403b2d202b8fe1db69b68b2c0c5e2b</t>
  </si>
  <si>
    <t>5ea25b4505991a8c3a9d598d09ae39ca</t>
  </si>
  <si>
    <t>d77990419e2fbb54cb4aad96f09dcf76</t>
  </si>
  <si>
    <t>6cb8e5da693e35b24f941ab0e2777550</t>
  </si>
  <si>
    <t>27f6f78fe227d299b12bd3031861913e</t>
  </si>
  <si>
    <t>cb5baa5a1c966f95c78dd39327f7dbd3</t>
  </si>
  <si>
    <t>41425a28f118604b01522f7af1176aa3</t>
  </si>
  <si>
    <t>97463af2e9ad2d9b6b5b377eaf03f049</t>
  </si>
  <si>
    <t>a874cfb0e01e3bfd6da13bb3d513c3f7</t>
  </si>
  <si>
    <t>c3449c7cc8d96b2e1d6dcdd915e7235c</t>
  </si>
  <si>
    <t>f7633dd32138e8ff73ba5b69c7e0c88d</t>
  </si>
  <si>
    <t>687e0d2bafc7e6ec43af9c3f65b45508</t>
  </si>
  <si>
    <t>443615ca6b28402752eb646cc6f51ae7</t>
  </si>
  <si>
    <t>a1d742d648b1409658be0c7b97e9e743</t>
  </si>
  <si>
    <t>b2d69a58fe781b4a116be5368be17353</t>
  </si>
  <si>
    <t>7cbe626aa0d04f3dd324eee36d82d4d0</t>
  </si>
  <si>
    <t>62dc8116091a39428cf634860718926c</t>
  </si>
  <si>
    <t>1f1933824a8410104b4d51949b95900c</t>
  </si>
  <si>
    <t>ae482b6bae6b28e5f1631932d6e5c382</t>
  </si>
  <si>
    <t>ff7c6b322d982194ef32e74820a3fff4</t>
  </si>
  <si>
    <t>dba1f3f1753db3b8a2921d97d6f4b86b</t>
  </si>
  <si>
    <t>e1dede7fac8adb44db8302cef3c60e0d</t>
  </si>
  <si>
    <t>c0df98ebd81058683de4b89e9bda1fc5</t>
  </si>
  <si>
    <t>937ae010840679f1d5b1d822452389bd</t>
  </si>
  <si>
    <t>53dcc522f73ee77763e326f63fd70c17</t>
  </si>
  <si>
    <t>fc3b60165411bb4ca7b0f03fecc0cdb5</t>
  </si>
  <si>
    <t>ea1350ae23fe71f26de3107232ae30bc</t>
  </si>
  <si>
    <t>479605b650be05c9bd2f3b772260444a</t>
  </si>
  <si>
    <t>1a0cbaee0f6041af3922a0f4dac1a547</t>
  </si>
  <si>
    <t>e84cb7cbad2a4a01372580399d53816e</t>
  </si>
  <si>
    <t>9e106e26d5ec709ce1b63d12c5447791</t>
  </si>
  <si>
    <t>2c2cd764c0de1f1f43e55d4e857174ca</t>
  </si>
  <si>
    <t>d3cae83331341cbc7d6ac9b689352327</t>
  </si>
  <si>
    <t>69b72154d751af98a431f0318322cfd9</t>
  </si>
  <si>
    <t>e9c550b97a038b9dbe82e0c87ac80988</t>
  </si>
  <si>
    <t>b88f43b1f8531a436a15661bb9737c51</t>
  </si>
  <si>
    <t>916cb4b04f32e307ee2a5c32c8d4f7b7</t>
  </si>
  <si>
    <t>27ac0ca86e06d1822d546ed038ea33ae</t>
  </si>
  <si>
    <t>bdb7179e2db5dca88a7117c1d344a553</t>
  </si>
  <si>
    <t>32fed8b2d7ce5d690373e6cf309d5282</t>
  </si>
  <si>
    <t>4320755a49efb20bbca206e4fea57140</t>
  </si>
  <si>
    <t>bcad7af0b6045c9f0408da9661f9f722</t>
  </si>
  <si>
    <t>6d952823d12748bf7497ea6e64e03835</t>
  </si>
  <si>
    <t>127f36d53863c8ef53c6426e948bfdf6</t>
  </si>
  <si>
    <t>d2727ab83af8a2031e49ec3970037725</t>
  </si>
  <si>
    <t>68453fe4a8fe4478c75986c5da65af22</t>
  </si>
  <si>
    <t>dd0bc433d9a5a097cf08a42aeeb14df2</t>
  </si>
  <si>
    <t>09f36134733892ee0b4d16cf0fc98790</t>
  </si>
  <si>
    <t>6ae7824fc72133c295b43f04ea9dfa39</t>
  </si>
  <si>
    <t>383e1febfb5246868b834d73c3344c86</t>
  </si>
  <si>
    <t>bd0c97eb3281fdd87caa074c15715b51</t>
  </si>
  <si>
    <t>324ce9339186f4e11fb5ebd5d3ea5f05</t>
  </si>
  <si>
    <t>d9f53a87e571214d24718690a39f67e9</t>
  </si>
  <si>
    <t>36a2d857e8c4d30b525eadb5040940cb</t>
  </si>
  <si>
    <t>f7fa86b2e550b949f824993846c68dba</t>
  </si>
  <si>
    <t>1e5f03008ee35b23c08673dc64251233</t>
  </si>
  <si>
    <t>be26eb6d752fa4f0289a5761ca9342b4</t>
  </si>
  <si>
    <t>9efa87e164995a7743eca9ad63029fa4</t>
  </si>
  <si>
    <t>e5e702e1b7ae3ca23b9b4b2c43705334</t>
  </si>
  <si>
    <t>b2420b697849a300ece7982b58557094</t>
  </si>
  <si>
    <t>9b66d116fd05ff70ce34863f5ccadd6c</t>
  </si>
  <si>
    <t>3773f78718c5a0aec6305dc5f1b8b692</t>
  </si>
  <si>
    <t>741675b0c28336d0c5ffda45ed98cf99</t>
  </si>
  <si>
    <t>8135d1bf28501f18186f9152e28c1b3f</t>
  </si>
  <si>
    <t>5b893796c1ea6486bc0cc23a0a0fa11b</t>
  </si>
  <si>
    <t>a010998d9841ce5759a37db387d85268</t>
  </si>
  <si>
    <t>b496ec6fe0e41e4901e4a8345656a8c1</t>
  </si>
  <si>
    <t>3f6ebf8aef0f352720bc0cb534d878b6</t>
  </si>
  <si>
    <t>e9f25e08376c0ddf3794d0212623d221</t>
  </si>
  <si>
    <t>6a26800f2276dd0c5a7b6cf491647f96</t>
  </si>
  <si>
    <t>57d7aa461a3d06574ccd1df4a2de2301</t>
  </si>
  <si>
    <t>9f0f4ce8b671b61e661861ee16f16d93</t>
  </si>
  <si>
    <t>3995a6e6c2f6c6ad38c489e252d0aded</t>
  </si>
  <si>
    <t>2171a9b7a83660dc1f75c463d234dc66</t>
  </si>
  <si>
    <t>151707d721895d9379a3762726859df7</t>
  </si>
  <si>
    <t>c8fca71b1f233bf73f0342030d3a00ce</t>
  </si>
  <si>
    <t>402b557b7f364abc0ac961e1dda262cd</t>
  </si>
  <si>
    <t>fa71aa74e9991ac6b0425e28bc5e5484</t>
  </si>
  <si>
    <t>66f0eb34b1d43f33779493fc31c5d131</t>
  </si>
  <si>
    <t>4d7061dcae91d9c79ad39c8289bb4e3d</t>
  </si>
  <si>
    <t>3657c03dc0858448ac7cb3099d4c1d3b</t>
  </si>
  <si>
    <t>0ff7e34488b46dedf2d3a98a38b49c4e</t>
  </si>
  <si>
    <t>a82afc8ee542eaec69da51a6bbc973d4</t>
  </si>
  <si>
    <t>3218b56a27cc5d3acdac4a6b99195f75</t>
  </si>
  <si>
    <t>5bffb1cbed6ed79589cf475923419d26</t>
  </si>
  <si>
    <t>09c662a75858eed440c1317c3b300729</t>
  </si>
  <si>
    <t>426b48e83ef39ef21b5f77f933fb529e</t>
  </si>
  <si>
    <t>2b3ba77df5d7657e8c515a1c74155b99</t>
  </si>
  <si>
    <t>0291fd85422559cef53644838ad97856</t>
  </si>
  <si>
    <t>2ca08d883dbcb8270601ac798440314d</t>
  </si>
  <si>
    <t>b52b49613eb2eec3b171abfe8fcbbaf9</t>
  </si>
  <si>
    <t>69b86f4ce0394ef6d54f3033081bd3e1</t>
  </si>
  <si>
    <t>c590b8e5b4f1a5fe839466462e187182</t>
  </si>
  <si>
    <t>29579d096935b2f86a4d4f1be47cb69c</t>
  </si>
  <si>
    <t>45ed3af62da2fc26c069757e9e5b0d4d</t>
  </si>
  <si>
    <t>161a5db437806287845f5ae3bb3c7be5</t>
  </si>
  <si>
    <t>0c77326046986af80adff48592c93e37</t>
  </si>
  <si>
    <t>253d8f9b33687d611943f3d57e67f729</t>
  </si>
  <si>
    <t>93a7f79074954ae858b60ed5be482161</t>
  </si>
  <si>
    <t>9f205dad67b7407fec00834c17b2cf2e</t>
  </si>
  <si>
    <t>05f747f9753a0b4172a8faf1128a78e1</t>
  </si>
  <si>
    <t>de785fbd9c75be03fbd0dcc93a638fae</t>
  </si>
  <si>
    <t>dcb388ff8ffd71d034c5be968bb13ef9</t>
  </si>
  <si>
    <t>dd17ee9e2355df4f69fd072a5bd3334d</t>
  </si>
  <si>
    <t>64e05037a21f2e2a33adc1b393f67d10</t>
  </si>
  <si>
    <t>11538efd228b129c09721c6136584d63</t>
  </si>
  <si>
    <t>7de9a4ece8e24c7f614caa04ab1e5e1d</t>
  </si>
  <si>
    <t>539c294351032d5473dbcfcc619ff021</t>
  </si>
  <si>
    <t>1f548546519442c101bfe2785b7e357c</t>
  </si>
  <si>
    <t>f03c011dbcfc842f49e035316a45c6fc</t>
  </si>
  <si>
    <t>8d661ad44b835f29a6494c184c21a463</t>
  </si>
  <si>
    <t>da8b34330eccde3a97217aa87af21155</t>
  </si>
  <si>
    <t>2f3a47425de72201a7f3fea78852db6f</t>
  </si>
  <si>
    <t>e7a0681c0c6541d26d83817efea9f94c</t>
  </si>
  <si>
    <t>3a92b4654f299c75c507ce37ec1c0c4d</t>
  </si>
  <si>
    <t>0093fe2eedeb098315bf9251da1a5f03</t>
  </si>
  <si>
    <t>aa4945c49394155f65b3767a8473219a</t>
  </si>
  <si>
    <t>5e1982541fb01c50b6509e8ad3b5221c</t>
  </si>
  <si>
    <t>3776eddabd032b9e07745c212a4f485f</t>
  </si>
  <si>
    <t>bfecf8f10580b916be79cd1f98a95840</t>
  </si>
  <si>
    <t>7b5ad0c52e58076e34f393efe9019ed2</t>
  </si>
  <si>
    <t>e824ff2df2d1765f6d491d00ec4d6b01</t>
  </si>
  <si>
    <t>8d47aebdb84e4e7eaf27978a8fd00fe8</t>
  </si>
  <si>
    <t>fdd99e1f893ae93a6d49ec42d770f73b</t>
  </si>
  <si>
    <t>dc0e16a46c7bb604bc7fd87037f32787</t>
  </si>
  <si>
    <t>b3a39b89a52050b28386e5ef833878a1</t>
  </si>
  <si>
    <t>db793b3a1b4c40e4977207d285a5ea8a</t>
  </si>
  <si>
    <t>73907fed82d21d4b3700c31aefb6b3c0</t>
  </si>
  <si>
    <t>27fb595d8f04cae613c7bd573b930a64</t>
  </si>
  <si>
    <t>0f0e3fa24833955ae7be0fc6ff2540f8</t>
  </si>
  <si>
    <t>8dce49d78f9df11d09e8a93115863b3a</t>
  </si>
  <si>
    <t>724e901b27069d807cbb81cbf93ba374</t>
  </si>
  <si>
    <t>6a6b9ab46b610b6bf661a9c766f195eb</t>
  </si>
  <si>
    <t>95133894ec11a574d25413576636e5dc</t>
  </si>
  <si>
    <t>fe6e3e773c80c686e9a3bb0eafb2f13f</t>
  </si>
  <si>
    <t>3a3c7831e6971e28d730f410b461e8f2</t>
  </si>
  <si>
    <t>fd72ecaa23aa0a514a53c6a16eabb9c6</t>
  </si>
  <si>
    <t>15c437027c133cb72c4d75923fdced07</t>
  </si>
  <si>
    <t>de356af39a1d1dc704a0978744396217</t>
  </si>
  <si>
    <t>e3d014616e4c0c25acd6952731940be7</t>
  </si>
  <si>
    <t>621461af90cadfdaf0e8d4cc25129f91</t>
  </si>
  <si>
    <t>ff2eddb9f95fc26f5a3d08f1a77e6f82</t>
  </si>
  <si>
    <t>571c1d710d8043bd13f130fbfe335ba2</t>
  </si>
  <si>
    <t>fbd60b136e90edeee0ed662a53a7a41c</t>
  </si>
  <si>
    <t>2f6abd819fde7defc29b69f7fb2d9fb6</t>
  </si>
  <si>
    <t>19cfec4e0d8b27a83c4f50ff8305455c</t>
  </si>
  <si>
    <t>fd6052d4a1153f0cfb12aa6ff1a39a97</t>
  </si>
  <si>
    <t>92ebe03166d8ff4b2bbd06077f92fb79</t>
  </si>
  <si>
    <t>811930840553fd53ac0a0b37d2ccf62a</t>
  </si>
  <si>
    <t>5f010fad6c00df05938cc531126614c7</t>
  </si>
  <si>
    <t>941cd9fc8182892c91ed6ea4c33909d0</t>
  </si>
  <si>
    <t>d56c0ae91aedcc9cfeef770826b73ec8</t>
  </si>
  <si>
    <t>9a0ee07cccaf34531e452c4775245b1f</t>
  </si>
  <si>
    <t>715e98cd2f75903bddcc8c953a5617f8</t>
  </si>
  <si>
    <t>8dcb4a581ceca6be2399a15de4d39048</t>
  </si>
  <si>
    <t>1a9208152ed08d8268713b13ae9fd192</t>
  </si>
  <si>
    <t>dc6e893527686cc9411aa13791a0c247</t>
  </si>
  <si>
    <t>0135597642178aed62486ddc02136617</t>
  </si>
  <si>
    <t>01b3296a89ddb57db8da17f47e7296b3</t>
  </si>
  <si>
    <t>3d95a7881b75010c3934a504104818ba</t>
  </si>
  <si>
    <t>74273b6fe30e1cc484ef94ebd2baf199</t>
  </si>
  <si>
    <t>c69657b504b93b9e403e6b3f34aaa3e7</t>
  </si>
  <si>
    <t>7a978e6c2cb707c0142a2a414bbfc4a8</t>
  </si>
  <si>
    <t>b5e10fae51d0cbda8537039a6a484fc6</t>
  </si>
  <si>
    <t>3f5db4343ed074bc23e99ce22a8669aa</t>
  </si>
  <si>
    <t>e8cd949eeafddaf6d410d6fb52ddd14e</t>
  </si>
  <si>
    <t>f46ba1f102a886ac432e7722d33cd1a4</t>
  </si>
  <si>
    <t>4e997cbe9d93884f8ce686aa0094bf58</t>
  </si>
  <si>
    <t>4a59a8ea539613e156495fe26f8e64cd</t>
  </si>
  <si>
    <t>434c2eb8627ed4e1a0a4f0ee5d6022aa</t>
  </si>
  <si>
    <t>23de35e670b2ced8c8a7ed4b915df4b7</t>
  </si>
  <si>
    <t>108a6d458df981c66254e6b4a960f96e</t>
  </si>
  <si>
    <t>6a2240eb9b32ca09d8400877500ad08e</t>
  </si>
  <si>
    <t>bca0870cfef8e4e835b6ac8cb8b5b9bb</t>
  </si>
  <si>
    <t>fddb49982f360e8a94aa8642ed545a16</t>
  </si>
  <si>
    <t>928aba88f19ec12d7ef6b85c7082e7d1</t>
  </si>
  <si>
    <t>44895ba66f4c02432a9ea77523364819</t>
  </si>
  <si>
    <t>36d950d2edf29ad0067ab7ef5a06daa4</t>
  </si>
  <si>
    <t>83bc0f331844906bb0365db10e40f714</t>
  </si>
  <si>
    <t>32a5355165b939259198a1c4b53d57a0</t>
  </si>
  <si>
    <t>dd9a886385800d4bc50d7614d8f30b4e</t>
  </si>
  <si>
    <t>429be53185d62d6d41561471fdd129a1</t>
  </si>
  <si>
    <t>60ff8e3e762262c7e36740e111c0aa61</t>
  </si>
  <si>
    <t>f52b5a5a83b60359562d12342f8e5950</t>
  </si>
  <si>
    <t>273ea7552f2fedc728d1462e7791434b</t>
  </si>
  <si>
    <t>6db466c8fa677c516515ad0a2645a23f</t>
  </si>
  <si>
    <t>c63ba052767e8a11779df4a71caf0b4d</t>
  </si>
  <si>
    <t>f1ac5ca9008183011d8a8e770bcbbdbb</t>
  </si>
  <si>
    <t>34fc31720ce1b1ab18191a852120231f</t>
  </si>
  <si>
    <t>fb3fda882b7b7a67a2aeea29a065b9ac</t>
  </si>
  <si>
    <t>56584156dc7e8fdc3f17eccea82095fa</t>
  </si>
  <si>
    <t>5a5a76e2f8b0aa27f2c2dec653ab35e7</t>
  </si>
  <si>
    <t>cb2363691a8351ee799c9108229c75b4</t>
  </si>
  <si>
    <t>8be9c8f2977bbe85dec249c9c11d8e35</t>
  </si>
  <si>
    <t>014e4cc0f935b06c12c94cbaeabbaae0</t>
  </si>
  <si>
    <t>35a721419aeeb9779f69359d946fcb41</t>
  </si>
  <si>
    <t>0a30984ca2e5f170d14cc06c70e087aa</t>
  </si>
  <si>
    <t>f87a6139b96bb4b85b23618ae6988252</t>
  </si>
  <si>
    <t>9f1dd83ac3b7bcbf034240fad7ff7d4d</t>
  </si>
  <si>
    <t>a8cedcba8ef7e7cc2faae10b2ac03461</t>
  </si>
  <si>
    <t>2db6c70605a36497764d214c2a7b8347</t>
  </si>
  <si>
    <t>27e1de966486683d55bbe5793da45568</t>
  </si>
  <si>
    <t>9b372f77062948ef874e4c2bbe7e6cee</t>
  </si>
  <si>
    <t>c57856cab05558e8a4bd1c833082191b</t>
  </si>
  <si>
    <t>f835b8aee9c81ffe5be5ec96139a0567</t>
  </si>
  <si>
    <t>5565306af57992dcd598a34478741335</t>
  </si>
  <si>
    <t>e3711748ccb649508462a9211bef40de</t>
  </si>
  <si>
    <t>1713b6c4a9894e373d23548f577a679f</t>
  </si>
  <si>
    <t>fb599e8812a99b3e8eea97922b3758cb</t>
  </si>
  <si>
    <t>ff16d86ffe81cfaa7f6e627ed1679c1b</t>
  </si>
  <si>
    <t>143e1da8e6c7c95f7b9401091be6c3fa</t>
  </si>
  <si>
    <t>9b106865e464b4ad89b1b626f2c2e1d7</t>
  </si>
  <si>
    <t>40a862df96c3aaee56ff5f2c750de8c1</t>
  </si>
  <si>
    <t>ca904c1dfe5c1e4415ce964959278c45</t>
  </si>
  <si>
    <t>b6d647bef97806f924072628784229c2</t>
  </si>
  <si>
    <t>26b1f24a1e10f95807d2a1a690705da7</t>
  </si>
  <si>
    <t>88c84d1e17f5ccc985deb49af978e07a</t>
  </si>
  <si>
    <t>a993ccc69d392bfded3ccd802b9268fc</t>
  </si>
  <si>
    <t>2a58aa8243a51dda6dcde523c3565688</t>
  </si>
  <si>
    <t>77529dcd51935e9a98ad4beab0ae490e</t>
  </si>
  <si>
    <t>2162aa360552823da93fca82bf2a26f0</t>
  </si>
  <si>
    <t>eba279b3c1dea40075f63c5058684420</t>
  </si>
  <si>
    <t>5371e634cb5d8681a54ca1beba31f5f7</t>
  </si>
  <si>
    <t>4838f567d132429effc494fcda4ad56d</t>
  </si>
  <si>
    <t>940d71772d450302c32285a50184fa9e</t>
  </si>
  <si>
    <t>352114ae5d9447b65921f75e76b4a927</t>
  </si>
  <si>
    <t>b5f15297073c1d370246af6617cef13a</t>
  </si>
  <si>
    <t>5ea4ddb5f5bea4359bae8a581b7ed829</t>
  </si>
  <si>
    <t>f24b649a42a0f7825ddbbfeff6a9a675</t>
  </si>
  <si>
    <t>060c36e1c116cc67408a8f5a5935d5c1</t>
  </si>
  <si>
    <t>d5e9df2856562cedb1c8b1b9f0343a47</t>
  </si>
  <si>
    <t>66001333a39ce8f12be9fcf323a1a5fb</t>
  </si>
  <si>
    <t>5bdfc8950800e8a6df47cf78a8413d9c</t>
  </si>
  <si>
    <t>9cc98208091fee9789244aee08a28ca7</t>
  </si>
  <si>
    <t>994afe8f6fe288d2be458c71f784ca56</t>
  </si>
  <si>
    <t>9b01c6d8ab02d4300b2cef6774812afd</t>
  </si>
  <si>
    <t>9b31229c5fd58c1ddb694f0232d0dd1f</t>
  </si>
  <si>
    <t>4325d1772bbb08248572e96f643a8de1</t>
  </si>
  <si>
    <t>9b27373ee26f5c75aa3ac8c862b21f08</t>
  </si>
  <si>
    <t>0b7f82d5fa92e1e509b6ef635abf09bc</t>
  </si>
  <si>
    <t>197e931b3ee852997d554b092e9455cb</t>
  </si>
  <si>
    <t>6278beac6c3ae5fa0c9f999e787d1573</t>
  </si>
  <si>
    <t>879076927f643b14ada250ec07ef4a88</t>
  </si>
  <si>
    <t>5d8297e451a0e650c38252a91bcc88ef</t>
  </si>
  <si>
    <t>e0e840797e83d7cf537d4a0efd4b7724</t>
  </si>
  <si>
    <t>9f187d77d73d175445b0a0252b75efe3</t>
  </si>
  <si>
    <t>7fb66e04510d2fa826e9fb43817c5851</t>
  </si>
  <si>
    <t>7e2aa3ad63bd5f4025e9162ea8738c7a</t>
  </si>
  <si>
    <t>a921c196bab889b1e55221cbff679be8</t>
  </si>
  <si>
    <t>175e9308ea835facdc5c74c75acc450f</t>
  </si>
  <si>
    <t>0bab9af56671570e6eb8536602601dc2</t>
  </si>
  <si>
    <t>235d4034b03318cc97d376cb07c7fb7c</t>
  </si>
  <si>
    <t>6ac3a3cf4e64664b890ff21e58b38d57</t>
  </si>
  <si>
    <t>611f7ca35c4d4723c66155489ecfaea0</t>
  </si>
  <si>
    <t>878d5255f246ac543eb4d7104a8abb78</t>
  </si>
  <si>
    <t>907567470e0d08702eeb232c28b06eb6</t>
  </si>
  <si>
    <t>6e9c8746c47446e383b404bc3e5cab85</t>
  </si>
  <si>
    <t>320bb3786195303bf2d99e662cc832fa</t>
  </si>
  <si>
    <t>0c39bcfdf3238e1db81e5e452f02470e</t>
  </si>
  <si>
    <t>ea180f1ea30b6bc86621e2b4d41d7605</t>
  </si>
  <si>
    <t>dda4087216e15d1784efc310005dd683</t>
  </si>
  <si>
    <t>2ab0ebde9cc0cd85fc47ce045d440caf</t>
  </si>
  <si>
    <t>8ffa6292a6f801969c7c652f514514c1</t>
  </si>
  <si>
    <t>cf80f2ee3e9cb3e92f6bc04b08b4ded3</t>
  </si>
  <si>
    <t>c61a669c80b5e93cb251c7583f668f7c</t>
  </si>
  <si>
    <t>2a3682443b92393616edb0368d5c52cf</t>
  </si>
  <si>
    <t>cc1f9bbea026ddf996999297a530c119</t>
  </si>
  <si>
    <t>00d586ad63f142b974fc517ff2e3f1f8</t>
  </si>
  <si>
    <t>354d2e548144a9dfbfa8bd3dcbea79b1</t>
  </si>
  <si>
    <t>e644f76cfb65b608ceed85bd32a64128</t>
  </si>
  <si>
    <t>2958efe32274c6369d16dccad3add350</t>
  </si>
  <si>
    <t>a995795c7192b460ec822e04cf90c03e</t>
  </si>
  <si>
    <t>6a734236fe497a0bdbb0018bfc62faaf</t>
  </si>
  <si>
    <t>ff655017e1c0309806cca39ee61d2fe8</t>
  </si>
  <si>
    <t>20267f479a91ac26c09f83ae13adfa1e</t>
  </si>
  <si>
    <t>e2f4a1d51d54f728370cb48014dbec2a</t>
  </si>
  <si>
    <t>391853e94b81478f1678ad15543ce20a</t>
  </si>
  <si>
    <t>268b33ccfdd00ea4adda84063d34ffb0</t>
  </si>
  <si>
    <t>bd4bca1e5c7f6a0bf5d5bef566d34042</t>
  </si>
  <si>
    <t>8fa85083ec873a434d58d2b75f55ca07</t>
  </si>
  <si>
    <t>4832215be72e7fa0ff6539453731b5b3</t>
  </si>
  <si>
    <t>7fe6a2549dd3c145826cec43c82231f2</t>
  </si>
  <si>
    <t>eeb5561fc3656ff7933e06dee6f691ea</t>
  </si>
  <si>
    <t>696ea2c7271f939ccafc511902e85604</t>
  </si>
  <si>
    <t>26dd1a5da58ce465bd88b083747df5c6</t>
  </si>
  <si>
    <t>3603347ef7a7079cf655ca5f28c1c80d</t>
  </si>
  <si>
    <t>357f66ee72a38eb44426b0942901f810</t>
  </si>
  <si>
    <t>6a44ca8a7a7268c20a11e16e707b8c04</t>
  </si>
  <si>
    <t>3664913957dea62519714ffa0bf99483</t>
  </si>
  <si>
    <t>9e269d7150369ffe87add0d8653842de</t>
  </si>
  <si>
    <t>3a90ee8e42cb24248e56383cd5349856</t>
  </si>
  <si>
    <t>88d619ad97413b44d6659073b7b12f32</t>
  </si>
  <si>
    <t>6934d23e0a3adbf801dca440dde09fa3</t>
  </si>
  <si>
    <t>59a45a36b4c91e4c80904ce5dffd75eb</t>
  </si>
  <si>
    <t>a1e1d066731b23286a2112e65458b116</t>
  </si>
  <si>
    <t>070c61a09952fe8d1d8580e54d2e5077</t>
  </si>
  <si>
    <t>87760659a610879e83b0cb7684dc821e</t>
  </si>
  <si>
    <t>ca5b658462069fbcf6db37967b8c9cec</t>
  </si>
  <si>
    <t>b050285d2ce40b4398647c923ffc769f</t>
  </si>
  <si>
    <t>19f7d64c187f64e4c089786e84510ff2</t>
  </si>
  <si>
    <t>80157edd89874ab95487fc47eea51509</t>
  </si>
  <si>
    <t>c0fa54bbdd331f215aa84b4dd86d7255</t>
  </si>
  <si>
    <t>6058d6b7d1f04803d15d1896d3256c92</t>
  </si>
  <si>
    <t>2a5e1c52752a71a87c5c2cc5d594dfc0</t>
  </si>
  <si>
    <t>9962fbcc68e61479a29396edae8f3b9b</t>
  </si>
  <si>
    <t>05eac6603c2c8b0d133d6417ad1b97a6</t>
  </si>
  <si>
    <t>fb628a9f2005fb3e8152ca8a66ca4515</t>
  </si>
  <si>
    <t>916de785d2ef62534956d827ef074884</t>
  </si>
  <si>
    <t>de62b3d4ab5cf29fa7c47d6917d433f0</t>
  </si>
  <si>
    <t>baead3b2bab81c64c1ea6a6984646567</t>
  </si>
  <si>
    <t>c4367c52bf45525bfbb7614b167a5335</t>
  </si>
  <si>
    <t>a850a8a187e36cb07a8d06700d141993</t>
  </si>
  <si>
    <t>3514f1f7f9a8c61c063aa8cd834c5561</t>
  </si>
  <si>
    <t>79a85ce81ddf5daa300bb137cd81bebd</t>
  </si>
  <si>
    <t>d120db565ef6583b6b850738df6d89be</t>
  </si>
  <si>
    <t>26e87ce3ffff8cab875cc01616fad7ed</t>
  </si>
  <si>
    <t>30cf2dddf89372cece51b60959c12320</t>
  </si>
  <si>
    <t>f1f49699d5abb3a62e57c6541770b65d</t>
  </si>
  <si>
    <t>c7204958ab2a72430f7c9c8bbea79be0</t>
  </si>
  <si>
    <t>aa98ed8d6ce3f3a5d5eabb46213f767b</t>
  </si>
  <si>
    <t>a6a262e3634c78f9629ddf8094cd3174</t>
  </si>
  <si>
    <t>b42b93dacc67994f1a24355983ac4cf1</t>
  </si>
  <si>
    <t>3e43df7f86a57ed8ce8ce3b26a8a08de</t>
  </si>
  <si>
    <t>80a54030151e45fe4e025d32430c753a</t>
  </si>
  <si>
    <t>6049c4764e4f172b968de04fc828df34</t>
  </si>
  <si>
    <t>810cd6adda70722fd9d2c292867b86d7</t>
  </si>
  <si>
    <t>7091da5a0a374e4a92a9356c963e1690</t>
  </si>
  <si>
    <t>93a972b822e5a138570803194a6d237c</t>
  </si>
  <si>
    <t>a9a0fade5a9e1e3ad02e2e730ff3378c</t>
  </si>
  <si>
    <t>f1678636cab6fa77c76a9264ea9963a7</t>
  </si>
  <si>
    <t>0d019bff90a558a45022163f906bdc0c</t>
  </si>
  <si>
    <t>0aff33f6d0d8aa236c51def04f2d5953</t>
  </si>
  <si>
    <t>89b6d1591a3e9a96cee4c4060484c5ca</t>
  </si>
  <si>
    <t>072eb633b9102fc0598f1a63c809c801</t>
  </si>
  <si>
    <t>60dc4921f9eff5fcda833ee031443ee9</t>
  </si>
  <si>
    <t>73c57a9ae26f3c981378b1c2960e2871</t>
  </si>
  <si>
    <t>540d39088f57303a44a9ad9ed6937c71</t>
  </si>
  <si>
    <t>da8384d2d70f9196edf2037c2fb2e93a</t>
  </si>
  <si>
    <t>814c5a2dd0bb3644a8af702220c52422</t>
  </si>
  <si>
    <t>58aebd719336ce690932d83d0f0162d5</t>
  </si>
  <si>
    <t>6798acf8da0458e3299ad2a1f4e7c2bf</t>
  </si>
  <si>
    <t>8290b662b6532b5e1635fb338d152a4e</t>
  </si>
  <si>
    <t>50fb5ad5d9eb3bb648e6c8d18453a7f7</t>
  </si>
  <si>
    <t>2c139e65a9fcbbf712f579f9e6732fd4</t>
  </si>
  <si>
    <t>14baface490758522a1f859c0acc9ec4</t>
  </si>
  <si>
    <t>7a7338ef00146590a3e2d10d1713e176</t>
  </si>
  <si>
    <t>db8ec1f430d9850d48b1f8c6958ed68e</t>
  </si>
  <si>
    <t>d424f73e4a19e96d200cf4c38d1c864e</t>
  </si>
  <si>
    <t>b899aa15c56fee62bcea0903b59b18fe</t>
  </si>
  <si>
    <t>28291658be5f6e1edfc8acfeacf049a8</t>
  </si>
  <si>
    <t>4916ba26c0ec4e43588dcc3e019ede51</t>
  </si>
  <si>
    <t>238f12faae477497ff945ea4c695073b</t>
  </si>
  <si>
    <t>77eecef58086c6f635d85f283792aed4</t>
  </si>
  <si>
    <t>27a2af2575bfd7d083602f383a680f95</t>
  </si>
  <si>
    <t>7c7378fdb4fc64ec517dc024e8f2bb89</t>
  </si>
  <si>
    <t>6d7364731230122df155fddea6878dd3</t>
  </si>
  <si>
    <t>d645da12228499ac88ef5cced5837502</t>
  </si>
  <si>
    <t>b55934770d56da868c9ae444e313caa4</t>
  </si>
  <si>
    <t>51c8a2a1dffa372556506579fcb41a1d</t>
  </si>
  <si>
    <t>507a08d46df3369ee992dae0ad39b856</t>
  </si>
  <si>
    <t>479c3b117877156329c2b59da92dcca1</t>
  </si>
  <si>
    <t>144679b5d1ddb8650c3155c645a1d976</t>
  </si>
  <si>
    <t>d5d6f4f33df6216588dad86b825be352</t>
  </si>
  <si>
    <t>2d5421eb54f4118e3b933e87baa6cc1c</t>
  </si>
  <si>
    <t>7a04fdcf6f0e51992c2dfd7cfd3e99aa</t>
  </si>
  <si>
    <t>08af199148d071cd6a3bc0e53d77f619</t>
  </si>
  <si>
    <t>e7af60d00f3dadf1f03a3bdbb2bc6364</t>
  </si>
  <si>
    <t>cbbda0778454f639ae7182a4ec209142</t>
  </si>
  <si>
    <t>e3fc1e449bf70c946e9c4054698afdd7</t>
  </si>
  <si>
    <t>c94ac72ea12ea1943136f2bc64719600</t>
  </si>
  <si>
    <t>5c939751a356d66af37a9e339980c9b7</t>
  </si>
  <si>
    <t>7974dc9314dabaab55462b7ab1b3d3c9</t>
  </si>
  <si>
    <t>d2c2de6e423321db2aed69be2da62c9b</t>
  </si>
  <si>
    <t>18042a74c3e57fabcf4e0980402ca1d4</t>
  </si>
  <si>
    <t>514e5f200a15c7c9f62336c74ffa6840</t>
  </si>
  <si>
    <t>7f2fc4be557404798e7ac1df49ee30a7</t>
  </si>
  <si>
    <t>9722c0e8faf86184d1021802ac2e5f79</t>
  </si>
  <si>
    <t>6ec5953819c4a9de372a20282b4d7b98</t>
  </si>
  <si>
    <t>c6e9701b682ec8f4cc3f8923c1dbb1f8</t>
  </si>
  <si>
    <t>4bc9645a5623ba22b8e136133eb8af33</t>
  </si>
  <si>
    <t>f18ca68352536e995e0cea95572067d4</t>
  </si>
  <si>
    <t>c1e8e336c211d9399d857f8703c1fadc</t>
  </si>
  <si>
    <t>73061056a3b9c0ed212a6e6ed0b24813</t>
  </si>
  <si>
    <t>d90a6ea6fd54e27c2656d8d3877abea4</t>
  </si>
  <si>
    <t>2247fd8e28edeb7365e8eb85e206487b</t>
  </si>
  <si>
    <t>86d4303e4f27966fade0cf152d9ae234</t>
  </si>
  <si>
    <t>846b2b6dd5703bd41a6cd0e1601900f8</t>
  </si>
  <si>
    <t>e86a702029116de126ed5b9341566230</t>
  </si>
  <si>
    <t>786d54b10805cdb475d07522426292cc</t>
  </si>
  <si>
    <t>2c9a64873b88387545747c663f05d517</t>
  </si>
  <si>
    <t>35f4421c476ab29bd7492717ccb0642c</t>
  </si>
  <si>
    <t>45a9c220aa008c10a0e581f44c0627e9</t>
  </si>
  <si>
    <t>f0971d67a49ade9bab406f7664e8129d</t>
  </si>
  <si>
    <t>dc10fce584f2cdf09d6690e0f2883227</t>
  </si>
  <si>
    <t>0e81202a194c3198d45cceb0edec2ff0</t>
  </si>
  <si>
    <t>788304097fce3e5d98c48cb17ebf155c</t>
  </si>
  <si>
    <t>4aa29ca00d7fb2c2a06f51bd15ebf772</t>
  </si>
  <si>
    <t>336d5ebc5436534e61d16e63ddfca327</t>
  </si>
  <si>
    <t>ef8baa17c6b52931c4b058e460fe8d0d</t>
  </si>
  <si>
    <t>54d98044d0ac6e7152756ae8190b9cd8</t>
  </si>
  <si>
    <t>6f462127f21ce267bb51d8c26e65db3e</t>
  </si>
  <si>
    <t>2fb2c0b63768c3c73ef007ed0f753663</t>
  </si>
  <si>
    <t>5ce9e5e89c326160e2908b5c477ebba6</t>
  </si>
  <si>
    <t>f936e0a3bce6ffb6fe662a6e062ac9a5</t>
  </si>
  <si>
    <t>070349261f23248ee28a2fd0978252b5</t>
  </si>
  <si>
    <t>8c9b3de1e2d4afbb00c8d0ed13c9da34</t>
  </si>
  <si>
    <t>0b8f15cd3409fa0e444932e54f81aff0</t>
  </si>
  <si>
    <t>b2e7d5c71dcf801414dddec798571cb4</t>
  </si>
  <si>
    <t>b1eb96657b983d6e9c04bca5b975d374</t>
  </si>
  <si>
    <t>174247a8b30c20f711d155b340320dcc</t>
  </si>
  <si>
    <t>853b3b5c7f6a094901a01b9c7c4c2144</t>
  </si>
  <si>
    <t>89f590f6d31fb9ba02239da87497d982</t>
  </si>
  <si>
    <t>eae09666cb6c5eb0eeedf06bc0b1c7fb</t>
  </si>
  <si>
    <t>26529ea27107055c4b6e276b56797020</t>
  </si>
  <si>
    <t>39ceea9d66d6fd7959821277b8d0af58</t>
  </si>
  <si>
    <t>280953f246fceb4c893ffac1981e0998</t>
  </si>
  <si>
    <t>7a9693015c73ae1d46ea1e8fd0c7a1fb</t>
  </si>
  <si>
    <t>6aa1c1a875889044ebf43dfe844c7bc1</t>
  </si>
  <si>
    <t>236604adff21d60816ee8a12d629c2df</t>
  </si>
  <si>
    <t>d15d4180749f681ded0d53f1908ca3dd</t>
  </si>
  <si>
    <t>10678b97635e173b084e8f3c681527cb</t>
  </si>
  <si>
    <t>cdd7005c54b8cccc0d5f369ad7c55064</t>
  </si>
  <si>
    <t>2d85fe69a230d106d7a9052381a09356</t>
  </si>
  <si>
    <t>25f1dd619a9da443c7a26bf223e4b3d5</t>
  </si>
  <si>
    <t>13e388b2c8eb8ce5efd1ac19ecc78513</t>
  </si>
  <si>
    <t>c65db23b93631916f5bb31abf24462b8</t>
  </si>
  <si>
    <t>15d0324c4cba39035aedcf51adc6262b</t>
  </si>
  <si>
    <t>f2e624030d1505c3aabc60d22dc1022a</t>
  </si>
  <si>
    <t>073e91c1793a1400af92c0d2ba639daf</t>
  </si>
  <si>
    <t>83d165df8a35a163dea7821654e0efcf</t>
  </si>
  <si>
    <t>bbf2aa53a06531cd2da66f110f0752a4</t>
  </si>
  <si>
    <t>53eef9f0f3c7ddca94957c056aef9227</t>
  </si>
  <si>
    <t>181a3c7ab697f5267f35da43b3aa2a42</t>
  </si>
  <si>
    <t>8a1f74ea8d333ac37a9fe795aa4183e2</t>
  </si>
  <si>
    <t>a360bb50f2581bddc0ea191e533fb0d5</t>
  </si>
  <si>
    <t>c94230bd397e1a81b4f3e410ff14daf4</t>
  </si>
  <si>
    <t>9e1d543470b52e6e0f51881b091d9a18</t>
  </si>
  <si>
    <t>0198d08e55ae4a0178fed63e44d46437</t>
  </si>
  <si>
    <t>fcc4103fcaf40d4720096ea4ed0fa2a7</t>
  </si>
  <si>
    <t>33f009eb844c3e5ced55194fd9081891</t>
  </si>
  <si>
    <t>f4cbadcb99fd2c1fc88b97adfae24854</t>
  </si>
  <si>
    <t>08bdd4ccdfefb4a7ad7757fba080aa28</t>
  </si>
  <si>
    <t>76128f896de3c07b84f60965327751a3</t>
  </si>
  <si>
    <t>2a6cd628e0921570e6671e6b1917e926</t>
  </si>
  <si>
    <t>c45ff238efdaeb27177502d90e93f60b</t>
  </si>
  <si>
    <t>6f9f69256d91652afad06c9c4894cce6</t>
  </si>
  <si>
    <t>ef17e89d8fb3d083388c1bd6bae0a5c3</t>
  </si>
  <si>
    <t>59cf35ec5effe5787749804bd77dfb45</t>
  </si>
  <si>
    <t>2488294e5b8aa832810695a56cbeacdf</t>
  </si>
  <si>
    <t>16c9a11533b606e30508aecf89398170</t>
  </si>
  <si>
    <t>8db1c5244f04213e7178c188cf975960</t>
  </si>
  <si>
    <t>76033d11df25bb5c050fea077e1b02b6</t>
  </si>
  <si>
    <t>037be3f3bf37ffed5e5b8750c514ad17</t>
  </si>
  <si>
    <t>5f71bc4e6abdb7421e16abe2e414d344</t>
  </si>
  <si>
    <t>f0cf79f9b81720b964207ac2fde19be8</t>
  </si>
  <si>
    <t>1b3792d7a5971736e7dd4932c8c20f74</t>
  </si>
  <si>
    <t>79a60ddd18a394faebab43aa57bc83e8</t>
  </si>
  <si>
    <t>78383fd635668ffe34e22ef0ed11f6b5</t>
  </si>
  <si>
    <t>6751bce20296374f82f386e054e0b9f7</t>
  </si>
  <si>
    <t>4bac3882938ce191ce0436d7bf533c62</t>
  </si>
  <si>
    <t>7611c2ba98f6c400df922115b07c9903</t>
  </si>
  <si>
    <t>61cbe9d6fbd16b3dbdd5f1b39fab396e</t>
  </si>
  <si>
    <t>d41380111f8558d2a5a9da7a095bbd0f</t>
  </si>
  <si>
    <t>b3346ddd5d7b2edda306d8f531e58660</t>
  </si>
  <si>
    <t>aceafc50fbd2c53cc75ada4f86035ecd</t>
  </si>
  <si>
    <t>90faf268e7eab91975d0fc1846bad0ef</t>
  </si>
  <si>
    <t>fefe447107ab48d504ca4865c1a69dd2</t>
  </si>
  <si>
    <t>f8f7aa63a45a078fda7e10fdc8f63b5f</t>
  </si>
  <si>
    <t>6d236926d8864f1f5d88048c4f2a1948</t>
  </si>
  <si>
    <t>3ab35509be5b6cdb02c081de2fb74a8a</t>
  </si>
  <si>
    <t>fdfa9a38cf3d8d850a6fd47b438bfe43</t>
  </si>
  <si>
    <t>023eae08cd291f454a56b1a29084f1ea</t>
  </si>
  <si>
    <t>80a373ef28ca3b24c02b24b5b9ad6731</t>
  </si>
  <si>
    <t>bceb3255d9e971801589ea08667466f0</t>
  </si>
  <si>
    <t>4adc2d13b1a41b5e1652d957fc6f2082</t>
  </si>
  <si>
    <t>1ebb1d1f55c09d87901fb445b917948b</t>
  </si>
  <si>
    <t>61e1ec2ab7f435948789816fa06d7037</t>
  </si>
  <si>
    <t>05c2e48a2654a4d96901f7674961bb2a</t>
  </si>
  <si>
    <t>c1080323abd122db8e79376998d29915</t>
  </si>
  <si>
    <t>93cdf48e7102fb85fdef006ccc6bdd87</t>
  </si>
  <si>
    <t>e782e89abdb62740b34d162d21510f6c</t>
  </si>
  <si>
    <t>46f913fb3c2719fb01ecad725bc3952d</t>
  </si>
  <si>
    <t>8d6bd2dad761e54d64308b604bb23ba1</t>
  </si>
  <si>
    <t>8c0f210dc24f021fbfc4b912fd41a8aa</t>
  </si>
  <si>
    <t>c6f6c696c98663f5588e525bff96d89a</t>
  </si>
  <si>
    <t>eaa9bf7df753a0756ace3d7553bc11ff</t>
  </si>
  <si>
    <t>9ce60c64ac4510df68537de96631261f</t>
  </si>
  <si>
    <t>75bca42b6b5e869be888efd8ec86fcbb</t>
  </si>
  <si>
    <t>4f7d9961def7929f575ad0b78fc17672</t>
  </si>
  <si>
    <t>b1baa403406e9bc353bc829e3ffd6cee</t>
  </si>
  <si>
    <t>15a98a484ca743a36a71cbaf2b347dd1</t>
  </si>
  <si>
    <t>6c5184483cf53cdccb474420b29a911c</t>
  </si>
  <si>
    <t>ec1859db271276d4081d7ca1f767258d</t>
  </si>
  <si>
    <t>70c3446a690bb1c8b83a09a33cf0b0d1</t>
  </si>
  <si>
    <t>fafcb194af3cdf5ea3355224c6224d6f</t>
  </si>
  <si>
    <t>ef2e814b4e7cc7e6e4a1f3c8f035275d</t>
  </si>
  <si>
    <t>b9539626d37f52bcdf87c0e671329cbb</t>
  </si>
  <si>
    <t>aa3845080ecdff9a553b681aa61c2ad8</t>
  </si>
  <si>
    <t>c0fb5b3c854a4b30334892c71faa13c2</t>
  </si>
  <si>
    <t>9082eaa58d8b1028c26c256c6de14aab</t>
  </si>
  <si>
    <t>bbba677a7830a14343512ae9637e3879</t>
  </si>
  <si>
    <t>9dbda50bc131e3813851660dd15d0ef9</t>
  </si>
  <si>
    <t>d24802faacea07a0f93f06662aa12a40</t>
  </si>
  <si>
    <t>34c9ef8fb69f256ff66add711305d279</t>
  </si>
  <si>
    <t>7a99ddd64872e5a6b4084867dd14ef4a</t>
  </si>
  <si>
    <t>88107ba931ed078f1a1d73d0bd575a32</t>
  </si>
  <si>
    <t>20352cbe288211abf5161bc6fcbc1a3c</t>
  </si>
  <si>
    <t>7dc550c83c75a49032148a7f90f248cf</t>
  </si>
  <si>
    <t>9640700c442214957adbe5aa77e2ace3</t>
  </si>
  <si>
    <t>8c4e1000e86191ffd2a27a253c0aad82</t>
  </si>
  <si>
    <t>20cacf957f7d3f661bae47fa58879299</t>
  </si>
  <si>
    <t>20a79e1ab3a172d48f5f78498616ec4d</t>
  </si>
  <si>
    <t>fe443b928b6126aa5df1d7ef91bd091b</t>
  </si>
  <si>
    <t>b47d8f2bc37de549eb1b78c0bc54d077</t>
  </si>
  <si>
    <t>cc033bc7d61c82cbefe72f540117c64e</t>
  </si>
  <si>
    <t>bd3cd01c42224fff838a74ccf727e1c7</t>
  </si>
  <si>
    <t>8b7c35169673ff7fcc30a43cf41079d3</t>
  </si>
  <si>
    <t>19b20d918b26f877ce5a1ad7f34b9729</t>
  </si>
  <si>
    <t>6fe987b15d3f9964f0f84786ef4f78e5</t>
  </si>
  <si>
    <t>6a07a9c74e8dec82179580d0c88c2800</t>
  </si>
  <si>
    <t>35856571321788e2cfb267bccef93f07</t>
  </si>
  <si>
    <t>947d64ec18585d216e88d3eef72267d2</t>
  </si>
  <si>
    <t>54c6997a78e69329bbf97a9256104e4f</t>
  </si>
  <si>
    <t>6af8cbc980df656d8574530389a7e7a6</t>
  </si>
  <si>
    <t>4285127686e4b60f9d4c5182571b3982</t>
  </si>
  <si>
    <t>5cfcbafd768519bce51371aae5cac8fb</t>
  </si>
  <si>
    <t>662a2fde878a9bef6370fb07c5a28705</t>
  </si>
  <si>
    <t>7b18b584738d4f52b3d4dfce78c1827e</t>
  </si>
  <si>
    <t>9389089fa48bdc2708e6f0890890c516</t>
  </si>
  <si>
    <t>39baa31554d76571e44a1d255504040f</t>
  </si>
  <si>
    <t>bed001ddbfee19bb91d1760849b0dd45</t>
  </si>
  <si>
    <t>33d06abacfaec40e2da0d9a46007c758</t>
  </si>
  <si>
    <t>2cadebae208572a73bcc7385d5de0710</t>
  </si>
  <si>
    <t>f0952a50474d97aafac39a918b3394ae</t>
  </si>
  <si>
    <t>97418c38e0c00de56ce63171626fd554</t>
  </si>
  <si>
    <t>48e0d8bff94fd4580ea547171f1a8adc</t>
  </si>
  <si>
    <t>7bc8c88bb24cbfee9378e0af71e171a1</t>
  </si>
  <si>
    <t>22e003fcd294b552ff9da4aa1b9f85de</t>
  </si>
  <si>
    <t>15c08959e5e7b1930cb81c503058b4c4</t>
  </si>
  <si>
    <t>98d18f067382e282b98734bf528b4178</t>
  </si>
  <si>
    <t>f452fb191386e040c8dbb8e6e90da113</t>
  </si>
  <si>
    <t>9dcfa40e7250f2fe6fa02282a752c7e2</t>
  </si>
  <si>
    <t>9c0962a42379157493ed685d19844388</t>
  </si>
  <si>
    <t>8042532a1caf8cab4c93569cb42469ba</t>
  </si>
  <si>
    <t>874b8b4b430d2a662258ad7d9fc2e5b6</t>
  </si>
  <si>
    <t>fd9feaee224753f923d50254601e7b0e</t>
  </si>
  <si>
    <t>78f58a8b3761d55a831805c9a278fc45</t>
  </si>
  <si>
    <t>e5e05bd77a755fedae33906cae78b723</t>
  </si>
  <si>
    <t>78775654c69f1cb73d97d96c1c65354e</t>
  </si>
  <si>
    <t>3d67071efa4bd410db2ba44714135479</t>
  </si>
  <si>
    <t>785f9daa6aedd3afc9ef23137a51fe3e</t>
  </si>
  <si>
    <t>db1a80fb7e65ef1147d952687f0dd9c6</t>
  </si>
  <si>
    <t>9b80db5649edf85db26dde3ba3e287f5</t>
  </si>
  <si>
    <t>94b7cee526e7478a1d4c97340d74b467</t>
  </si>
  <si>
    <t>ff5a32529137a0ce614e6a37307423c5</t>
  </si>
  <si>
    <t>c8ba6c4ec17a64c0b4ee1872b3a3968c</t>
  </si>
  <si>
    <t>6b7f18f1f939115a1bd761ec64bd2c55</t>
  </si>
  <si>
    <t>52cf16b573a97bddb9aea03cf5710746</t>
  </si>
  <si>
    <t>7ae4b452af28fb2a994e10e14a8b2287</t>
  </si>
  <si>
    <t>f2d12ba1c65146a7035fcfd82f10377a</t>
  </si>
  <si>
    <t>b998882657b5780d5a28664294f9ffb9</t>
  </si>
  <si>
    <t>0d620a440d7259218ff725f59419a5a1</t>
  </si>
  <si>
    <t>dd27f2bc962dc976d5e3115fdc6120ce</t>
  </si>
  <si>
    <t>6ce8717b8496b9d1a1e4c615b7c91d92</t>
  </si>
  <si>
    <t>98c153eda30b9d78a78fb3cccae14eb7</t>
  </si>
  <si>
    <t>b9c6d7331e1ebb7ffb3ddeedd918edc1</t>
  </si>
  <si>
    <t>2fe19a9f65a57f9717e619f339217837</t>
  </si>
  <si>
    <t>6295f81adbb22455e788cb738ec1d386</t>
  </si>
  <si>
    <t>a3d7364786b76fd32aa81a6474446181</t>
  </si>
  <si>
    <t>ed03f1d36ca69348c51296ad69a6980a</t>
  </si>
  <si>
    <t>303ff9c6f340aee89c6f030af3168137</t>
  </si>
  <si>
    <t>e954fd23871b5505e296fe8fddf78623</t>
  </si>
  <si>
    <t>d7779e625d40191cb8ba59adf9280fe2</t>
  </si>
  <si>
    <t>b5faafe944dadb86aee82ebe006a3e0f</t>
  </si>
  <si>
    <t>349495688c536b6a7a4bf026ad76dc42</t>
  </si>
  <si>
    <t>03a3bcae21a27617a10aa114e03432f4</t>
  </si>
  <si>
    <t>1f1706b27c1e14b293b9bf62f72db6bb</t>
  </si>
  <si>
    <t>9cb9c75c1489b79a085eb7f56d82f2bf</t>
  </si>
  <si>
    <t>0c2ecd5cb4ba7dae4f84402c5ebe87f5</t>
  </si>
  <si>
    <t>7cbaabc637b2a3ed049b757493e817e8</t>
  </si>
  <si>
    <t>420e7a59c4ccc0dbeb1d58e2126c42d5</t>
  </si>
  <si>
    <t>92b1f191dfce9fff64b4effd954ccaab</t>
  </si>
  <si>
    <t>177b118df5660fca13bd6dcee756f398</t>
  </si>
  <si>
    <t>f86a3511cbb1ae422f932e01a91f1869</t>
  </si>
  <si>
    <t>787125854359224a5b0b0b7629cc6d3d</t>
  </si>
  <si>
    <t>be89c245d0174bca207d853961e7148a</t>
  </si>
  <si>
    <t>6018a468a00de93ac9bee91950c6a3d8</t>
  </si>
  <si>
    <t>e584031c3e5861265e277ddc29b39ff2</t>
  </si>
  <si>
    <t>19bc20d8bcd225b6272c9233d7c7b303</t>
  </si>
  <si>
    <t>8f8ec9e69f21033556ac3e2950b7a538</t>
  </si>
  <si>
    <t>ca14d8a7550e8d5eb3e189df44f925a2</t>
  </si>
  <si>
    <t>0635bf265fc80d691fb83ae1e1a22fdb</t>
  </si>
  <si>
    <t>280a8e9f937dc8c7b25269628a1ed964</t>
  </si>
  <si>
    <t>d9466601bb1cec0a0df354707b5a1c08</t>
  </si>
  <si>
    <t>ed81fc623e5116007c266af9aa3f7560</t>
  </si>
  <si>
    <t>63fb561c81923bcdbb86140a1801305d</t>
  </si>
  <si>
    <t>415c6b765a8624853b9717c027119461</t>
  </si>
  <si>
    <t>33e70269806c88720e2d89ed1d3f1be3</t>
  </si>
  <si>
    <t>a0b19d4cf512379d7ee34a5cc006c6c7</t>
  </si>
  <si>
    <t>639b1cbf061045ad1032ab9068c20b28</t>
  </si>
  <si>
    <t>012a7e2d6e350a7ca98e33cbed8be478</t>
  </si>
  <si>
    <t>43460166ed53726313e807d5aee32bd9</t>
  </si>
  <si>
    <t>b344649af60a6ae5e72f8d8b4016e9e5</t>
  </si>
  <si>
    <t>fec55d6c03aaadb850729ac768b4ddaa</t>
  </si>
  <si>
    <t>1cb5980f737facb627e2bb3d759b73af</t>
  </si>
  <si>
    <t>f87ce61286012c89c54a93e61a88e761</t>
  </si>
  <si>
    <t>47f160a51c5e9be451363520a149ca82</t>
  </si>
  <si>
    <t>d2c9fe5f9026a0df951f0f8db0f7837f</t>
  </si>
  <si>
    <t>32161d8c28e20d7c92e4bc602c7ef5a8</t>
  </si>
  <si>
    <t>215b64d69046dea9cf81553763cecc92</t>
  </si>
  <si>
    <t>3d1bd5dbf69b7617038e905ffc7609a3</t>
  </si>
  <si>
    <t>b0a054a7a795030eaaa7c53a035a4925</t>
  </si>
  <si>
    <t>b649e8f33e9c3b38af415a395a446552</t>
  </si>
  <si>
    <t>89d7b51cbf6fdf18a3b0586c9e538b6d</t>
  </si>
  <si>
    <t>20693004ec845da4c1ed7f7c05c7685a</t>
  </si>
  <si>
    <t>c9181c54402583f631b0ec7e6685b0d0</t>
  </si>
  <si>
    <t>729f48eb079c2f9bd8aac4d8f6dfbfd5</t>
  </si>
  <si>
    <t>1fb0a167e68e4e697611819f9f970c8e</t>
  </si>
  <si>
    <t>3e9ab873309a46c29f602377705e5b4d</t>
  </si>
  <si>
    <t>c323092e3dc96ec44049c28c7dd27089</t>
  </si>
  <si>
    <t>49816aea39ae3c2e7d14b5f5a39ec7f0</t>
  </si>
  <si>
    <t>dcae12740b8e5aada9483b428027d6e4</t>
  </si>
  <si>
    <t>3c7b933fa023d881921776fe47b69a0b</t>
  </si>
  <si>
    <t>49da248b6bc129a75aa8019f4352e943</t>
  </si>
  <si>
    <t>f914d0cdf0233e2914cd6fcaec2e700e</t>
  </si>
  <si>
    <t>d7f6f515ad5fbbf32bbd88be0090781e</t>
  </si>
  <si>
    <t>b20eef1fea97cb4e1913531f8b3d0176</t>
  </si>
  <si>
    <t>83d788e65786046542c9354d17b92450</t>
  </si>
  <si>
    <t>8935ea08a91b9a60357e72c3a415b71f</t>
  </si>
  <si>
    <t>c7025284683262a8eb81056c48968d74</t>
  </si>
  <si>
    <t>c63abd089c81265e5b1c4f5a345758e6</t>
  </si>
  <si>
    <t>a1b9f1acde9cefc136cd562ddce56ece</t>
  </si>
  <si>
    <t>f380a1a11b8447811db8d2de62d0e6f3</t>
  </si>
  <si>
    <t>21ff915375c8abc3be247356b256935c</t>
  </si>
  <si>
    <t>8baedb6d46227facee694be5d82f2926</t>
  </si>
  <si>
    <t>86d5334824b3cf306d28b1fff0b45dc2</t>
  </si>
  <si>
    <t>9f6c425b71df66aa20ff08042ad059d9</t>
  </si>
  <si>
    <t>46289f543de88e17a84f7014fc172c49</t>
  </si>
  <si>
    <t>3201dbdb788243afa7b24fb5311f8dfc</t>
  </si>
  <si>
    <t>8686fa633cfb5f49a0609122b9e4140b</t>
  </si>
  <si>
    <t>a12848aeac58ac57e95977f93fec17fd</t>
  </si>
  <si>
    <t>28ca2a3ef786a75109a9e2af23c1a4f7</t>
  </si>
  <si>
    <t>95345799f982ff5ba10930c9e397f79a</t>
  </si>
  <si>
    <t>f46f61cd63260f08d5e9873280cfb833</t>
  </si>
  <si>
    <t>9871ea580e0ffe5d7cec065e10bd1344</t>
  </si>
  <si>
    <t>ad84a0f16b417e91bb6f070d5b76a999</t>
  </si>
  <si>
    <t>eb87f329a7095bf6716e1d8dc1be01aa</t>
  </si>
  <si>
    <t>44cd3cf72972846c9eaec796280aedf8</t>
  </si>
  <si>
    <t>986f7af96202a882ea4501485a1f3536</t>
  </si>
  <si>
    <t>401824122ab093701a7e77def38d370f</t>
  </si>
  <si>
    <t>b2c6dec66eada0847015737371ffa928</t>
  </si>
  <si>
    <t>bbd311d57a856ad0a5d57fb8781dda97</t>
  </si>
  <si>
    <t>1e4be82281a54a839c8849d1e7440d32</t>
  </si>
  <si>
    <t>f10d3bf5a7378662d917cbaba3d9182a</t>
  </si>
  <si>
    <t>541c51438d38c7582b03d08fcf9b81ca</t>
  </si>
  <si>
    <t>ee7b293e486f3334d7e758ffc822d40e</t>
  </si>
  <si>
    <t>15a0f9a3d4cae6bdfdb879afead2f39c</t>
  </si>
  <si>
    <t>037adb4f3aa1d0bad47958c8bc165985</t>
  </si>
  <si>
    <t>63e8cd622a63c57fc1b17a23e438d9ac</t>
  </si>
  <si>
    <t>a10c04b2fcdecb8f67af5921c0765664</t>
  </si>
  <si>
    <t>7c23dad2386a690e9be33d37e496a45e</t>
  </si>
  <si>
    <t>2fb120f46d3672b167d80140583a6063</t>
  </si>
  <si>
    <t>df1cd9015c1cd8dd15d874bade18d868</t>
  </si>
  <si>
    <t>32bb7c61fe2128bc9ec3c76bfea30fbb</t>
  </si>
  <si>
    <t>52ec1c0cc952d63a8bda67ff969b6968</t>
  </si>
  <si>
    <t>4f4255f798ca34028903c6bc606c32de</t>
  </si>
  <si>
    <t>f5043e335ce8e2caf79cf0e80220b161</t>
  </si>
  <si>
    <t>d9df28994e8a318d20f4a2598f5f16c8</t>
  </si>
  <si>
    <t>0259efa4c1af4483993ba098982ae298</t>
  </si>
  <si>
    <t>37ce349008efb55b22c8594ca047413c</t>
  </si>
  <si>
    <t>8c6ff9e1b53e7e1f532048b6b1435d7b</t>
  </si>
  <si>
    <t>7d214dbbb7364420941d28a3e51a11e4</t>
  </si>
  <si>
    <t>88b3ff36ab4d36ab60fdb843278606e2</t>
  </si>
  <si>
    <t>acf03541bce60ecb8a4c02a9805f6667</t>
  </si>
  <si>
    <t>b7799d0004c7a0b7c5e0672f7848ff04</t>
  </si>
  <si>
    <t>3742d490ac2e1efc538d0d7c271839e7</t>
  </si>
  <si>
    <t>20dc8189c94c4cee588ee6868c3d003c</t>
  </si>
  <si>
    <t>2cbc117bacf0afa92380905d9b99281b</t>
  </si>
  <si>
    <t>8c33e4788904c28f0aee4b02b35ed9d3</t>
  </si>
  <si>
    <t>8004a717b7ea85ef262a5313f2e25533</t>
  </si>
  <si>
    <t>f7188fdbd35e020927f6c18b3ae847b4</t>
  </si>
  <si>
    <t>168253866cf4542ad1895c7d2dd3a175</t>
  </si>
  <si>
    <t>44cb5e9f50dfa3b36e485b0f26c4fe5f</t>
  </si>
  <si>
    <t>820d7297223d5e401166cb6cbfd53b1f</t>
  </si>
  <si>
    <t>401dbf72920e26fa6a117af833108674</t>
  </si>
  <si>
    <t>be5701ad6a0f85ad1ddca69370aac3a3</t>
  </si>
  <si>
    <t>b229154b44b3e48723ec020fb471975f</t>
  </si>
  <si>
    <t>77d3a7e7ef6967723e66a296bb94cc2e</t>
  </si>
  <si>
    <t>f9009793d98fb864b2067957cebb8250</t>
  </si>
  <si>
    <t>3fdc6213681ba98cb5a95150380e0e04</t>
  </si>
  <si>
    <t>ec1e33b6bd8535e35b7ed12a7a9182fb</t>
  </si>
  <si>
    <t>04a4730468a0d657ebec4e0f1dafbbd4</t>
  </si>
  <si>
    <t>6648cb0e60b6ebcb33f638831097eb8b</t>
  </si>
  <si>
    <t>28b666d0bbf15152aca966add171113d</t>
  </si>
  <si>
    <t>824adc5954e9e6ce2a7c0b0ef584359f</t>
  </si>
  <si>
    <t>4eee02653a93c9555a4ae9037e3ab69e</t>
  </si>
  <si>
    <t>7446f6200e3167caa3cab7b651d11828</t>
  </si>
  <si>
    <t>ee8c32be50cf39acaff23d6e4c3482c1</t>
  </si>
  <si>
    <t>d7f5e28f4a82a513a859b4168b7e9566</t>
  </si>
  <si>
    <t>ca6e313f954bf055efb75700c6e3d5b0</t>
  </si>
  <si>
    <t>dc7721d3d2ac1ff14aa7442d0666d5f3</t>
  </si>
  <si>
    <t>59aff3a8835bab1c3c1725498ef4631a</t>
  </si>
  <si>
    <t>e73b04578cae9ad34b98a7aeebe3ad0a</t>
  </si>
  <si>
    <t>56a5739ae918ad4bfbfac3cb50658476</t>
  </si>
  <si>
    <t>7fd75bd9098fc85c4efeee425d83b3c1</t>
  </si>
  <si>
    <t>967bd553aef09d7f7f55e3f7f2ea580e</t>
  </si>
  <si>
    <t>cf3df6fa1165f1ceaa6c246e9d7d0492</t>
  </si>
  <si>
    <t>2e61866ea98aba76b0b07e7e7728c646</t>
  </si>
  <si>
    <t>f3a589d86446fc3ecd5385a2779e8d34</t>
  </si>
  <si>
    <t>c2711355c663caed162c2b57afcd6957</t>
  </si>
  <si>
    <t>1fcdaeeb2f3492b18aa16cd1e6217f09</t>
  </si>
  <si>
    <t>2b5a0385f3efe2e2a7e088fc0311a33d</t>
  </si>
  <si>
    <t>1900820441f58be72e092e531f54adc1</t>
  </si>
  <si>
    <t>ebd6638431159e2c7a8229ea9307ecc2</t>
  </si>
  <si>
    <t>1c76fb9381aac8712c2d06e31a05702b</t>
  </si>
  <si>
    <t>6a5786dfbaaebbc3e92329baab4b4c08</t>
  </si>
  <si>
    <t>b45357b8257d2ec975e90db3da32947e</t>
  </si>
  <si>
    <t>ef3217af91c6be2ed9ff90f60f247620</t>
  </si>
  <si>
    <t>63343f64cc76a8c257077bb4e9482f5a</t>
  </si>
  <si>
    <t>03300a14fb9934cc5c613e26bdfbaab8</t>
  </si>
  <si>
    <t>60b01a86d9b3175d7f934b779c4b3643</t>
  </si>
  <si>
    <t>7945ab49f6845e9dec8c9d8240a182df</t>
  </si>
  <si>
    <t>4b5dbba9871f88ef7386c26093eaf92a</t>
  </si>
  <si>
    <t>766b8260680f75badcb4665177affcc9</t>
  </si>
  <si>
    <t>d9004bc5310a8ce84f02ff8049792f92</t>
  </si>
  <si>
    <t>b380daa278888a81d3a803e941b93dd4</t>
  </si>
  <si>
    <t>3bedcf261a8ed93b45aee274277861b2</t>
  </si>
  <si>
    <t>7155eaa13b3893b816315471556dae55</t>
  </si>
  <si>
    <t>7cfc37ec1434434ea9e2c926984fd996</t>
  </si>
  <si>
    <t>dfe55b7e653dffe936a78a08bbe0af8e</t>
  </si>
  <si>
    <t>b900a5f2bb1f01b0351c8c30e49a2b86</t>
  </si>
  <si>
    <t>fc4e8fea154ecc9141c9fbedc9a1eea0</t>
  </si>
  <si>
    <t>52c79818b1929f24043e21b5c238eb7d</t>
  </si>
  <si>
    <t>20bf15daea22c05f7a212b9883b90376</t>
  </si>
  <si>
    <t>c5c242ec74572352e18cd97e2db983ea</t>
  </si>
  <si>
    <t>1cc27fcb2c4f78845486607056ac1e05</t>
  </si>
  <si>
    <t>8bf88c8b94582f3dc62dbd89f00c20b6</t>
  </si>
  <si>
    <t>3df7396cd096a478643b671713de26fb</t>
  </si>
  <si>
    <t>6977ef734c71570520a63229a66bf63e</t>
  </si>
  <si>
    <t>3a9aa4b8be741e21ba9f80b3c3684ce5</t>
  </si>
  <si>
    <t>217ced262d2d8c45bcda1cdce89bbeb5</t>
  </si>
  <si>
    <t>677f48b868739f85b47ef6ff20996487</t>
  </si>
  <si>
    <t>dfe9e18ded4239b8f21081ad7e88cfea</t>
  </si>
  <si>
    <t>ab4ac6732cd2448b9fbf36555a896983</t>
  </si>
  <si>
    <t>65b03949d3939d49c8caf082faed86b4</t>
  </si>
  <si>
    <t>25d1c6898db37060c918aa29c1d7bd72</t>
  </si>
  <si>
    <t>f297b6d8f7d2fc4548282b09b8a0294a</t>
  </si>
  <si>
    <t>2a0a1ce251866140a002ef0a7bd8c690</t>
  </si>
  <si>
    <t>c1de6a38b02d9b0e2014dfdf0c2eb56d</t>
  </si>
  <si>
    <t>5bfcc918b4ac11cfd8c4a49e73bfa882</t>
  </si>
  <si>
    <t>cb4e168db1faa34bd0893e4889a2f4f1</t>
  </si>
  <si>
    <t>cda95cf018c449a29def6c95a0bf8db5</t>
  </si>
  <si>
    <t>e858bc7170399a5d4ef609748e59cc33</t>
  </si>
  <si>
    <t>1a0765221ce5d8a5c55dfaeb5321e8df</t>
  </si>
  <si>
    <t>a7f3d45a6782bc654321c0a9bc92ca66</t>
  </si>
  <si>
    <t>20c36cacc13323ce30881fb41a87e83a</t>
  </si>
  <si>
    <t>44942b82e5dea398aea2195a5a582c18</t>
  </si>
  <si>
    <t>5e6c4da8e79f2e2b37856fc407901176</t>
  </si>
  <si>
    <t>83323d5fa94b66f71130ea896433375e</t>
  </si>
  <si>
    <t>7e25eab261cae11877bc9a0f8e02be50</t>
  </si>
  <si>
    <t>21e6ce98c8943660f4ccf0435058083d</t>
  </si>
  <si>
    <t>79b19f8c7ce5e7b42f625fd97dab070a</t>
  </si>
  <si>
    <t>813b4d093386869b83b2f66e19755229</t>
  </si>
  <si>
    <t>1a1d4f57954c3c7f143cbaf3c9996ac4</t>
  </si>
  <si>
    <t>acd746ef45bbe504516078ff295ad7a7</t>
  </si>
  <si>
    <t>309e788d39ad52b4d43dd4001adecaad</t>
  </si>
  <si>
    <t>c5516085d771ceb51e07f0a17b337bd7</t>
  </si>
  <si>
    <t>25393b46957e31fcdc605d76428cae67</t>
  </si>
  <si>
    <t>2acada6d8bf5d4624dcb1374d25dcfb0</t>
  </si>
  <si>
    <t>8d43d24610dc1b429fc90118b0d30417</t>
  </si>
  <si>
    <t>ef4ef75d0a079e91cfb73d5c60ba6f0d</t>
  </si>
  <si>
    <t>67012a7770c47eba3bc1b811ca28ecc6</t>
  </si>
  <si>
    <t>bbbbd43f98a71e0d67a800f6f8bd1e24</t>
  </si>
  <si>
    <t>c61085b95025e125ca4ef45f74c5f537</t>
  </si>
  <si>
    <t>a1b60cfa6b8b9e72a9b206c570fc4964</t>
  </si>
  <si>
    <t>042d5795f8a89756d19c4d5aff933e18</t>
  </si>
  <si>
    <t>3c3d58faafc86beae6e757f1470ce9f0</t>
  </si>
  <si>
    <t>8fae1017385f209b727c45cda5e956aa</t>
  </si>
  <si>
    <t>3d08cf28390d5a33944faa283911a623</t>
  </si>
  <si>
    <t>41dba7c677fd1dc761ad8717c352da92</t>
  </si>
  <si>
    <t>b90658ac073c1d522b88fe8d00ba799f</t>
  </si>
  <si>
    <t>dd6e83b6da55d90f5740e0dd3f3e5a13</t>
  </si>
  <si>
    <t>1d87fb03475c5f052588cd435b46656d</t>
  </si>
  <si>
    <t>a8c3d1773ca7ab2af8cb44b118ae8df4</t>
  </si>
  <si>
    <t>162809b3a22232ad10ae0de553b6d01c</t>
  </si>
  <si>
    <t>360993beda80fd8b385b2c2c8ef98ca5</t>
  </si>
  <si>
    <t>41947964e392efcf6b95c43e9aacba20</t>
  </si>
  <si>
    <t>dd23490768a67ebc2fc92804d875f292</t>
  </si>
  <si>
    <t>2506cb5bb9ec000ba76112982bb47dc2</t>
  </si>
  <si>
    <t>0fcbf0a290e4dba30d5702ec0ed9444e</t>
  </si>
  <si>
    <t>0aa886105b1ba7a8db845491110a5bb7</t>
  </si>
  <si>
    <t>d1adea75d1a44e2993a7c3b1313a08c7</t>
  </si>
  <si>
    <t>f9a337694667d58b8659df20c9ef8bba</t>
  </si>
  <si>
    <t>66a7bb0bfc7f4f952d518528c1c7e024</t>
  </si>
  <si>
    <t>3ca11bf25d70249efaa8defbad073898</t>
  </si>
  <si>
    <t>fa42c2df2fc8063cd98aa32937c4bdd4</t>
  </si>
  <si>
    <t>8f77d77a3ccd2278ae5786de7012b816</t>
  </si>
  <si>
    <t>d662cbb2406577ba48384119fd62ac14</t>
  </si>
  <si>
    <t>3c48606cfd8cbb659833c45ce87e49a6</t>
  </si>
  <si>
    <t>791b8be7a85b67b9f4c4cb57f8927fac</t>
  </si>
  <si>
    <t>4ff3d71d1db60f2973fc2a2f24967dc7</t>
  </si>
  <si>
    <t>1b52316d70bb30edd173db4f2805c856</t>
  </si>
  <si>
    <t>24d510a6f87403bf5b83f64726c3fd90</t>
  </si>
  <si>
    <t>3ae71b78fa1f65e5a707af81770cd388</t>
  </si>
  <si>
    <t>a0a9b321a2b35675be63a0603e77f0f2</t>
  </si>
  <si>
    <t>31fa042538088bc9a6cf8de213b5181b</t>
  </si>
  <si>
    <t>f0d09ad8cf586c7097caf3a153961a65</t>
  </si>
  <si>
    <t>fdd877d9c3ca4eaf91d22d2b2ba54f52</t>
  </si>
  <si>
    <t>2cf7926aeec52fbe4f1a6ae2a1770329</t>
  </si>
  <si>
    <t>3b05af2c48dbaf6656fdf2d2f905b3b6</t>
  </si>
  <si>
    <t>eaded4ffac1061e8ed9daea37561e941</t>
  </si>
  <si>
    <t>e0823ffafcbdc34fa7140049fbe02f70</t>
  </si>
  <si>
    <t>42759774827b8680ddb8a6587761480f</t>
  </si>
  <si>
    <t>1ae19daa81787a742185372def2a6aba</t>
  </si>
  <si>
    <t>285976ea634eee4a3e2204b519e7e7d9</t>
  </si>
  <si>
    <t>e92ea2e30768f2fda96f7e9eba39c6eb</t>
  </si>
  <si>
    <t>4663bd95f4de11218493533738a71b00</t>
  </si>
  <si>
    <t>240d037d4b3f1297e1bd4e9128a94506</t>
  </si>
  <si>
    <t>889b262e03e28a9f19e72f08ab1ec3f0</t>
  </si>
  <si>
    <t>00b7912ef80c0e4f2b56d5e11118fbf1</t>
  </si>
  <si>
    <t>1f892c7fae284a3a13a11df4292c1454</t>
  </si>
  <si>
    <t>bd746e33153ddb0378723279b3525dc1</t>
  </si>
  <si>
    <t>83736f851256ebfd392d677baefc775d</t>
  </si>
  <si>
    <t>d82dcce748db2b286c31075d899273b0</t>
  </si>
  <si>
    <t>e657722b5cb4436e98eeaf60b4e6267a</t>
  </si>
  <si>
    <t>622ebb7539fcf7c5996e06a3229912a8</t>
  </si>
  <si>
    <t>5d4bacc197021d46db1445d67072835e</t>
  </si>
  <si>
    <t>f864749bcc30eb76d8b8a043bc0ee97d</t>
  </si>
  <si>
    <t>99cd2e5dc62a0d6fd4af4fdc1c691633</t>
  </si>
  <si>
    <t>30fecbdcc460ef0bc018ebb6057ebc84</t>
  </si>
  <si>
    <t>1f66ed8f4ebe40b5296e858c26f24c4a</t>
  </si>
  <si>
    <t>5aba61339be8c5667aeb08c044e8f59a</t>
  </si>
  <si>
    <t>137c77c43a107ab28e59ae80d25dd86d</t>
  </si>
  <si>
    <t>0d1bed06d643471985149a14a1eb24d0</t>
  </si>
  <si>
    <t>ffec39090fa0c85692730fdbd647e34d</t>
  </si>
  <si>
    <t>515742ea988a44a8ca0ddc44ff92735f</t>
  </si>
  <si>
    <t>870327f92efd3be6f7be7279c858eb0d</t>
  </si>
  <si>
    <t>fa8a19487bcedc1a7d6630926bee8c6b</t>
  </si>
  <si>
    <t>a992fdba69fe794820cb261f31df434d</t>
  </si>
  <si>
    <t>f4a5d99730ab736c45838ef0ed2fcd37</t>
  </si>
  <si>
    <t>ada012db4884546fde5a0efea090d690</t>
  </si>
  <si>
    <t>18cd6ebfb5567eb228c7ea1e1b792099</t>
  </si>
  <si>
    <t>4ee3f0492290c6f29384ec280a7bd715</t>
  </si>
  <si>
    <t>612dc8387f092f8c04c5c475993f26ae</t>
  </si>
  <si>
    <t>e2d0f33b82899e38000b5d82a0840506</t>
  </si>
  <si>
    <t>8f37d35601db1ec603ddcd88d874e73e</t>
  </si>
  <si>
    <t>f23a13a09954dada8fad3e0691dfcf0f</t>
  </si>
  <si>
    <t>30e34847e6a2bcd7a40f671acae634d5</t>
  </si>
  <si>
    <t>237badad699a572a4071d58e19cdc8b4</t>
  </si>
  <si>
    <t>2a081587c87c2f361a44876167336224</t>
  </si>
  <si>
    <t>3870e23479b42ad046256d65834e987f</t>
  </si>
  <si>
    <t>448a7e8a46946d59a16758d346844a06</t>
  </si>
  <si>
    <t>2ba77af80ddfc70b7b6fb4436f15adf8</t>
  </si>
  <si>
    <t>7b3f65a67546eca7a9249e1310a6be4f</t>
  </si>
  <si>
    <t>0a1e1d8da51f5dd7077a7f2748b10d58</t>
  </si>
  <si>
    <t>eed7d5ba22bb638d57b1e1e241f763c8</t>
  </si>
  <si>
    <t>29ac0835a14c551405ff79715374bd05</t>
  </si>
  <si>
    <t>0124b431b5f5ec31102026abc3531f2f</t>
  </si>
  <si>
    <t>b6c7646d9f04a2ea49daecc3acedb33e</t>
  </si>
  <si>
    <t>a1668ffc4a96b650355d86b7d70fe59a</t>
  </si>
  <si>
    <t>0d166a9cd71ad7522b629d24a4473c00</t>
  </si>
  <si>
    <t>6916222172eb021e5d5f0043453078b9</t>
  </si>
  <si>
    <t>639b8856a99f6e208406b764ba5a7be5</t>
  </si>
  <si>
    <t>9cbea5b353f2dec1fed2002724850f17</t>
  </si>
  <si>
    <t>85bcd4523877c541065a40d7e1563269</t>
  </si>
  <si>
    <t>ee5b912101bea6d7649532c3234c7fce</t>
  </si>
  <si>
    <t>2826a001bddefaad0896bd7a85941b2f</t>
  </si>
  <si>
    <t>f30e13dda67413e38d9dec087e89d3ed</t>
  </si>
  <si>
    <t>7c985c86cdb068f0cdd3014ce627458f</t>
  </si>
  <si>
    <t>0f18e4824fc601cd270a4d31b084bb5d</t>
  </si>
  <si>
    <t>3c6e64ee63b13dc34d7b3199a1c2ce57</t>
  </si>
  <si>
    <t>9209d9f3516cb004ae00cb39cfe27fa5</t>
  </si>
  <si>
    <t>9d6aff53582ed982f98a286028db2d32</t>
  </si>
  <si>
    <t>06908932bbf6e2930a902e9597fa5e58</t>
  </si>
  <si>
    <t>8ddfdffe24f209e425baf83eebbe7173</t>
  </si>
  <si>
    <t>00c37b7a1f13daf967813da9b68937f3</t>
  </si>
  <si>
    <t>0891f989331f84a1bd0738dd8646e721</t>
  </si>
  <si>
    <t>49701d39d51b7a1bea8b17f15a3f447d</t>
  </si>
  <si>
    <t>c317fbe1a05c7f68f17a4df97d51824f</t>
  </si>
  <si>
    <t>3b782fa395459a50d498b04c3ed93093</t>
  </si>
  <si>
    <t>7b41e963c997a06a34c7d3d4957e03a7</t>
  </si>
  <si>
    <t>55cf3cb24c03af3505a373c353ef9b99</t>
  </si>
  <si>
    <t>83b12c7d5f1bc35f22e866f5fcef9bc3</t>
  </si>
  <si>
    <t>82ab631faae192a17db862389778fb2c</t>
  </si>
  <si>
    <t>7d2578091727918ed91a5bcf8639543a</t>
  </si>
  <si>
    <t>6903df7077db0e82dc39246b45ae1f0d</t>
  </si>
  <si>
    <t>1ef14ce4ee3294e6a1214136ce45e85b</t>
  </si>
  <si>
    <t>7c677ff4c58e458338c5f7e74556735d</t>
  </si>
  <si>
    <t>e633c6ab554c0e79eb395d73fc855347</t>
  </si>
  <si>
    <t>fe835aab19a198d00851eb7695eea4f2</t>
  </si>
  <si>
    <t>5487b2557b4811e4c8431f9faa663749</t>
  </si>
  <si>
    <t>dcd0e718c9a56bce753f866b980544b0</t>
  </si>
  <si>
    <t>1869fb91c7518887d7bda05bae6af9e7</t>
  </si>
  <si>
    <t>83355a82a9cee26f3ba2b186ddb0bbbe</t>
  </si>
  <si>
    <t>1f00e37d4309d3b61b38186081e54e14</t>
  </si>
  <si>
    <t>3767ce596a099bc691ee43e67fb6ec03</t>
  </si>
  <si>
    <t>51124bb11e4fb823e8a990629ded42e4</t>
  </si>
  <si>
    <t>4bf5d7d2a1bc51d753fecf97244464a2</t>
  </si>
  <si>
    <t>ce4ef2a93a49e822821eb2038540a6d3</t>
  </si>
  <si>
    <t>562eec4ba9b07078010e6d03345f031f</t>
  </si>
  <si>
    <t>0091e45c86dc2efef2743c810c61a3bb</t>
  </si>
  <si>
    <t>48c608a1f01cab11ed9cb892877b7c62</t>
  </si>
  <si>
    <t>d2f5a3d588f126cdc58997a0398ab960</t>
  </si>
  <si>
    <t>11350c3ae817005a8ecdeafbd48b75ae</t>
  </si>
  <si>
    <t>7e64ef4e0d891aed100893d4ba43bb15</t>
  </si>
  <si>
    <t>8ca8a42a9a8f1c60580ffacb121cce69</t>
  </si>
  <si>
    <t>370caceecffaa11d5c0fe2dfefa413c1</t>
  </si>
  <si>
    <t>73752e30dc460dabd746d6ebba649e19</t>
  </si>
  <si>
    <t>45a0104473e934a22cc04bdc1db8615b</t>
  </si>
  <si>
    <t>9874e7748b87210dab60a15f1757d02f</t>
  </si>
  <si>
    <t>c41986ac5ff94e0fabd00a41ec56e40d</t>
  </si>
  <si>
    <t>27c20a93c89bfd0336394f370163d43c</t>
  </si>
  <si>
    <t>fe11fd4030d827a13e7e5593851e0040</t>
  </si>
  <si>
    <t>65eb5db459959a46240c2d2335b70fae</t>
  </si>
  <si>
    <t>9146233d91b3462e4ad1919e70ba11f9</t>
  </si>
  <si>
    <t>e72d760a8952d3ae95a15f40cf8f56d3</t>
  </si>
  <si>
    <t>b9101847ce161df57c65b56b80771189</t>
  </si>
  <si>
    <t>0e5e839681f3afe608d1555c1c698efe</t>
  </si>
  <si>
    <t>f3314823b3e76de2f99ab14830e4e2e1</t>
  </si>
  <si>
    <t>7451a2adba8556c1dd74192afb81fb07</t>
  </si>
  <si>
    <t>70607a5baefe5608d76e9195017fc667</t>
  </si>
  <si>
    <t>eb8957cfa91a0992d3570d7fac93cb8e</t>
  </si>
  <si>
    <t>5c58445efcd5f7954e6beb87eec789c9</t>
  </si>
  <si>
    <t>86ce53990daffe15ddd6f30a41738ba7</t>
  </si>
  <si>
    <t>eef825caae0897b2eb1a665ce96fdef6</t>
  </si>
  <si>
    <t>d9ff4e5efa087c26ac440ffcf4ad83f9</t>
  </si>
  <si>
    <t>f7b49030b84b97848504c5f439564b69</t>
  </si>
  <si>
    <t>e64b501715515c69b555d5e27670a832</t>
  </si>
  <si>
    <t>becebedf1c232fd3fcd44dcd8c0ef821</t>
  </si>
  <si>
    <t>25851845bd6a3cbf79e4341c1f6baa59</t>
  </si>
  <si>
    <t>1e2da877e5d7479ab76792ffcead7a50</t>
  </si>
  <si>
    <t>d0f9bb33570e638d52fb559e5b50bc71</t>
  </si>
  <si>
    <t>20b7a02ba34a9e26c207f81c4422cf7e</t>
  </si>
  <si>
    <t>897a943c5bb9301dc4e1e6de217d17b0</t>
  </si>
  <si>
    <t>b9b993f4d1b942206120102f00b759fe</t>
  </si>
  <si>
    <t>45c04c3ce3edf82e8849d8b1f77debc4</t>
  </si>
  <si>
    <t>f8d14273189ea32081fd8c41ce65c89b</t>
  </si>
  <si>
    <t>9246bffe09c17934ccc7ad81a31111ec</t>
  </si>
  <si>
    <t>9fc0baa4d24c7eb0a4c171d49e174a3d</t>
  </si>
  <si>
    <t>0febd8884d4018ef0f494a74d24b63a3</t>
  </si>
  <si>
    <t>97084587768c3d424f01174c4c008d59</t>
  </si>
  <si>
    <t>b3f634f6e02425702178395dfe6f062a</t>
  </si>
  <si>
    <t>dacf1de88e7c80b43b3b23f39c1e8d0b</t>
  </si>
  <si>
    <t>b1fc0592b638f7319e1bc46972c04b1b</t>
  </si>
  <si>
    <t>45bb6f7fd156d0f5ed675304cf8a978a</t>
  </si>
  <si>
    <t>03c7f28e71151ecf37efa593de96aeaa</t>
  </si>
  <si>
    <t>9a985e5d14e44dc2c97d12877dd7cd8c</t>
  </si>
  <si>
    <t>f64053caa298ce3743d8852cb8510f55</t>
  </si>
  <si>
    <t>696f528c370cf145a481248a60ed85b5</t>
  </si>
  <si>
    <t>dd26cc89043f913c5441e3c88f2c26b6</t>
  </si>
  <si>
    <t>451fbb024d0794ffcda2258170740a1e</t>
  </si>
  <si>
    <t>2ba14bf3ef59ae42b0031005b2eea17c</t>
  </si>
  <si>
    <t>e76d0860a1123e0cbc3cd3ec02e3c31b</t>
  </si>
  <si>
    <t>4adef779a21771e0a5619a2157c8c22a</t>
  </si>
  <si>
    <t>3c12c84af346626dc2f1b77e52bb301e</t>
  </si>
  <si>
    <t>54f74e13fb751c8314219791024de62b</t>
  </si>
  <si>
    <t>fbd9a04c9613d31b12e072430c25ae90</t>
  </si>
  <si>
    <t>1060d2312d7844e40b99153c4d1a45ad</t>
  </si>
  <si>
    <t>4ae5a92484155bfad3c7629a192244fe</t>
  </si>
  <si>
    <t>a458815a2e9f6c8099390b770a7be4e2</t>
  </si>
  <si>
    <t>beb790dc500304731e458a80a44d4299</t>
  </si>
  <si>
    <t>f2f28358656f049dba5140a578e0f1d3</t>
  </si>
  <si>
    <t>386ab4223b463542f214d97a27247329</t>
  </si>
  <si>
    <t>02cf73a7e1fd4c345a7e759c951edd35</t>
  </si>
  <si>
    <t>5bb359283f79a2e477eefe535fedc9dc</t>
  </si>
  <si>
    <t>44c7d2e7b23eee739f61b49c659a25f5</t>
  </si>
  <si>
    <t>0dee07203418a72583e5dd79d66965ed</t>
  </si>
  <si>
    <t>7a1f2dc249381d68bc29e8e2f60c04de</t>
  </si>
  <si>
    <t>30bb20e13b018817fd47172ff321c685</t>
  </si>
  <si>
    <t>8a0d997c88054bf6ac6646d9b3c0a020</t>
  </si>
  <si>
    <t>e0e98d22f87057af6cf8eaed65f1ea55</t>
  </si>
  <si>
    <t>f0508452fedcf6e35a39ff5dc1b3e218</t>
  </si>
  <si>
    <t>38d5c9e6ea8ead1ba673e0212e1ee2fb</t>
  </si>
  <si>
    <t>eee683c03a8c960e1309ce1cb5523a1e</t>
  </si>
  <si>
    <t>670f33f3cfb5217bcf008786165f1dc7</t>
  </si>
  <si>
    <t>6f85adccb998c7a7840b3548fe19ffda</t>
  </si>
  <si>
    <t>1ed9b5733d23ac86bef5bcda662c56b6</t>
  </si>
  <si>
    <t>b0b75c3f654f444cd535f16487223151</t>
  </si>
  <si>
    <t>a81fd14f84d7df07fbc3c49bcd9e705f</t>
  </si>
  <si>
    <t>223b8a4bd884f01d8f1f94a8b0b1f97b</t>
  </si>
  <si>
    <t>bcf08b7e8f1f95a0ba5a8cd87a6c67d6</t>
  </si>
  <si>
    <t>a4fe3e4de8ad631acb028b271b1fc271</t>
  </si>
  <si>
    <t>917652aa518c7e4f75a9f41bbf03909e</t>
  </si>
  <si>
    <t>d1f60334a2e88e320f513b8d40d1b84e</t>
  </si>
  <si>
    <t>42ca5f08354583dcb39aa9ff31efa85b</t>
  </si>
  <si>
    <t>dbf60138c911308b0c99510ba80c36cc</t>
  </si>
  <si>
    <t>a24f9fefe9f752e7aa0351371d1f6e18</t>
  </si>
  <si>
    <t>803523d233c42a1fc11cc41033a7b76f</t>
  </si>
  <si>
    <t>48f80b634fc8d3d9ec00cb9f04956a6d</t>
  </si>
  <si>
    <t>0916f1db3e9e09d43a82ea0a0d88eb8c</t>
  </si>
  <si>
    <t>9e57be5389ed6ba4e95ec7bdd5ff9f2f</t>
  </si>
  <si>
    <t>f4a9a68e297332af20b8abf5c7321756</t>
  </si>
  <si>
    <t>36bddf5b1a3c2410ac9a49a4fbb22a07</t>
  </si>
  <si>
    <t>69f196a57f4b2b9d8b32e734f94c041c</t>
  </si>
  <si>
    <t>453de1f9372765b433aa4ba21106a377</t>
  </si>
  <si>
    <t>e67eecf0ca844bd510ca62420eb53769</t>
  </si>
  <si>
    <t>288a14ff0a8582fae832476950df486f</t>
  </si>
  <si>
    <t>13f4d2015796000f8216b3d4c488ea9f</t>
  </si>
  <si>
    <t>74aa30b06b0cf754dc3bd8ad62d3b19e</t>
  </si>
  <si>
    <t>e52ffcd4db3508737ab74289962af746</t>
  </si>
  <si>
    <t>c94494e0d50330ac0366a48520d08537</t>
  </si>
  <si>
    <t>ca9e2abfc4b54221804d727d207accb1</t>
  </si>
  <si>
    <t>8e1f60cfb4a7def895d8baf0eec1394e</t>
  </si>
  <si>
    <t>270e376d0cb0bc15ebfe8b2e1e338bef</t>
  </si>
  <si>
    <t>a1dc88a49b4e8487ec802e857d5de7d4</t>
  </si>
  <si>
    <t>0d786ca032d3de26beac81f7848f21bb</t>
  </si>
  <si>
    <t>fd00756a9a5295413342790f2cd6bae9</t>
  </si>
  <si>
    <t>9430142689f1e3004253e1d85c9aef57</t>
  </si>
  <si>
    <t>e49d2c5518a31bb355c3c558b310d891</t>
  </si>
  <si>
    <t>1abc4dd8e76bb2a9f79363d66d5d3f61</t>
  </si>
  <si>
    <t>2df813719b776c6b44523d72c6d31d45</t>
  </si>
  <si>
    <t>4d60a385a8f1a095e0999b065bc14bc8</t>
  </si>
  <si>
    <t>c8126ff04279310bed26167f226c67c0</t>
  </si>
  <si>
    <t>565b7e1332c5d26362dd2487ea625746</t>
  </si>
  <si>
    <t>ee4c60b6d9527af61af10a4c4c247d24</t>
  </si>
  <si>
    <t>d1d2b7387785026488d8ffeeea82fb8a</t>
  </si>
  <si>
    <t>109d211aa9d2aeb2bd9db5c6561ed68d</t>
  </si>
  <si>
    <t>f1ddf320f999ec237d93342fd176c667</t>
  </si>
  <si>
    <t>aae09b34cb6484fb8ead6e5aaacfde0b</t>
  </si>
  <si>
    <t>7dbf1a9148569d32830ae9c5a1acd40e</t>
  </si>
  <si>
    <t>194191c15060e323bb610faf147e1700</t>
  </si>
  <si>
    <t>3f00436e3415eabeafb77ba1fe5b6f87</t>
  </si>
  <si>
    <t>f191bee63afb73c64730435e063e61b1</t>
  </si>
  <si>
    <t>c5e28052b141b6bf37afd3b8356ffa32</t>
  </si>
  <si>
    <t>b4c7c814fe156fb44bac5948ab179f82</t>
  </si>
  <si>
    <t>7d35335f47d5d82b093aeee47a5b0a64</t>
  </si>
  <si>
    <t>e195c8d9639740a0e9118526e45d4389</t>
  </si>
  <si>
    <t>2e95ade370c3871fda51e03448bf1b20</t>
  </si>
  <si>
    <t>446a291b5674ca638ddfa8c596748875</t>
  </si>
  <si>
    <t>52a12674622f5d70124e38fe9fa8fcac</t>
  </si>
  <si>
    <t>d7facbd2b01e0596ed7115dbdc49df43</t>
  </si>
  <si>
    <t>61ae94caa4df330f8633334fa4cdc804</t>
  </si>
  <si>
    <t>dbb2f657507d0df59c4a0c2481f71134</t>
  </si>
  <si>
    <t>54ba329c7cf69f8cc79445f2cacd2dff</t>
  </si>
  <si>
    <t>7602980244b8793fb90d3bfb3bef1639</t>
  </si>
  <si>
    <t>27750161b72331d1b1cad81cf19f315b</t>
  </si>
  <si>
    <t>3e851d689e10f4b1b1385ce82cf0cd1f</t>
  </si>
  <si>
    <t>5679ae2329cbad78cdf97737d11bad06</t>
  </si>
  <si>
    <t>cbe674ba9bc1702bf55e91103db4a022</t>
  </si>
  <si>
    <t>a7f3f490c7f84e0169307b56f9f474f7</t>
  </si>
  <si>
    <t>3ad933a1f8e366828cbfc88b038fa41e</t>
  </si>
  <si>
    <t>d291ad2a5e01e7ffd844632afa3defda</t>
  </si>
  <si>
    <t>7714ab6ab1ea68593e80de97752745e8</t>
  </si>
  <si>
    <t>9ee2b9c532316ec51fae945b6b7b8cf8</t>
  </si>
  <si>
    <t>ae922cf52884c98814fdc2d6ea786719</t>
  </si>
  <si>
    <t>34547f7d214265ed715e40b7e2866272</t>
  </si>
  <si>
    <t>601970c3dd46aedab36f193c9b381065</t>
  </si>
  <si>
    <t>28aa9a7dc657760d51fc6f31b0de2b6c</t>
  </si>
  <si>
    <t>114785876eb0846158d3620567ae7398</t>
  </si>
  <si>
    <t>da67c5310469d8c3edabf91e7ee99471</t>
  </si>
  <si>
    <t>d763cdb506b75d273b864de2ed69058f</t>
  </si>
  <si>
    <t>7e0a79cfc141c8bfc8ee8247f40ce8cf</t>
  </si>
  <si>
    <t>7f2a1a95486cdfec15f637cd6a8a00bf</t>
  </si>
  <si>
    <t>2919eeb3c6714bf944f4332bdae5735a</t>
  </si>
  <si>
    <t>a0675cdf2f0553632cab932d02188333</t>
  </si>
  <si>
    <t>8b63b93bbe10e6712a7ecfc86c7c735e</t>
  </si>
  <si>
    <t>cd24c3cabd88307c9c9299817143ba5d</t>
  </si>
  <si>
    <t>41b9a741e2e7f60d61dc04c5c27e3724</t>
  </si>
  <si>
    <t>867b28af28629f14bcc0aa513c835fbb</t>
  </si>
  <si>
    <t>fd3b06f899e496c55baee2c0e1a460f3</t>
  </si>
  <si>
    <t>95b4738e0867cc64385b42e3cb13d3b6</t>
  </si>
  <si>
    <t>450f494136d806344675040a107518cd</t>
  </si>
  <si>
    <t>1b9f12a814847b47a21871a32ac4349d</t>
  </si>
  <si>
    <t>fcc1ab387e9247cd26c69dec1ef956f1</t>
  </si>
  <si>
    <t>abdcaa8e62fa9a0e2e86a0564d11bde4</t>
  </si>
  <si>
    <t>7f15535c7ed441352a52758452d82f18</t>
  </si>
  <si>
    <t>02b29213efb13cf2c1e08537498a5e2f</t>
  </si>
  <si>
    <t>615ee85103d4287b7d8ee9bb886d2f15</t>
  </si>
  <si>
    <t>7c8616cf86f6ca71e8189ff8d544d5ac</t>
  </si>
  <si>
    <t>280110c28d6040b59edcb4b1b9fdf71c</t>
  </si>
  <si>
    <t>c724bedfba9b4aeb92b446fbb6baf31c</t>
  </si>
  <si>
    <t>2ffe5ae29bb6b60145835654b541b443</t>
  </si>
  <si>
    <t>538e490f6a73108a40ea757734a00b95</t>
  </si>
  <si>
    <t>c885743821cce93ad525c5919aa9faa9</t>
  </si>
  <si>
    <t>c2998fc7e9fb8ddc9d1089051305fddd</t>
  </si>
  <si>
    <t>b56669fbdab303dea8afe5483fe4c3ad</t>
  </si>
  <si>
    <t>3af9c18dfa6098d8ec01d3bebcd7a956</t>
  </si>
  <si>
    <t>63f3b385141b5cb91d2ea1f058384f06</t>
  </si>
  <si>
    <t>dabae0ad17c002ae7a711aca44636260</t>
  </si>
  <si>
    <t>2d321b74176afd496ffdd4240de35f97</t>
  </si>
  <si>
    <t>7e6cf3f0d96826a32b9ae0f49f5d3780</t>
  </si>
  <si>
    <t>ba0c381a53d4575d96bf70873edc52a4</t>
  </si>
  <si>
    <t>33d93d27f43d86b4a7e89186936d8c6c</t>
  </si>
  <si>
    <t>3cff8e6cde4b5c40f89aced3769e6215</t>
  </si>
  <si>
    <t>4fa302c679e1aa216f3c5163c487a2cb</t>
  </si>
  <si>
    <t>f619679ba92005bcb5c0d31e77fe4055</t>
  </si>
  <si>
    <t>b893c8c2eaa339c705d03677f0a184a0</t>
  </si>
  <si>
    <t>3b806ea25d00afb9a43874b68042e62a</t>
  </si>
  <si>
    <t>7fdfbdb466640e43e4da51b6295e2bf2</t>
  </si>
  <si>
    <t>731c6152f1bcd7ffa2a7a9ffc9d555ca</t>
  </si>
  <si>
    <t>2eb6c7a030d336aa15486f40154049a4</t>
  </si>
  <si>
    <t>59aee406105cd10e79b22ee05173ead7</t>
  </si>
  <si>
    <t>9c153a8ea88deab857daff598e62bcf8</t>
  </si>
  <si>
    <t>0bbeb62dd6ee2b168c92a84bacfb2040</t>
  </si>
  <si>
    <t>149878f8f96bf77a1a69f88519a8fe99</t>
  </si>
  <si>
    <t>bc060de03aa94c7edf5e6b4f1755c1f0</t>
  </si>
  <si>
    <t>42cae009aa36f970c223de2959268e5a</t>
  </si>
  <si>
    <t>5572975b6c55e23bb68391acaa8ca141</t>
  </si>
  <si>
    <t>1613d4862f2a54d215d260b5080a0289</t>
  </si>
  <si>
    <t>fbe5e0c28bacadd7d2a741b9dba27e6b</t>
  </si>
  <si>
    <t>6505e8a0c0e1a90d8da8879e49a437f0</t>
  </si>
  <si>
    <t>e61b6944181963814cecc684432bb512</t>
  </si>
  <si>
    <t>b1e895366dfa5d6a2b31a21ecfc5efe3</t>
  </si>
  <si>
    <t>72b88a3d3980100f04f225a780c2dc20</t>
  </si>
  <si>
    <t>1d40146c766379675bb19be6c641a5f9</t>
  </si>
  <si>
    <t>73bf1ef5ec2267ff8d02a8048adf3e79</t>
  </si>
  <si>
    <t>2d968cb99817ea5e49f4bcb70f7f154a</t>
  </si>
  <si>
    <t>28fcea06661f13ebe9c87327f949f3a8</t>
  </si>
  <si>
    <t>16da233fed78660c0a49fe947c7585a2</t>
  </si>
  <si>
    <t>b9f081c9e97e49e170511f498f4693f5</t>
  </si>
  <si>
    <t>59b6b45880d0169d22da3c35b4f716db</t>
  </si>
  <si>
    <t>3a68abc388606a36771c8c8b8bf64129</t>
  </si>
  <si>
    <t>cf4012623d75c1e1f73eef47b4ec918d</t>
  </si>
  <si>
    <t>4b8e69697ca282927b31516ba968a297</t>
  </si>
  <si>
    <t>b03625c7a437a32ba45832b8e81c4271</t>
  </si>
  <si>
    <t>dc682fe74bcd4780c8b5592a127f7813</t>
  </si>
  <si>
    <t>1d10c65b774172bd62b8b1dae15b8fd8</t>
  </si>
  <si>
    <t>58c07bd222183a648f687888daf96733</t>
  </si>
  <si>
    <t>fa1ecbb29c36a80120fa7bba7191f1b8</t>
  </si>
  <si>
    <t>9e49c72b76b91efc504292d0225e16c3</t>
  </si>
  <si>
    <t>515b37a5bb29c8ea5c7d919139b22971</t>
  </si>
  <si>
    <t>6aa7ed58002a17aa719e565537c1006c</t>
  </si>
  <si>
    <t>046637588961a84922c89105d922b288</t>
  </si>
  <si>
    <t>3c3961f8fc1f905eb7d2a9d96cd84298</t>
  </si>
  <si>
    <t>e368c94c4062c8f13b8ad88c68469b55</t>
  </si>
  <si>
    <t>0bf330ad68b59cf49006f7c8be6c9b1b</t>
  </si>
  <si>
    <t>b2f1234b9a029e7a40211c6b4773c5bd</t>
  </si>
  <si>
    <t>7539b289b6d61e964f60a8a6e9311bde</t>
  </si>
  <si>
    <t>ed5dbdd2da9881c10dc1a37f4472042f</t>
  </si>
  <si>
    <t>73eefa6445cf4f4e8eb4b7194575e1e4</t>
  </si>
  <si>
    <t>c70bb5cfd0305c9d18312d92f820c321</t>
  </si>
  <si>
    <t>4a850ecfb32efa4f6e894ed5b631d445</t>
  </si>
  <si>
    <t>20c99c680bff19bd1d0925e3aeb26f86</t>
  </si>
  <si>
    <t>f5e9e329e1bc1ae7c49d22cef556e797</t>
  </si>
  <si>
    <t>777d507edf29d82605c3f695407c681f</t>
  </si>
  <si>
    <t>4aff4e2601625effb12ca78354f06d18</t>
  </si>
  <si>
    <t>3af7e700968700884b9da655b280a267</t>
  </si>
  <si>
    <t>13bfa3b0c77bec4598bc7fe923d12972</t>
  </si>
  <si>
    <t>f3296629e5e4964de099e204626f32fd</t>
  </si>
  <si>
    <t>d8a14bb9ac08a36af5e3221b224966ba</t>
  </si>
  <si>
    <t>80cfbf53d537457298be2f3ffc1831d0</t>
  </si>
  <si>
    <t>297fbe6be1631f492c1783ce8db54a6e</t>
  </si>
  <si>
    <t>f7464066678a4b2b73cd89da6c7c161c</t>
  </si>
  <si>
    <t>4ee285c12ef11f247df48292946aea6d</t>
  </si>
  <si>
    <t>169c542306442d8ef169c0761d661257</t>
  </si>
  <si>
    <t>26c8106f0f28bd50208678b59c7f722d</t>
  </si>
  <si>
    <t>9eca6659a8b78c13386f85bb3fbb70a2</t>
  </si>
  <si>
    <t>180933be379609eaf8430b56c790acda</t>
  </si>
  <si>
    <t>aca7c9e7a20ed3b97148e7e099e76d02</t>
  </si>
  <si>
    <t>d2404acc0827133844e0a3c396af3dd0</t>
  </si>
  <si>
    <t>3a55a38f5f96deb7a6064d9dac177151</t>
  </si>
  <si>
    <t>6078c5a808c1d1fab2096fad001f4d0d</t>
  </si>
  <si>
    <t>279aa7d7fd021560f07070295c4cb888</t>
  </si>
  <si>
    <t>45c8951d7a63d3827f1d45d2ac103dfd</t>
  </si>
  <si>
    <t>c37cc97f8ce18a041b73ae6a749c55a0</t>
  </si>
  <si>
    <t>64346f3fd75112f55f90dbb6b766c3a8</t>
  </si>
  <si>
    <t>c84b270aa5893770d53468e5ccd5d512</t>
  </si>
  <si>
    <t>d52e1bd0f9d78d2709b4bc78c7e0f5a2</t>
  </si>
  <si>
    <t>070659cee3540cd84a4ca2eabd2a694c</t>
  </si>
  <si>
    <t>ae5a48893b0ff60134096f2f4c9f7db2</t>
  </si>
  <si>
    <t>990c47be825204a64cfe2c32db046120</t>
  </si>
  <si>
    <t>376d16bcfb665a865b9c932ebb072894</t>
  </si>
  <si>
    <t>319d3166ea5c551f99dd475924788d9a</t>
  </si>
  <si>
    <t>98eac8c94409e17058b6e89bfa4b2626</t>
  </si>
  <si>
    <t>e008edf12132e41485fc702ed94c5943</t>
  </si>
  <si>
    <t>8a56411e564e1b19f84c7481ef68b41a</t>
  </si>
  <si>
    <t>cab49b7c26182e5279f969f606792866</t>
  </si>
  <si>
    <t>f5808c97283bb6284cd9a5c57a63dfdc</t>
  </si>
  <si>
    <t>f9e2270a84c5a14c77836f5ed85d24a8</t>
  </si>
  <si>
    <t>d788c46ad6a6c020b5062c1a99f55b2c</t>
  </si>
  <si>
    <t>ec698d146655a805d3cef1c607f9d035</t>
  </si>
  <si>
    <t>e34e51889b063b3158e587de76dd4129</t>
  </si>
  <si>
    <t>f86e80e20c504f532b6664fcb25c7dbb</t>
  </si>
  <si>
    <t>8010af36c42039baae15e6a510e8d1de</t>
  </si>
  <si>
    <t>2fdf6e16e6c71d85fa8e12e367201909</t>
  </si>
  <si>
    <t>aa6c941b72ed890d9c43511f94bafab2</t>
  </si>
  <si>
    <t>5678529e43a5a6c284845228a97db3f5</t>
  </si>
  <si>
    <t>4b98e90ba839623e88d5b3d6dce56562</t>
  </si>
  <si>
    <t>c5b3da73adacd81b5962e60b6b987e52</t>
  </si>
  <si>
    <t>284605b7526f241d24b2543bb5b0cfdc</t>
  </si>
  <si>
    <t>37836091f56fa1178678c1cad54e775c</t>
  </si>
  <si>
    <t>be7459c5ae1f843bc8ec135f3dbf22dd</t>
  </si>
  <si>
    <t>aeeb1da8efc046ce13c5157ff4d0c1e6</t>
  </si>
  <si>
    <t>a85e8c31c51cc06e0b9abc2076abe38c</t>
  </si>
  <si>
    <t>2b1f292723cc6f4ca4761f8710141cbb</t>
  </si>
  <si>
    <t>365c8db9da5e64912ea81fa4332b170a</t>
  </si>
  <si>
    <t>6107eb48aa5ee13a438f2c0e903de38a</t>
  </si>
  <si>
    <t>ba69c18752ba976646ab3002adf2a116</t>
  </si>
  <si>
    <t>08457b5ff06564481f2455c1adad6fd5</t>
  </si>
  <si>
    <t>95430bfbaaa74b4b18b28b0ba10b4b39</t>
  </si>
  <si>
    <t>01df78d65072e655cdc1a6f1c46432ac</t>
  </si>
  <si>
    <t>17fb38b64f9f6f9f2d1bc004b3e3e59c</t>
  </si>
  <si>
    <t>dc8d4ea197cff803ceb8a1926a733a1a</t>
  </si>
  <si>
    <t>a7c1543e35a5fbc383363e39ccb7701d</t>
  </si>
  <si>
    <t>b8b687939c2ff82c6cc395c7de783262</t>
  </si>
  <si>
    <t>65d449141c5c218eaa405110a08f0cc0</t>
  </si>
  <si>
    <t>83672563a735a0e086c45ca392adf13f</t>
  </si>
  <si>
    <t>8688cb7c76fc1bd40704ac69becb564b</t>
  </si>
  <si>
    <t>589571eb2abb82ce6ab1a954d9b1a08c</t>
  </si>
  <si>
    <t>d52545a1ce8ce8282dbce0a06536ddec</t>
  </si>
  <si>
    <t>13aa4b97741ab666f4cccdf5b44ad772</t>
  </si>
  <si>
    <t>158223cf1707f7e6dd5cd3a0d64f89f3</t>
  </si>
  <si>
    <t>c98e7eb508ad306c40cc4d7773a3a69a</t>
  </si>
  <si>
    <t>107dd95cbdbd492c7f55e7128eaebce5</t>
  </si>
  <si>
    <t>b0a86041b9e3d8fa343441e899557fd7</t>
  </si>
  <si>
    <t>8c30a9c43fd59ad62ec0d4255a73a594</t>
  </si>
  <si>
    <t>1c19071a49fd2b43d0d4df3ff05c19c4</t>
  </si>
  <si>
    <t>776b55b5ec8eda392aec950f51b2e1ec</t>
  </si>
  <si>
    <t>88b60db46229bc2e21574705df09a08b</t>
  </si>
  <si>
    <t>ca2cd580bff13775c778f128c7db2b41</t>
  </si>
  <si>
    <t>3c184dcd417be3257ecc68d4c195b463</t>
  </si>
  <si>
    <t>4eb3daf007ac19628896be4312a370f4</t>
  </si>
  <si>
    <t>d02a0679e1ed95b5961f798794c6f54a</t>
  </si>
  <si>
    <t>21a499f4402f59364b11fbcdcf1da269</t>
  </si>
  <si>
    <t>1268adfb5db8c00c75b37961e8a9b787</t>
  </si>
  <si>
    <t>cc357e38cb35b97eac4bf587c3341b3c</t>
  </si>
  <si>
    <t>22242fffb164c888879c3513a550427b</t>
  </si>
  <si>
    <t>5c2ef9d8092bde26ff170b873741ba15</t>
  </si>
  <si>
    <t>eeb09655187345d8cec4b994779d02e2</t>
  </si>
  <si>
    <t>715d91778d743b59134e3cab3b0ffb1d</t>
  </si>
  <si>
    <t>96cb629cbc300804537276a93ef0e7f2</t>
  </si>
  <si>
    <t>aa1c251b60472e18e33ecdeaf84dd867</t>
  </si>
  <si>
    <t>740db62814c09f5f0f6e781e915b15ac</t>
  </si>
  <si>
    <t>ce651728d53387a4dc56052bc6d035dd</t>
  </si>
  <si>
    <t>0ff5e6749c211dec8c7509b33ee8a698</t>
  </si>
  <si>
    <t>df0d020fc9a3e0bafef47e229b498ba5</t>
  </si>
  <si>
    <t>8497a1cc70f42de1ab3d4ed57d54ff83</t>
  </si>
  <si>
    <t>6de138653a359bbbc1d392d52fa333e6</t>
  </si>
  <si>
    <t>20e06ccf8995288d032238847b531adb</t>
  </si>
  <si>
    <t>ab62bfb723e1c716bbb98005b47df372</t>
  </si>
  <si>
    <t>e28d0039d7a780948b4c5b8400671f94</t>
  </si>
  <si>
    <t>5342a9e3497ac934ce6a4e62086cfcca</t>
  </si>
  <si>
    <t>89922c835b50167ccb792746cb8b1d34</t>
  </si>
  <si>
    <t>eecb123d97c7bcdacb57163d01b01055</t>
  </si>
  <si>
    <t>499d9afe5b4f88f2585fbff224d8c0f5</t>
  </si>
  <si>
    <t>6709b9b30a5de8dedc4c345249c2076e</t>
  </si>
  <si>
    <t>8f7a73fe6b9682ff2ad7400c0744a043</t>
  </si>
  <si>
    <t>6ffd0a7e2060229ac8e4b94807767abe</t>
  </si>
  <si>
    <t>480d0c9cb2cc4ac70a9a55cfab1118c8</t>
  </si>
  <si>
    <t>3c46fdd071e979b10c7a2ccc395e72f0</t>
  </si>
  <si>
    <t>19ffc09943f1dffb251cef5a0b71c183</t>
  </si>
  <si>
    <t>3b0399840bb107f5895b874334708610</t>
  </si>
  <si>
    <t>a05f9cec1aa039d415da43958c85af8e</t>
  </si>
  <si>
    <t>18a6f803b524a418072e40aca987971a</t>
  </si>
  <si>
    <t>db9ac3a65676e73044ba7e4cecf5f665</t>
  </si>
  <si>
    <t>c30671584190a925103ec62a394de6ad</t>
  </si>
  <si>
    <t>9804911810c0dd6d53af460e8ef34811</t>
  </si>
  <si>
    <t>cf9ad2ca65265e31795644dfe32958db</t>
  </si>
  <si>
    <t>57cc530f74e4507c2c21808dfb840ae4</t>
  </si>
  <si>
    <t>899f8a1e3c79738fa39712ca986c88e7</t>
  </si>
  <si>
    <t>18d30de5260b28e09faee73740f523d2</t>
  </si>
  <si>
    <t>2096a1e3206c02898f4cb287fbeac1cd</t>
  </si>
  <si>
    <t>b478e76e6a84df66dc6e89d7b03ac7dd</t>
  </si>
  <si>
    <t>4b56f7c0493648c3c0870c4e3edabd3a</t>
  </si>
  <si>
    <t>1f8979c25882c2299311cd761870aecf</t>
  </si>
  <si>
    <t>2231ab96ce86ba795cd299682c4170d8</t>
  </si>
  <si>
    <t>b325ce2830a0a1538031152d9e5ce1b5</t>
  </si>
  <si>
    <t>4be7cee3530ff65c6ca9d86119b50716</t>
  </si>
  <si>
    <t>040cea6d24ed05b83f0db871f6794b61</t>
  </si>
  <si>
    <t>efb02112a854f238b26fc03996342d96</t>
  </si>
  <si>
    <t>248e0936054f0ff1fa6135969174f162</t>
  </si>
  <si>
    <t>c17f34697eff61933db1f1b27045649c</t>
  </si>
  <si>
    <t>a451ee22deede109dbb5b96fd7aae4e8</t>
  </si>
  <si>
    <t>971dc6073a2e2440bc0c4a0fe51ba2a4</t>
  </si>
  <si>
    <t>3466b68ad54d3cfece81d60afe179a36</t>
  </si>
  <si>
    <t>047973d4ae66ca988048b8eb53788ead</t>
  </si>
  <si>
    <t>c3570da56db1511167324d0f5d0c8dfa</t>
  </si>
  <si>
    <t>630a1e2b96fd0b0216e3a30b53eaa6c7</t>
  </si>
  <si>
    <t>32364276cb2f62e1e492f15ca557159c</t>
  </si>
  <si>
    <t>20fb03bff718adc3da15d5abf8a3e573</t>
  </si>
  <si>
    <t>7c1d29f0df3a9eba77951cd8222b08a0</t>
  </si>
  <si>
    <t>1b7b2f2e63a4aee4d9a766abdd911efb</t>
  </si>
  <si>
    <t>ebcd0fb1c44b0ed07842254daec4c3cc</t>
  </si>
  <si>
    <t>1c195f62b31f99d41ec618e21786719b</t>
  </si>
  <si>
    <t>dc17d9b4862d86f8054735577c04462a</t>
  </si>
  <si>
    <t>8ab9523c37d8f410f7f35e270ce14369</t>
  </si>
  <si>
    <t>38addfd5b0598e69bfa843b9c85c9a19</t>
  </si>
  <si>
    <t>77c33d0fb152118e33778d34ae8a0473</t>
  </si>
  <si>
    <t>1bdde90ebfdef547440410e79b1877bf</t>
  </si>
  <si>
    <t>2f93f3e672327c71ba76c43d93a9b2c5</t>
  </si>
  <si>
    <t>6107f0a7614917c3c78a74ebe45f00ca</t>
  </si>
  <si>
    <t>79bd2e9fd8400fb610d59e4f0e1019f3</t>
  </si>
  <si>
    <t>e0d04159c4304a1f2a5e191f551f3a94</t>
  </si>
  <si>
    <t>f8b1611e1174171fdb36e05f664b7e3a</t>
  </si>
  <si>
    <t>95a4c08b069b1c01250ffeda1f8e7f7b</t>
  </si>
  <si>
    <t>294ce16d2b3c2186a805f26aa8de3ebc</t>
  </si>
  <si>
    <t>6857dca1dac34cbfd8e34777a63bc394</t>
  </si>
  <si>
    <t>a9a80dd485d4058159acd75553f0d2f2</t>
  </si>
  <si>
    <t>f5a96340894b4583c7365b639e33d52f</t>
  </si>
  <si>
    <t>5eca46e40da5b91af0922aaf4bc32583</t>
  </si>
  <si>
    <t>8be61bb4942454f1fce2c9ff38c40ec3</t>
  </si>
  <si>
    <t>d4101d82258e55566374438d8df8be0c</t>
  </si>
  <si>
    <t>2eef67b0201d6efda363726dc4588070</t>
  </si>
  <si>
    <t>1c7fc92b4e56daf8abebce1c429e0d5a</t>
  </si>
  <si>
    <t>35c13118f5be908c0dcca1464bd9106e</t>
  </si>
  <si>
    <t>a5676171b00e004f5956b7933de18b0d</t>
  </si>
  <si>
    <t>b55d7ce2adb9449fc4dae6115cbbe30f</t>
  </si>
  <si>
    <t>f5a1d0cc197cca41eaa5035bbffd4841</t>
  </si>
  <si>
    <t>67215f7bc6c2a85df0711d66d514a3d9</t>
  </si>
  <si>
    <t>cded3aaf29d4f966ac4207eeaa15dcfc</t>
  </si>
  <si>
    <t>6afb45b1fa88e49d68d1ed2c3481a36a</t>
  </si>
  <si>
    <t>36ed6e6ed1415bdbbb65d53883df06b5</t>
  </si>
  <si>
    <t>b17e796ecb7ca0a99d52a19390bcfc61</t>
  </si>
  <si>
    <t>0ff768b9aec0057b915265fb8fccbe3a</t>
  </si>
  <si>
    <t>251081321995fc4185d55a5d3e788e39</t>
  </si>
  <si>
    <t>0fea2b3318abff2a4caa04545ada33d9</t>
  </si>
  <si>
    <t>816db1628e55697e86b63406750fff4a</t>
  </si>
  <si>
    <t>39a1defee57f7841d42d24a41918815b</t>
  </si>
  <si>
    <t>2a0231d2d461c00f311124486fc4d8f8</t>
  </si>
  <si>
    <t>59453fa0bebefbd119f74f689486c243</t>
  </si>
  <si>
    <t>30841bea013ba7357328165089fd6b47</t>
  </si>
  <si>
    <t>817de051c6314c5bd351084d5296f2e7</t>
  </si>
  <si>
    <t>981d34514a093fa94b6d484867e14fac</t>
  </si>
  <si>
    <t>81beb0c897b55ba7bc4d35105d2aaa62</t>
  </si>
  <si>
    <t>666ea6cdce817ac66f83e17f0229b4d7</t>
  </si>
  <si>
    <t>4d9687c66adadc63934f5102bf079d74</t>
  </si>
  <si>
    <t>dbd456d85889141a5bca8a0b51abcd7a</t>
  </si>
  <si>
    <t>55e643e737da20b912037cce912305fb</t>
  </si>
  <si>
    <t>4cc79b05efacf681d3c957b92ec08ac2</t>
  </si>
  <si>
    <t>3a54be65ff15989e0d1bd75d5d18544a</t>
  </si>
  <si>
    <t>5d347461fef2060cacfa445eb828b790</t>
  </si>
  <si>
    <t>7effc8914773ffc145f87c2da63fade2</t>
  </si>
  <si>
    <t>5973aed4c6276ad73571909e779e56cc</t>
  </si>
  <si>
    <t>9fed52a60e3217e5d188b53add56278a</t>
  </si>
  <si>
    <t>74992087b6b1542bd4e45082d671a6ab</t>
  </si>
  <si>
    <t>eade5febf80213b6310d1b17bafc98ff</t>
  </si>
  <si>
    <t>9a10ba00bcdf929df950b6e1eae1994e</t>
  </si>
  <si>
    <t>3c091577be6349ed5429131fe38513eb</t>
  </si>
  <si>
    <t>f4d6f152ec84baf228eb36bf424a6aa1</t>
  </si>
  <si>
    <t>1a5bcb251f149deea7fcb58c63e6885b</t>
  </si>
  <si>
    <t>721d2344f7d2bfbe7a90c257f8d961df</t>
  </si>
  <si>
    <t>1d83f02bfc05b6715ef428ee0ccd78be</t>
  </si>
  <si>
    <t>14b5caec7ac6a9609e748d56a17c174b</t>
  </si>
  <si>
    <t>7fe79c97dac8df04ef7f328137ffdec8</t>
  </si>
  <si>
    <t>ed01e572aa3ed64fe279b2d56b144e42</t>
  </si>
  <si>
    <t>c8232bbc7ca19516fa77f94da4af98e9</t>
  </si>
  <si>
    <t>c13f724567246c6aba1da13e2eb69230</t>
  </si>
  <si>
    <t>0eaf0f796b918b4c9c7eec8cc4a9e0cb</t>
  </si>
  <si>
    <t>9fd10588a886cac5909755e5c69535cb</t>
  </si>
  <si>
    <t>c48ec6112a8e66ac6e211fd95210b551</t>
  </si>
  <si>
    <t>319fd8c45a08ab006ad64523becfa651</t>
  </si>
  <si>
    <t>b8f5a378adbebec3b6fb49840d4adb21</t>
  </si>
  <si>
    <t>0bbf479bf2780e276ffca0dfe4583aa4</t>
  </si>
  <si>
    <t>5f0238da3ebf4fbc26baeaa644331de5</t>
  </si>
  <si>
    <t>9c18e0234c3ef3417ccd511f41ad71d8</t>
  </si>
  <si>
    <t>83fb61eb103000456b0acbfa36c60ea8</t>
  </si>
  <si>
    <t>39de933d24421bb8c259b569451e20a5</t>
  </si>
  <si>
    <t>239221bec2543757132d37b66dfee507</t>
  </si>
  <si>
    <t>16ecd261ac5088aee91078bf5225abd9</t>
  </si>
  <si>
    <t>f20c652e99dfc36133bdf9f2bc4af283</t>
  </si>
  <si>
    <t>d52cb244fe49f0d4928d571932510772</t>
  </si>
  <si>
    <t>01705df5db71738be54c3a7969eb8390</t>
  </si>
  <si>
    <t>a3badea6c13ec771afd94ff9a23236e3</t>
  </si>
  <si>
    <t>c8d7b5ac22b15ae22e689d1227db8d96</t>
  </si>
  <si>
    <t>633fc6b4e99c858a5e31dae8b4cf70cf</t>
  </si>
  <si>
    <t>b565accf0eb5014ea306fc7b1deef0e5</t>
  </si>
  <si>
    <t>aacc572e940c398be54447f8f5c1568a</t>
  </si>
  <si>
    <t>75189197f1edfc7d60d2aa4f0abf02a4</t>
  </si>
  <si>
    <t>84bc271ba306332e0c86fa65a23a7c84</t>
  </si>
  <si>
    <t>1a79b49f4029af527d527becc49c0c07</t>
  </si>
  <si>
    <t>9bb170d5a0adf8a2da13f042b4cffcab</t>
  </si>
  <si>
    <t>dda2dd734c4c0462ae1c37edd01d5bcd</t>
  </si>
  <si>
    <t>9e63b0ebcbda33b9c833f3ce0ef7f1ca</t>
  </si>
  <si>
    <t>46bbd1ad032b44f18f1fb613200965a0</t>
  </si>
  <si>
    <t>c4ba6775e8258a19bc5b83859a26d6f3</t>
  </si>
  <si>
    <t>b0b5f5e1f8f548bbe5fafc4d06a3d527</t>
  </si>
  <si>
    <t>cbac44f25cc867a81e7ec47ab95bbbf3</t>
  </si>
  <si>
    <t>bec6ae957f33a68725a02c625838a376</t>
  </si>
  <si>
    <t>b844e481df2e5987e9f1a31c6642a2c4</t>
  </si>
  <si>
    <t>78cb63acd2888606f925551760b69f54</t>
  </si>
  <si>
    <t>4f828f34eab2d78b161b5c097b645a38</t>
  </si>
  <si>
    <t>093d559928d57fc466488f5176506e29</t>
  </si>
  <si>
    <t>c2ad3ba220066148c8f08d2caa94bf1f</t>
  </si>
  <si>
    <t>61a44cb2d2dd2ca95103ef78b92121da</t>
  </si>
  <si>
    <t>4fb5dff6497d084597b3f94687c12fe8</t>
  </si>
  <si>
    <t>b88d1a4d8194f43a664ab37ba3d65461</t>
  </si>
  <si>
    <t>2ef4ebb167746897c151f0bed46d1994</t>
  </si>
  <si>
    <t>953d35bc03312bebdb597aa131ec3dd3</t>
  </si>
  <si>
    <t>99fb2c00a7924d2152227c0d60112947</t>
  </si>
  <si>
    <t>1f7f61828a697b28059f813c0f512154</t>
  </si>
  <si>
    <t>0ff5688b0935206594266ed9ba87e8e4</t>
  </si>
  <si>
    <t>6df0ee5c598338f088fcc8059ddb2e32</t>
  </si>
  <si>
    <t>2580aff5ea35fe4b1b4b0dd66bb22c65</t>
  </si>
  <si>
    <t>fd31e5cd85f0ec42b569b55b0b165d84</t>
  </si>
  <si>
    <t>2d821f9d210b3b0ec98f18bf84253c0f</t>
  </si>
  <si>
    <t>04be1d502cd2e61174e72d9ad6116639</t>
  </si>
  <si>
    <t>a8440eb8255de1b6ca1a13b7a6c351ea</t>
  </si>
  <si>
    <t>1853414c691b3e17ad1a14b23dfb9598</t>
  </si>
  <si>
    <t>d01016b522179c23b1a4830a85a8c1a3</t>
  </si>
  <si>
    <t>37286bc401299e97a564f6b42792eb6d</t>
  </si>
  <si>
    <t>10ce338ed92845fa2d7e3188b61b50ba</t>
  </si>
  <si>
    <t>c6dd57cb9806eadc9f7915a90d91aa92</t>
  </si>
  <si>
    <t>192541804394679421f61ac9f8b8c194</t>
  </si>
  <si>
    <t>4daf3131a3b73237edccfc5c6acbd7ad</t>
  </si>
  <si>
    <t>116e85430a46d31adf94aab13aa7f187</t>
  </si>
  <si>
    <t>da3d1c04a0f5d78302f0db830fdcb4da</t>
  </si>
  <si>
    <t>97ce84b684875fd93dd134c18099ade9</t>
  </si>
  <si>
    <t>8c8da6cfc8dd7cf27862c09d9c803cfc</t>
  </si>
  <si>
    <t>335ebb59c2d4bc89cef80c692c9a10b7</t>
  </si>
  <si>
    <t>f85e4bf0e34f3ee66add56229845e4db</t>
  </si>
  <si>
    <t>a0851c2a81f3b106242e08d54365233d</t>
  </si>
  <si>
    <t>8925f4bfc315c47adfcca80a74581f4b</t>
  </si>
  <si>
    <t>4056cba83ccdca089bb5565e4b64680f</t>
  </si>
  <si>
    <t>807a284ada14944ff3095585658a03ae</t>
  </si>
  <si>
    <t>4077e51c9161eba27b433da8a62bd9cd</t>
  </si>
  <si>
    <t>03114c0c3fae310726281dd79793bcc3</t>
  </si>
  <si>
    <t>bf7e527b0c579691ec93e1a1066fa18f</t>
  </si>
  <si>
    <t>992e801c9b969f93e54fb91fcca305f8</t>
  </si>
  <si>
    <t>401013266745e5661589292315434968</t>
  </si>
  <si>
    <t>1571d58519c49044fe800d2346e81aae</t>
  </si>
  <si>
    <t>54ba2d06c11229826ca8143a2933df73</t>
  </si>
  <si>
    <t>240f73d926897aea1692eac5c5bd3cd6</t>
  </si>
  <si>
    <t>a89c6a322a673042d64937409ad0d287</t>
  </si>
  <si>
    <t>3fdf5b1f75b97ecec8c0e7c5dee739f6</t>
  </si>
  <si>
    <t>2aae855e4fce821396110897f2513c60</t>
  </si>
  <si>
    <t>ebd9cedc5ac9828d71c03c72377a0992</t>
  </si>
  <si>
    <t>08f966f051116fbae0de3356816aac80</t>
  </si>
  <si>
    <t>a0d5b283cb5fc43b41097fc63ce92b17</t>
  </si>
  <si>
    <t>cb57ba36db3faf9723fcfeade897b7fb</t>
  </si>
  <si>
    <t>309d426f91033fccd9d0808809f3b50d</t>
  </si>
  <si>
    <t>f022ec5e8e9dc392c8ace87bdcc89ecb</t>
  </si>
  <si>
    <t>6ee0b1c15b0c6533d73b00d403baa864</t>
  </si>
  <si>
    <t>a40214bd3a777dc2d496e989bc520f98</t>
  </si>
  <si>
    <t>8191dd9a092c97bf36d5f6741cf533ad</t>
  </si>
  <si>
    <t>d9d78a37e125771a47795f73833ae66c</t>
  </si>
  <si>
    <t>86a745896c397a2f6484fcd9f8c6b2c0</t>
  </si>
  <si>
    <t>c46269770def083aca28a5ad93d79e18</t>
  </si>
  <si>
    <t>7da2a111a3dcb315e625bd2fc4ea2393</t>
  </si>
  <si>
    <t>d9491a49890bfd7b08a07840795f98f2</t>
  </si>
  <si>
    <t>6dd0ef38856fd5fb21aed5223aea9e66</t>
  </si>
  <si>
    <t>73b4eba4a389d8ec601275a1a8012e14</t>
  </si>
  <si>
    <t>ab7b16c8e516ee2bd53b37ba5779dfc2</t>
  </si>
  <si>
    <t>54ed85e7af8edc78637654cb4a89040e</t>
  </si>
  <si>
    <t>f9f0cd50df8a94019fc0391c61b96f3b</t>
  </si>
  <si>
    <t>498a0fe7d23bd74df53800a9719abf7e</t>
  </si>
  <si>
    <t>f819f4ad5ee255b25df6d5418b8f9f6a</t>
  </si>
  <si>
    <t>b3df435f52be5287d9ace3b28e2dcac9</t>
  </si>
  <si>
    <t>f888782cbdc8c8cad62044b2150782dc</t>
  </si>
  <si>
    <t>080b2f9dad64f7c8737a6b14cd90a6b7</t>
  </si>
  <si>
    <t>9d40c1970d3d8f7224664a8a6523c0ea</t>
  </si>
  <si>
    <t>4298f09989a95e881dd3c59e8e9adbe1</t>
  </si>
  <si>
    <t>422cf6c6f212dde0fa96c532de240104</t>
  </si>
  <si>
    <t>7209375983416cef4eb2d1007716ce7e</t>
  </si>
  <si>
    <t>fbf50efd552a22190e4e76d28f87b072</t>
  </si>
  <si>
    <t>6fef9896ea55b5fe1a342b38bb464c78</t>
  </si>
  <si>
    <t>07bfe49721e230f6699703eb9d4128d8</t>
  </si>
  <si>
    <t>7fc2e837c73d955ce1144ab2d5d765a7</t>
  </si>
  <si>
    <t>15b62ec17ab0e5a8fad19f1b6f84eaf4</t>
  </si>
  <si>
    <t>58df5c4f13e698517e6a9aa00e311f9a</t>
  </si>
  <si>
    <t>d111938e811c0ed7c4ee3e749b07b454</t>
  </si>
  <si>
    <t>286142eb41f5c745b97e5dd10782e008</t>
  </si>
  <si>
    <t>7f8186fc9a572c080f67e881052c7c84</t>
  </si>
  <si>
    <t>6a67ad49461a5940715c8257a5902b79</t>
  </si>
  <si>
    <t>3fc4da65247af7ffd942e8ba951710e7</t>
  </si>
  <si>
    <t>039a17bf61a2625b5315864251162296</t>
  </si>
  <si>
    <t>bde5cb52f6b5890917e387c55b36c577</t>
  </si>
  <si>
    <t>e135d58b281b92bb666a29ef5219dc90</t>
  </si>
  <si>
    <t>796a13649f7504836cc88fd7b385a278</t>
  </si>
  <si>
    <t>0ade119726e275e5a92ae19430b80e81</t>
  </si>
  <si>
    <t>d9ba606994c4309bb9234bb5f1c3d5b5</t>
  </si>
  <si>
    <t>17a65bb1dc56c1235d7ee8029c94408b</t>
  </si>
  <si>
    <t>76cad25a83564610f23e26a317dd1570</t>
  </si>
  <si>
    <t>5e54918976bb01299a2eca9319c229d4</t>
  </si>
  <si>
    <t>3126ed973cbecde2bbffe419f139f456</t>
  </si>
  <si>
    <t>c797693346e9dcf3275d3e40bc3ddc1d</t>
  </si>
  <si>
    <t>f1cf07543e16470e35037dad7c698dbc</t>
  </si>
  <si>
    <t>4f6d05f8bfb914f0b7d96bb3cc7f4bd0</t>
  </si>
  <si>
    <t>ca66c4195dbebc6f59ceaf0e10629664</t>
  </si>
  <si>
    <t>77415b528feaea76b34180a6f6412e77</t>
  </si>
  <si>
    <t>9f7c438b9d4f659aec9373c844e76d6e</t>
  </si>
  <si>
    <t>de39ebd3184a468cd1659f2d8a6717ba</t>
  </si>
  <si>
    <t>a2409913883bc192c1608d76c6a47596</t>
  </si>
  <si>
    <t>323799e616cdbe8f6d89d6a253e8f0fc</t>
  </si>
  <si>
    <t>02dbe7f07a799718d80ddf18d709bdc2</t>
  </si>
  <si>
    <t>da4e7a3d424c98f7377e21cd7a4290bc</t>
  </si>
  <si>
    <t>333ffbae24dd36c1f85aa502b337048a</t>
  </si>
  <si>
    <t>b0ddd82af1b4a1bf5ae1fa5befbcb4e2</t>
  </si>
  <si>
    <t>fbfe09ef251ad45dc509c7b26134e0f3</t>
  </si>
  <si>
    <t>66bbaf00db5e8dd5bc97b3642ec84aa3</t>
  </si>
  <si>
    <t>d3102a0b7413aa55427210bbd83624b4</t>
  </si>
  <si>
    <t>bcc31518de70244c0f9384837d9711ab</t>
  </si>
  <si>
    <t>6779d89e3553395a637e71a098d2f2b4</t>
  </si>
  <si>
    <t>6dd030ecc832c390a38db3f42c9506dd</t>
  </si>
  <si>
    <t>b04f5f73d6b998d82b2a855eaad77fad</t>
  </si>
  <si>
    <t>dc4851f871abe517bd3c0ac7a804af33</t>
  </si>
  <si>
    <t>7f61d36c9a87ccb4776231dd48d45a79</t>
  </si>
  <si>
    <t>73114de8de57de8cafafd3774143a5e0</t>
  </si>
  <si>
    <t>ede3df7da703d016ab211fe67a60c65b</t>
  </si>
  <si>
    <t>c43ccefdf21cc037c57d54db312648ff</t>
  </si>
  <si>
    <t>459bc85d62c7e83fbb52f033e06a8f75</t>
  </si>
  <si>
    <t>0527dc6a05a520c0123d58da521a4a36</t>
  </si>
  <si>
    <t>d75f0f0ebe4e61ae28331c574dca08b8</t>
  </si>
  <si>
    <t>fa6b306b0ee936fbef3a4c542f3aa896</t>
  </si>
  <si>
    <t>18b16aa4f6882ecd819ad38f21394925</t>
  </si>
  <si>
    <t>b6168f7cc29e9a2b6d9e82df0e668a87</t>
  </si>
  <si>
    <t>afe1500653ec682b3ce7e0b9f39bed89</t>
  </si>
  <si>
    <t>a908989e899dc4f8273b76094426e9fe</t>
  </si>
  <si>
    <t>9a2cd76289c73f8698cbc91fda4944d1</t>
  </si>
  <si>
    <t>6315d05a06c6802f2e81cb79428686b9</t>
  </si>
  <si>
    <t>1c20876584941388da40b3b01a9ad897</t>
  </si>
  <si>
    <t>4486ad40507c7f22eb05dde3747e34de</t>
  </si>
  <si>
    <t>099ddda4feb08e89c402f2d38ca94b2e</t>
  </si>
  <si>
    <t>8de3f64f6326c5f8b7056bd0b1d729da</t>
  </si>
  <si>
    <t>249743ebcc1fb015f416424135b5e48d</t>
  </si>
  <si>
    <t>0db1fb75f1918668d1248e31ff9988f5</t>
  </si>
  <si>
    <t>24d26100b9d2097f0418ed14dd528b38</t>
  </si>
  <si>
    <t>5cbcd79fd63dc4d72595fa43f6df0dd4</t>
  </si>
  <si>
    <t>fbc0b3bb261ad0691f41d025e5a28a0c</t>
  </si>
  <si>
    <t>956ee7a225e2624c5c3fbdc7b1bb87b0</t>
  </si>
  <si>
    <t>04eccd0076a2ba4c0ab95a548cb90543</t>
  </si>
  <si>
    <t>7206ef1be0a3d44c57fa8214fc74421e</t>
  </si>
  <si>
    <t>a841af0f710cf7e340d0d43626d2e568</t>
  </si>
  <si>
    <t>4a99fa479cfa6a9212123a06a4cd8508</t>
  </si>
  <si>
    <t>791608b685d1c61fb2fe8acdc69dc6b5</t>
  </si>
  <si>
    <t>efd609fb87c34abf4e581a542aa70db5</t>
  </si>
  <si>
    <t>f2d7f80cad08f03745aa10c8b375c9e0</t>
  </si>
  <si>
    <t>506b5559f05c479155e6e12f61e31c2d</t>
  </si>
  <si>
    <t>bf2d441b88c9abbe91d46df156273c7b</t>
  </si>
  <si>
    <t>c0715b919f21f722a004a90a42f2c790</t>
  </si>
  <si>
    <t>900e3a38a492fd258dc54b8872c2dec1</t>
  </si>
  <si>
    <t>7527a9a5e8ed7adc1389a59748913cb0</t>
  </si>
  <si>
    <t>ce1542c96eaf50155d494300c7bfceb3</t>
  </si>
  <si>
    <t>5e130ee89ac5f986710d872ff5d3655a</t>
  </si>
  <si>
    <t>cb1c772c359ae814c34a9c82352a77fb</t>
  </si>
  <si>
    <t>73695d0bcc7a89845ab2f7e3a5b3c0c9</t>
  </si>
  <si>
    <t>8e198e412a2bd69038a26b35656e52a4</t>
  </si>
  <si>
    <t>3b48bc98ee641fb7f5af80d729ab8f76</t>
  </si>
  <si>
    <t>b52ee193d666163924bf97773879e947</t>
  </si>
  <si>
    <t>daad2c59031ec67bcf6d5520e5da7af3</t>
  </si>
  <si>
    <t>70a589991758f4a623b3493fc2c1a7ff</t>
  </si>
  <si>
    <t>6a46fc9cf2e83b10c15f61db3e777148</t>
  </si>
  <si>
    <t>fb3ca24280670b6cde3583783aefeac4</t>
  </si>
  <si>
    <t>0be577456fb1a66d81c667c32d051733</t>
  </si>
  <si>
    <t>5a9ad32644ebce6e589f4be9634332b9</t>
  </si>
  <si>
    <t>ea517968df45ef4db6d4be40cbf898f4</t>
  </si>
  <si>
    <t>090a968f085be3d9fa22c743eb7d7194</t>
  </si>
  <si>
    <t>5af48a7f56dcce4f168b0ce5ced62d2f</t>
  </si>
  <si>
    <t>baa44eaf29fa441ecc49f495f77f4aff</t>
  </si>
  <si>
    <t>023f6fecc6b88ffa0b732dd682093b80</t>
  </si>
  <si>
    <t>8a47e6bee13f2b5cbd289c8471ff7ace</t>
  </si>
  <si>
    <t>30c79ab1cb1bb865fe03120da341ee09</t>
  </si>
  <si>
    <t>0ac2445b1dd415e2d4b3e68cf88e4381</t>
  </si>
  <si>
    <t>4bf9decb991cfa0ff9d26f47f2e807b9</t>
  </si>
  <si>
    <t>dd39400710867187ef39d00d99991082</t>
  </si>
  <si>
    <t>72811f4732ddc88edfc27602efc34145</t>
  </si>
  <si>
    <t>6fb475e33fd1df9c376f2c7256458e9f</t>
  </si>
  <si>
    <t>b2e6e837143d63daca07f522905f79a9</t>
  </si>
  <si>
    <t>f410c50342ffdcfe68cc45b1c41a3d9a</t>
  </si>
  <si>
    <t>b4315f87bc8e2180eb73465d8f5a5cd5</t>
  </si>
  <si>
    <t>972d8bb6ba69dafce218d8c9218de7dd</t>
  </si>
  <si>
    <t>70bd89abdbdba90e471cd3d0bbdbac49</t>
  </si>
  <si>
    <t>67a381bd43fbf14a0a122b8ae1bb271a</t>
  </si>
  <si>
    <t>57c0ef6ca5eb27bf4dd7ff5bc1ba7d0d</t>
  </si>
  <si>
    <t>d63a547cfc3e2f4857616de5b10d6973</t>
  </si>
  <si>
    <t>15dbcea862355bc3fa8921bf3c36b1c8</t>
  </si>
  <si>
    <t>13349a1d2d1c176d5fa2124ce62d35a2</t>
  </si>
  <si>
    <t>a1c61921bdd6ed619ed8d854edfa535a</t>
  </si>
  <si>
    <t>518a0d4fdd28c9875618b3d7833831e2</t>
  </si>
  <si>
    <t>f6eb193f3ea3d0145fbfdd597cd5cab5</t>
  </si>
  <si>
    <t>6d8fa950c459e372f77ea0a54a54cc7a</t>
  </si>
  <si>
    <t>b485983611ae3465a283b77763a4c776</t>
  </si>
  <si>
    <t>eab9f1361c92ce3589c5423826b70ee5</t>
  </si>
  <si>
    <t>6fe5d47a28d687083cd32913c828629b</t>
  </si>
  <si>
    <t>f9639421ad8666783822bcb2e5b8eb8b</t>
  </si>
  <si>
    <t>aca3eab528ac05b124ab0c7b11a3025a</t>
  </si>
  <si>
    <t>bac41b1c7076448403ae19b730a6da78</t>
  </si>
  <si>
    <t>6b0ac5c5ab0f8939442c42704c5493b0</t>
  </si>
  <si>
    <t>9d72960ad2cfeaa46192fa3dba4e498e</t>
  </si>
  <si>
    <t>4e66060c0310857bdb8e63a873d5afd7</t>
  </si>
  <si>
    <t>50053b4f369f1912cf45702f90dc2831</t>
  </si>
  <si>
    <t>bdf4880433deb05d33cd59e756e3ae6c</t>
  </si>
  <si>
    <t>be3571b4ee12c46862b7ead25cd703c9</t>
  </si>
  <si>
    <t>5cfa02f9154d8220d0a911d6ca82ddb5</t>
  </si>
  <si>
    <t>c00c7389d0ca5b1ebe06f7857e9cc844</t>
  </si>
  <si>
    <t>4d42b846d4cb82f316fe8ae26f311d98</t>
  </si>
  <si>
    <t>5438361912d394a4650e9d40cef63c78</t>
  </si>
  <si>
    <t>c4810f2ab2595ec0a00ba71be592c061</t>
  </si>
  <si>
    <t>bc8cfbf74da8fdd0156a05eaf7edfa82</t>
  </si>
  <si>
    <t>6336d7ded64dd1908125ab172fd5e60e</t>
  </si>
  <si>
    <t>ad3a45f2c9edbf1b43fbda3d97b1cf5b</t>
  </si>
  <si>
    <t>7dd9419b1aa8fa048eac9bb1cfd98f68</t>
  </si>
  <si>
    <t>bd9c29a7219e6d849af77f68e697debe</t>
  </si>
  <si>
    <t>ac246594da24758e8d58c4c36b913616</t>
  </si>
  <si>
    <t>b51d0ceea431fc2d4569650b64bd22de</t>
  </si>
  <si>
    <t>7638ca8ac63c145195788f998393b1fa</t>
  </si>
  <si>
    <t>255509891065036fb60f4db77a073988</t>
  </si>
  <si>
    <t>7d168049ed61786069c9849e44aa9699</t>
  </si>
  <si>
    <t>249e668af438f5d1be557f71e67bfd14</t>
  </si>
  <si>
    <t>fdbd49ae6a4951dcef0b973ee20350d3</t>
  </si>
  <si>
    <t>9b3a07fc75f89cd8eeca533e11947204</t>
  </si>
  <si>
    <t>2027b3d8d3a2a87ef879af0feaad8100</t>
  </si>
  <si>
    <t>33779b45e135b6ad17d026ab8a2fe024</t>
  </si>
  <si>
    <t>f71d3c3105a6e1374c8abd57e8eeaa15</t>
  </si>
  <si>
    <t>00acdef5b32f4a7089378d3b50b047a3</t>
  </si>
  <si>
    <t>ebb727e85a01c3c12e7fedd5294e24d2</t>
  </si>
  <si>
    <t>31e2835b63780da4f0632e459ec22292</t>
  </si>
  <si>
    <t>c4760fdb6f393e3adad5f7eda06a80e5</t>
  </si>
  <si>
    <t>791ce193144bb15e4bdd2c1649b8c8f3</t>
  </si>
  <si>
    <t>cd882c767c8c59acb413a971a5b442f7</t>
  </si>
  <si>
    <t>7b28169ffebdd960282bcc01252a8302</t>
  </si>
  <si>
    <t>89b85f944790639e8d6d5096b1909082</t>
  </si>
  <si>
    <t>44a32f77814f9387e2c30e3eb94e6546</t>
  </si>
  <si>
    <t>b1152424d9fb3019d63552c1156b04be</t>
  </si>
  <si>
    <t>b66b4b5b53115f28761c81347ef3d89d</t>
  </si>
  <si>
    <t>bc79189a81dd58572abc54d122649815</t>
  </si>
  <si>
    <t>eb24173df0f85c47af00187f0296ac07</t>
  </si>
  <si>
    <t>b57a35f9dda9f73ab2c04e1a6963c932</t>
  </si>
  <si>
    <t>2cb1afd7afcbcdc1eeabcbc6f5bc41c6</t>
  </si>
  <si>
    <t>45fa9beaa3d9ea2ad7a09cd68b6a33ae</t>
  </si>
  <si>
    <t>46d55a927002038e5cd3137272fb6de7</t>
  </si>
  <si>
    <t>b3387785c82211e7bebd52dc69961671</t>
  </si>
  <si>
    <t>8f9ce617eb3df2feafb5803cbb0e949f</t>
  </si>
  <si>
    <t>525a12095ee281d7f23e073acee75040</t>
  </si>
  <si>
    <t>e6df50e20158a9ea2c49817409f3ad38</t>
  </si>
  <si>
    <t>9a15003757164c515ae32caef1bf2786</t>
  </si>
  <si>
    <t>ee7905f8b65b6ea3ac9c66a7845f2737</t>
  </si>
  <si>
    <t>0db2e6f97f1d5c564366bea52764d5c6</t>
  </si>
  <si>
    <t>473544ee6fb67869a3bf78f8100b1848</t>
  </si>
  <si>
    <t>694830f169190daee55b64d39c7bae30</t>
  </si>
  <si>
    <t>4feb05f06a07d18e98f1f795e4cc1f9c</t>
  </si>
  <si>
    <t>6a3046726902d0c78e1da31e247df4cc</t>
  </si>
  <si>
    <t>344f7ef63191c90344c8ab3db8200d5d</t>
  </si>
  <si>
    <t>0132aa31975919090c559d6d4175bc56</t>
  </si>
  <si>
    <t>78afc2595242c90f511a52ced9dec893</t>
  </si>
  <si>
    <t>b2edc81d693b1dff6b2be80a70294a43</t>
  </si>
  <si>
    <t>244450a5d4391583f3af2e4b23e44a09</t>
  </si>
  <si>
    <t>69e76024ac7ba70a088659ac5d80a3af</t>
  </si>
  <si>
    <t>b4904a2fbacfba60cbceca4a7bf0f794</t>
  </si>
  <si>
    <t>b952172111c8ee9611f15f35632f4c6a</t>
  </si>
  <si>
    <t>ec7198139a9c777b24d6114b54d9fd98</t>
  </si>
  <si>
    <t>8cc73dd2a42ac2d64984ddb3c72f633b</t>
  </si>
  <si>
    <t>4e805f0ec4285403bb32e8ef09389277</t>
  </si>
  <si>
    <t>4123c19231c19717ad706a848caa2842</t>
  </si>
  <si>
    <t>157d3e34504651fec77eb83fe7f89760</t>
  </si>
  <si>
    <t>460066ec29274e9c86d952a27dc83f5f</t>
  </si>
  <si>
    <t>49d67d53aeb86e49d4de15a9d2cfb0e5</t>
  </si>
  <si>
    <t>9058ea5aa084f1c3475cd39bf83c1c9f</t>
  </si>
  <si>
    <t>9d6e19ad9c92e6d9e0579b33d7970c5f</t>
  </si>
  <si>
    <t>19df7cd7b27335f2efe6133c69f7688d</t>
  </si>
  <si>
    <t>36ee2dcbf04db6e2321cae3b7b39c001</t>
  </si>
  <si>
    <t>eae25100987bd583d3ff4a9dda70b4e6</t>
  </si>
  <si>
    <t>4549427ab501fca3449d6450165e060a</t>
  </si>
  <si>
    <t>a55703897794aad1d95721677a93c826</t>
  </si>
  <si>
    <t>c30a870d21a9d939e49a93972b7b8c71</t>
  </si>
  <si>
    <t>44ccf45968bdf2c00e0534e49e4a03bc</t>
  </si>
  <si>
    <t>6be412e46a02d4bd7115c929f91a36cd</t>
  </si>
  <si>
    <t>d56af33e24d2a02c40a53b26fde2bc4a</t>
  </si>
  <si>
    <t>8e5f535f48653b0a40d7f232a6d6830e</t>
  </si>
  <si>
    <t>3c38bf04ae972211c47d7de393fcccc8</t>
  </si>
  <si>
    <t>e26bf5a3c736014510621a300e9e8d96</t>
  </si>
  <si>
    <t>382eb7cfc227924eadb64ffc62bb0e58</t>
  </si>
  <si>
    <t>b6ad337fad5d5dcaac313e78183ebf61</t>
  </si>
  <si>
    <t>89e7d05d94977c776e5200e7f24ba989</t>
  </si>
  <si>
    <t>359e233993d8d2f9790b8265373433d6</t>
  </si>
  <si>
    <t>f13684de18647e19fc4edacf6b285920</t>
  </si>
  <si>
    <t>e2909d1b3e9fd103f2e1b26562a7f707</t>
  </si>
  <si>
    <t>8d6b31ed2ba3ecd5a1c7a80773f01ec2</t>
  </si>
  <si>
    <t>7bd4fd545ca2f255550a8fd6a4722446</t>
  </si>
  <si>
    <t>fc656c04b0a10fa702d1efa224cab1a8</t>
  </si>
  <si>
    <t>b3dc4dfdd0a322b00484fc0ef22babca</t>
  </si>
  <si>
    <t>a311b5e1b680487ee878b8a8d33e6942</t>
  </si>
  <si>
    <t>ce50eb446ef6e8ad877a576f06ddd099</t>
  </si>
  <si>
    <t>7126c3a6111f0dc9f0bc7ecd4325b63d</t>
  </si>
  <si>
    <t>23fdc2b96c1afdf6d8ab932f150ef29a</t>
  </si>
  <si>
    <t>db556693b49df827caf93e37a7beb304</t>
  </si>
  <si>
    <t>2cae266d756f8688d24bf43c5b5d9d84</t>
  </si>
  <si>
    <t>f164ba76f5fba1522bfbb098c4597aa6</t>
  </si>
  <si>
    <t>1ca24fd40f486a3bc48e371b2f98a41e</t>
  </si>
  <si>
    <t>9a26036e9f038f248693cb8a5a1f1ddc</t>
  </si>
  <si>
    <t>4f411e2a540a4d44ee5824085e2e3c67</t>
  </si>
  <si>
    <t>5ff6f0023a5e1354b5e35a662b18b9e0</t>
  </si>
  <si>
    <t>e557bfa4e959dc5025f60ee6f5cb4298</t>
  </si>
  <si>
    <t>95b7cee06276726dffd84adf981f0c65</t>
  </si>
  <si>
    <t>f1c22be01f0446e1dd5290fce69e0c23</t>
  </si>
  <si>
    <t>32e22c26cece29777049a84adf05f465</t>
  </si>
  <si>
    <t>7cae0e79bdcf71dfd512f1100219fdbc</t>
  </si>
  <si>
    <t>a5442d14a3dc2f56981b84c2b48d99c8</t>
  </si>
  <si>
    <t>61a56ce4cd5675d9204cdbc38f560542</t>
  </si>
  <si>
    <t>a7b3c220a58d7106ebf49da50d6c280e</t>
  </si>
  <si>
    <t>62e44a80b946f921a9bc9712612442bd</t>
  </si>
  <si>
    <t>0315243c468b238bf15c230c774c9791</t>
  </si>
  <si>
    <t>8b212ddebb71de5f0118e2e9f170bd04</t>
  </si>
  <si>
    <t>c2826f1fb1ca7c1b7c7b63c1018b8ba5</t>
  </si>
  <si>
    <t>49bed02a95fa5d7b01855f6661ed80f3</t>
  </si>
  <si>
    <t>1282361fd91dd7d33e973c529627e0a1</t>
  </si>
  <si>
    <t>d4c02b76eecba653c50dc02f4d4ef6b1</t>
  </si>
  <si>
    <t>97f75bc3276faac9d26d6c56fe597e49</t>
  </si>
  <si>
    <t>b2cbc0a549ec535998da8223cde1099e</t>
  </si>
  <si>
    <t>6427fdbd7541416f337f075cd52b402e</t>
  </si>
  <si>
    <t>990d66413f318faa5e34e50e8df2ee63</t>
  </si>
  <si>
    <t>2a5db3d6ce6a75fb53c80498ad253377</t>
  </si>
  <si>
    <t>e87b5193d3e60a52a8e3df82af428e27</t>
  </si>
  <si>
    <t>65d7720bddfbf1c6f6b5b4f21b96c7ea</t>
  </si>
  <si>
    <t>fac06a9b23f0f7b5f0b065a77d2d821f</t>
  </si>
  <si>
    <t>6172a70bcae942f431b48adcb4699db8</t>
  </si>
  <si>
    <t>00a7b8f6dc440f5799515d58dafdb5be</t>
  </si>
  <si>
    <t>d85f7ffd34969c63e0146c6ac8bc518f</t>
  </si>
  <si>
    <t>6cb7f43fec13e471a347be105e7cbd08</t>
  </si>
  <si>
    <t>8dcf0bb99b636e860943bcb4b1104292</t>
  </si>
  <si>
    <t>6b1d7eadb42d159909af05a7a6d88989</t>
  </si>
  <si>
    <t>9af79ea37e92042936090355ff6ceff1</t>
  </si>
  <si>
    <t>dbd9669f09ee76847d3e923b7e886aa8</t>
  </si>
  <si>
    <t>813c26fc0c3bf64573a10eafb3f8e5ee</t>
  </si>
  <si>
    <t>5b7c4bf414c0e93488e90a7ff92ee74f</t>
  </si>
  <si>
    <t>24fe7c0ccc301185c71eae88b71d6b65</t>
  </si>
  <si>
    <t>499a3f88156bb6321e00d0ff0ab55041</t>
  </si>
  <si>
    <t>887c4f3187f222a7bddb999313f70fb1</t>
  </si>
  <si>
    <t>4e24f6443807ad2eba56754b0dc91140</t>
  </si>
  <si>
    <t>97b9c4da938b99eb6bd4b7663661faf7</t>
  </si>
  <si>
    <t>2b49fbedae1b24d9a8953ab9263fb782</t>
  </si>
  <si>
    <t>c8651789d418118b810c58696ae5ac18</t>
  </si>
  <si>
    <t>6d35d6ac358e104936a500559001531f</t>
  </si>
  <si>
    <t>f55ba1da3448d20e213b0a10385eac07</t>
  </si>
  <si>
    <t>823fa46f140ff437178f56fa656d35d1</t>
  </si>
  <si>
    <t>dc82539834bb195ca000837a42afe79c</t>
  </si>
  <si>
    <t>b36a8b7fdf47ca209ce8a08ecd8b2ff0</t>
  </si>
  <si>
    <t>581a4c33889fc7aeca599e03628e37d3</t>
  </si>
  <si>
    <t>fef11c41a13f34afa7cbb2ad840d7f51</t>
  </si>
  <si>
    <t>941d7fab55bc07a093333ca66b3de0a6</t>
  </si>
  <si>
    <t>603522877eb261ca56f4222c9a6f1db3</t>
  </si>
  <si>
    <t>6540f6ffc2838caab9e0eba4c30ad7d8</t>
  </si>
  <si>
    <t>f9018bbd4704cc171da8b3c8c7d65e00</t>
  </si>
  <si>
    <t>67d9827f9c944051d5bf2823c94179fe</t>
  </si>
  <si>
    <t>a8225fc412044a06c16cf142c105e33d</t>
  </si>
  <si>
    <t>282cb66cf00adbf96a4486eb4cb2431c</t>
  </si>
  <si>
    <t>971b4cd5b83adf79dd26d9d518a67005</t>
  </si>
  <si>
    <t>44cdea3ba11527b847ff44a286958d17</t>
  </si>
  <si>
    <t>8e4374a54f3a61fa403d8d70c99bca08</t>
  </si>
  <si>
    <t>1cc4307315de94f1f6652be3ae91dbe6</t>
  </si>
  <si>
    <t>7c4049f0668f21344eb1c0de0b3bd6b0</t>
  </si>
  <si>
    <t>83157507fbc1ecbd1a32bf69812e8a16</t>
  </si>
  <si>
    <t>58d005252cf5914e860b6dd3fe36bf48</t>
  </si>
  <si>
    <t>358680ef4f169bc21f0eec123b85119d</t>
  </si>
  <si>
    <t>bc79c67c7b22cbc0cf25abf756cd7e52</t>
  </si>
  <si>
    <t>54abdeb653d98f31d5beceb922d6b826</t>
  </si>
  <si>
    <t>4e2b3264ead437e99dd16b434ca7dbaf</t>
  </si>
  <si>
    <t>7d785a3968e96de95f7ba5fd1d7c8acd</t>
  </si>
  <si>
    <t>a1403d186f75b3ae39bd85be804b0116</t>
  </si>
  <si>
    <t>1654f6096de3a8d08d244eeac21dee2a</t>
  </si>
  <si>
    <t>227c7ef0ccd19c939400924d9b02b2a1</t>
  </si>
  <si>
    <t>73fe05cf8b7f2f65d26444d2badb9dc1</t>
  </si>
  <si>
    <t>75e604afe33f43eb0d06373b383ec430</t>
  </si>
  <si>
    <t>c6d1db3b8c9c598d7c810afee405b57c</t>
  </si>
  <si>
    <t>33c36d2980d69643c74f3b3adade5260</t>
  </si>
  <si>
    <t>40203b20a6933a14a086bcc0c7c6959c</t>
  </si>
  <si>
    <t>1bbc1eb46ce8d3a516cc1220536fd234</t>
  </si>
  <si>
    <t>bb9a1d8ce57f597447fdd34bd1e3f7b8</t>
  </si>
  <si>
    <t>b4b13997af4a7b7cf940ca44c88086a3</t>
  </si>
  <si>
    <t>af5ed76b466a037cd7b9b1cefef578ba</t>
  </si>
  <si>
    <t>3ce434b95c3392cc0562fb8ac2e6a2ee</t>
  </si>
  <si>
    <t>3e2257f7610701147435cd9da3140fc7</t>
  </si>
  <si>
    <t>0159da3047870d346f6999757220e95e</t>
  </si>
  <si>
    <t>9527d6c76bc79ffc65ba689bc891b5fe</t>
  </si>
  <si>
    <t>659d33c1b83122ee316c7943d8b091eb</t>
  </si>
  <si>
    <t>ca26ee32e99049046000c3903a9cf8ba</t>
  </si>
  <si>
    <t>d18bae1a26ca78b3f8b2212c7c7d101a</t>
  </si>
  <si>
    <t>bb838bff2c2120b9237cac812c1019f8</t>
  </si>
  <si>
    <t>39ac91f2a28396c0057f2677e2a8fda3</t>
  </si>
  <si>
    <t>d0d7861372c4b545496c2a2b5c4a62e3</t>
  </si>
  <si>
    <t>557cc18ae3b10b7fd35fbed2019910b1</t>
  </si>
  <si>
    <t>576cfa55f705a769f6bfe050f89469ea</t>
  </si>
  <si>
    <t>5ea1e18a88ae60182918e2fd6f5c6672</t>
  </si>
  <si>
    <t>a8c5835600f3286c876619330295a93d</t>
  </si>
  <si>
    <t>4b787bf893e1d9519259a265d9fc607c</t>
  </si>
  <si>
    <t>d17b9f24d0283dea76343dd18297f806</t>
  </si>
  <si>
    <t>67a83eab0da5d5e1357e82cee4ea9907</t>
  </si>
  <si>
    <t>6e44a15980d1d21fcbc528c9cc30556d</t>
  </si>
  <si>
    <t>7ab5b50d577a49cc38fa440f0ffba2d9</t>
  </si>
  <si>
    <t>73ce6453f3ee02be67e4bb2282b6d545</t>
  </si>
  <si>
    <t>2d355489f5efbd345ef1a178219c6ced</t>
  </si>
  <si>
    <t>f520f65cba281c31e29c857faa651872</t>
  </si>
  <si>
    <t>1fe6eda65dcd46c3a5ad1789c3bf08f5</t>
  </si>
  <si>
    <t>d387e61aff60919eae0a5ef1773db0db</t>
  </si>
  <si>
    <t>fbdada1d59af082c3bc993dfb44014e7</t>
  </si>
  <si>
    <t>1e012f8cfabbcde57804cdaafca52a3f</t>
  </si>
  <si>
    <t>f44829a144731e7d5518b625124e3520</t>
  </si>
  <si>
    <t>55e3810a2d1faff97278484b2d623d56</t>
  </si>
  <si>
    <t>24fc676fd9f7bba69640c6b1fd5c52f5</t>
  </si>
  <si>
    <t>d14cb406f01f8101884d7cf81981d8bb</t>
  </si>
  <si>
    <t>b58373020d885480d72acd5a1f2d0bd7</t>
  </si>
  <si>
    <t>e58a6112b6124519bd5144ffd354e6f3</t>
  </si>
  <si>
    <t>8e4e56370bcbc15a4fa145816c52f32a</t>
  </si>
  <si>
    <t>33751088e4687d1b6b2424b9e5e67979</t>
  </si>
  <si>
    <t>608e33c508c8e2d769272e3b0d4a3c06</t>
  </si>
  <si>
    <t>e5204077564bd260afdcd598f8048f45</t>
  </si>
  <si>
    <t>be583bd016a46688a00c319e7042dfa4</t>
  </si>
  <si>
    <t>fdf37bf43895111c28b572a5ce87545f</t>
  </si>
  <si>
    <t>eb7dc89b44cdaf01b7128e9c939ac234</t>
  </si>
  <si>
    <t>47110232f53d1e4039a0c7c9e8ddad26</t>
  </si>
  <si>
    <t>8be3773c9891a24b804b007c6ccfe7db</t>
  </si>
  <si>
    <t>a356772cee0a2c1abf6c06c84ecb543a</t>
  </si>
  <si>
    <t>242c1eebf6c9cd4523eb187d543a65b5</t>
  </si>
  <si>
    <t>75151da8b881b77d075fbe45c47cef39</t>
  </si>
  <si>
    <t>969d53a568dfbaf6bb929d69917b34fa</t>
  </si>
  <si>
    <t>cf7928afd766844e654110a341cb111c</t>
  </si>
  <si>
    <t>5d582c50afcf15d63acdfa2df2f088e6</t>
  </si>
  <si>
    <t>dae5531698b0b237ea3a4d56ce1a4686</t>
  </si>
  <si>
    <t>09d84d6a2ab34c961430012c98a75627</t>
  </si>
  <si>
    <t>75179ec48bcbbdd4fbd025a4db2dc3b8</t>
  </si>
  <si>
    <t>2c442f7c8951648fc9fa4c84f479ec40</t>
  </si>
  <si>
    <t>cd57f0e0803b1de501b6a3d9b38f4173</t>
  </si>
  <si>
    <t>d388a37fd8f568450551b51ae4d2f124</t>
  </si>
  <si>
    <t>38320d1a1dd66d409ee7fdf1bf175ae2</t>
  </si>
  <si>
    <t>72462991dba2e16e1588d4af1293ae58</t>
  </si>
  <si>
    <t>4fcd88edc7247e6954911971421431fc</t>
  </si>
  <si>
    <t>d0543cbdeb8df2ae60e7057a63bd5d39</t>
  </si>
  <si>
    <t>d14f11f89a35630f8155adf7ac00e77d</t>
  </si>
  <si>
    <t>b38cefb6fea247c75f5e6b9e0060a178</t>
  </si>
  <si>
    <t>8b42718d99b26b5eac54bc18260b8cd4</t>
  </si>
  <si>
    <t>af20aa8cc361a5498fb417683dfd8488</t>
  </si>
  <si>
    <t>72f5b0b36ff0b9d7fa00f22202ff79dc</t>
  </si>
  <si>
    <t>c7602768a214451d3d91346fed37176b</t>
  </si>
  <si>
    <t>4dc94b0c76d24ea9589a5a9d9281d005</t>
  </si>
  <si>
    <t>d94075b7e212f8e05575ba2079d4a321</t>
  </si>
  <si>
    <t>da9cc4cc759d7b03bba5968449c61340</t>
  </si>
  <si>
    <t>2434bffa9a1ba2b3f857680a8fbb5b4f</t>
  </si>
  <si>
    <t>52ef2da9af3b2fa07f204a9a0f2d3eff</t>
  </si>
  <si>
    <t>9fc497b1718cabc904e5af82c57bae53</t>
  </si>
  <si>
    <t>991dd9faea5cbc36496c78470abec386</t>
  </si>
  <si>
    <t>c6bbc108763169e14489202ab2a296be</t>
  </si>
  <si>
    <t>eeff478d896608af7e2bbda4f46445ca</t>
  </si>
  <si>
    <t>f3005354c9b71255349c3ededee1dcf8</t>
  </si>
  <si>
    <t>312c605d05e4be4312b951c6ad73ba48</t>
  </si>
  <si>
    <t>a42434c7a619630f358df0642b4dd7ff</t>
  </si>
  <si>
    <t>0542a734294f822ceab9fd720147c259</t>
  </si>
  <si>
    <t>e36c1f9f67dcf2a9fb4cfc006658015e</t>
  </si>
  <si>
    <t>79c512312810d47d64a72e7b7a97789d</t>
  </si>
  <si>
    <t>5fdaba20ee1cd0194652abb51479ddf9</t>
  </si>
  <si>
    <t>5c54c0e87e5883b70dc2488ffad09d9d</t>
  </si>
  <si>
    <t>c1dbbbd410e1721a1932b550fdcef09b</t>
  </si>
  <si>
    <t>3d78a64bd504ee89441809126e5fa3da</t>
  </si>
  <si>
    <t>ba1022548d8bc253f6dda3144cd11ede</t>
  </si>
  <si>
    <t>9e5238f97bcf5cbfe605cdbed7f4e26d</t>
  </si>
  <si>
    <t>1231d757a6a4e0b91af141a4f0d4dc32</t>
  </si>
  <si>
    <t>9cb6ec6c0dfe6ca2675192257f617b26</t>
  </si>
  <si>
    <t>bae62bddc68200ea11b5c7bacbcb1682</t>
  </si>
  <si>
    <t>adca3fbbc686891075a97939f99eacfb</t>
  </si>
  <si>
    <t>bf62e32cb3b29411cefd5d32858d815e</t>
  </si>
  <si>
    <t>146e3dc9b45fd6b81c3788f0dc896dc8</t>
  </si>
  <si>
    <t>c478e9df2470b2ed3fde4e7cabdfc697</t>
  </si>
  <si>
    <t>d8ee5549d305c9d259dbbf870d5bc712</t>
  </si>
  <si>
    <t>1b29d3a0b89bc8da6df20e98dfac86f4</t>
  </si>
  <si>
    <t>48d17f86af415775d5f01337a8f5e3e9</t>
  </si>
  <si>
    <t>c3d13b69cd6a2c973f265ad845bcbbaf</t>
  </si>
  <si>
    <t>84403a769c84d34088c8b19584a235ad</t>
  </si>
  <si>
    <t>0a0750e9f4fb9e9bdc4c9ef6b75a532a</t>
  </si>
  <si>
    <t>0e2f500805985d5fc39fe76a9d08a705</t>
  </si>
  <si>
    <t>d6a1499555c182d0fa8919c666fa4710</t>
  </si>
  <si>
    <t>6b1061553497d45f6ac9d3386b648a4d</t>
  </si>
  <si>
    <t>fef6255b484a1dc0dac35fd87bb905ae</t>
  </si>
  <si>
    <t>5f5084c97a1071545d4765468e7194f0</t>
  </si>
  <si>
    <t>4e8c6d5e6ce5a6bf3fe54101114aa0d9</t>
  </si>
  <si>
    <t>543d921c3afce2b0608c1de6dfa48ee2</t>
  </si>
  <si>
    <t>0a08889a1d62bbd68371b0b4980a09b7</t>
  </si>
  <si>
    <t>88227a1a686875aa865d7ecc55d440c4</t>
  </si>
  <si>
    <t>9369ea6c02a23aea5374a5ef8af4aa8d</t>
  </si>
  <si>
    <t>3ffedfdaa29dbf097fb6724d2e890b00</t>
  </si>
  <si>
    <t>739befafbab95d66b36ab14e9f04f86e</t>
  </si>
  <si>
    <t>b5257afcdc69a68eda5bbe0556674ce0</t>
  </si>
  <si>
    <t>602a3d4a4c3542eef209745ec8d6fc5c</t>
  </si>
  <si>
    <t>ff2b066f6ec181675f7d1c0804587b96</t>
  </si>
  <si>
    <t>50a7d2b0a34ff60d996a9420699ba8b9</t>
  </si>
  <si>
    <t>79f1792fceebfe579e9c2fe9152be983</t>
  </si>
  <si>
    <t>8fd4f7a7c343f7d0d31ae5faf51e839d</t>
  </si>
  <si>
    <t>b1f390bfb86f9b048f4edecc71e79bb2</t>
  </si>
  <si>
    <t>f4abd0461a46858c25c67fba44827f91</t>
  </si>
  <si>
    <t>fc5814ffb34275ce8c055f0231d3477a</t>
  </si>
  <si>
    <t>1b72859350810d1fce00822a42af66c2</t>
  </si>
  <si>
    <t>b292c42b08d209a8baa530adc393671d</t>
  </si>
  <si>
    <t>580120b43fdd69f78c8d01fa0a6853b8</t>
  </si>
  <si>
    <t>5be6828ba1f517ca9e6e249c5db867c5</t>
  </si>
  <si>
    <t>f3ff7b1a6f1b2455187c4a8b8c2c373c</t>
  </si>
  <si>
    <t>0dd989c64c054921672af61a0c7a5e95</t>
  </si>
  <si>
    <t>e38d727ecdd5bd1591bb6f8ab47d38bd</t>
  </si>
  <si>
    <t>f011770ef5d1a9b1fcb90873f83efe12</t>
  </si>
  <si>
    <t>6cbe87cacb0b1e5e4b873814455e606b</t>
  </si>
  <si>
    <t>eee6248eb5d8e957d79ab187cf13168f</t>
  </si>
  <si>
    <t>b9fcbc854cc45e5802618e283d3fe525</t>
  </si>
  <si>
    <t>5c76231edbba6c669c21c4f98047ba04</t>
  </si>
  <si>
    <t>81c83933ca039e756f2b0d69ebaa38ba</t>
  </si>
  <si>
    <t>779259368ccf87da1146127db1360be8</t>
  </si>
  <si>
    <t>ad4ccc76a482d6963cf3da7677453378</t>
  </si>
  <si>
    <t>721a427b22b69757b37c150e2fe24caa</t>
  </si>
  <si>
    <t>2b4a70dc918fea2c26d42edc6dbadc46</t>
  </si>
  <si>
    <t>a7be1228195896ae985f9c015fbe7af8</t>
  </si>
  <si>
    <t>95fe31d2a8872c82170cf88ca8b4f7af</t>
  </si>
  <si>
    <t>214db8cdf991e0ee01c25656e28a4049</t>
  </si>
  <si>
    <t>65e0bce9207bd3a5a51e0d2b568a6214</t>
  </si>
  <si>
    <t>1d83672fb9b3ff6aa2179a20fbf8a355</t>
  </si>
  <si>
    <t>cfb758d1c65a3ed5614f81dc172b2adb</t>
  </si>
  <si>
    <t>9ff478a05056d2fe0d7d1e1dd9b35a5f</t>
  </si>
  <si>
    <t>d50e3fa729f701714472688fbfffa7fe</t>
  </si>
  <si>
    <t>72aedcd54a1ac4e361ac47297c415735</t>
  </si>
  <si>
    <t>59190aac88e5e714d73c276b09f1c3bb</t>
  </si>
  <si>
    <t>18197405b180a434e40551201cd25c54</t>
  </si>
  <si>
    <t>87eb9d4eaa03cf39630cf48a920d1920</t>
  </si>
  <si>
    <t>348c32d6b35abb039ee53da3c36b6a63</t>
  </si>
  <si>
    <t>ba085ba9ace538a0e831ccfffb1265e6</t>
  </si>
  <si>
    <t>38cefcbd8fdddeba6acabcef529887d7</t>
  </si>
  <si>
    <t>76e7fa167c6a800e4907a525e8dad878</t>
  </si>
  <si>
    <t>9f85e0d133be9efa90e245d4508f5824</t>
  </si>
  <si>
    <t>8fe2c63c0355f041fafdde255480a9de</t>
  </si>
  <si>
    <t>59d669b722b6fe9f492c5d7ec134f63e</t>
  </si>
  <si>
    <t>b2f96bd2d5b473224a9d859ddbc663bd</t>
  </si>
  <si>
    <t>7c3bf8ccf90b36eb118e9b95798708b2</t>
  </si>
  <si>
    <t>8490dafa7d36043604baaadcbc92d821</t>
  </si>
  <si>
    <t>de217bb1ab483987c651cf5a5e868018</t>
  </si>
  <si>
    <t>732f9857d1f7f8f90232100a1d263a91</t>
  </si>
  <si>
    <t>abe26c6ace59013c7c366a84290c2aac</t>
  </si>
  <si>
    <t>8d442c9385ba8503a95175b8099693a6</t>
  </si>
  <si>
    <t>2c34642eacc541c55779f76180fe364c</t>
  </si>
  <si>
    <t>19f3ca179d09e8518d25a28d8e4e443f</t>
  </si>
  <si>
    <t>6a822518af83e64c518574a5a70570f9</t>
  </si>
  <si>
    <t>034fdbf83b74c1935a73567ed05fc351</t>
  </si>
  <si>
    <t>a2816f807f2001d46e4d06248790f850</t>
  </si>
  <si>
    <t>b42ec7cfa84ce62386d46f8ae12a9b56</t>
  </si>
  <si>
    <t>a24c0edd2c109ffea565f01636fe4247</t>
  </si>
  <si>
    <t>1c59a3c21537275e625bc9fb5d3338d7</t>
  </si>
  <si>
    <t>ce22af845de5311f766f19f94889131e</t>
  </si>
  <si>
    <t>aa3e602dc876a6d7dccff51c07840900</t>
  </si>
  <si>
    <t>907cd7a980711f95864de7e532cf1cec</t>
  </si>
  <si>
    <t>7cc2794f14963ceaedb29d19875c950c</t>
  </si>
  <si>
    <t>9f0e75318f99d12a92fb1f4ba3507b7b</t>
  </si>
  <si>
    <t>4da4e32b324bca44aff146f14fbb40f5</t>
  </si>
  <si>
    <t>ed543025badd2a6d5d1a58126a067bc3</t>
  </si>
  <si>
    <t>5d85e946cb22385b94eef98af7f76cb1</t>
  </si>
  <si>
    <t>1b4ea86404d0b479c4a73e55dfd8b0b7</t>
  </si>
  <si>
    <t>bcffac7ceb2fafe3584e66bfc9c53a72</t>
  </si>
  <si>
    <t>3958f53d13f000006c688ac027e34d2a</t>
  </si>
  <si>
    <t>a0b36aa0208b361e4103380fb34694bf</t>
  </si>
  <si>
    <t>fca7a9a39563f62e67a0018690b0d4c9</t>
  </si>
  <si>
    <t>307e9c61450651aa146fa8da4ddd4906</t>
  </si>
  <si>
    <t>a6b1f34393caee146261de6196119c09</t>
  </si>
  <si>
    <t>2ce38c6179c7d42a47a2efd086cdd9d5</t>
  </si>
  <si>
    <t>d75f18d5cef24fc18b544ae718588d66</t>
  </si>
  <si>
    <t>3cd9fd588c126cc9043850408c2c19ab</t>
  </si>
  <si>
    <t>4a447fa0819e4b3e6dcbc7dad6c83670</t>
  </si>
  <si>
    <t>ce50d5be7b6c6e7afb55b9db35388d43</t>
  </si>
  <si>
    <t>8fc019d475d2d5220014dd496524b7d0</t>
  </si>
  <si>
    <t>58366cc25c833fe7ec47bdf70c996182</t>
  </si>
  <si>
    <t>a48bae986dd278e99e16e47f3b324ea8</t>
  </si>
  <si>
    <t>0ad5d0c8747fd99d37ab4cd396ae9662</t>
  </si>
  <si>
    <t>b3f7bb40292f61fa966cb2a8a4cd339d</t>
  </si>
  <si>
    <t>af7e75b8e0352cb68387b4ed69bba0e7</t>
  </si>
  <si>
    <t>29fbeda12fc84baaab209699439aba09</t>
  </si>
  <si>
    <t>a41b8b7318c4f42dbb65c277861ca89d</t>
  </si>
  <si>
    <t>694b9f764e03b6cf70d0ec5cca76985c</t>
  </si>
  <si>
    <t>750305e543ca0cb39baf8098c3a8e5ff</t>
  </si>
  <si>
    <t>d229abbb7795bca04ff7fbfe2a61497d</t>
  </si>
  <si>
    <t>8e2a291cae0ef77758e70c6cac2daa45</t>
  </si>
  <si>
    <t>2f0033672b5d798d3367020fa452b7e3</t>
  </si>
  <si>
    <t>42cd6fb571e8fc67972856af57423df3</t>
  </si>
  <si>
    <t>c981fdf79a3aed20f4b35e8786325056</t>
  </si>
  <si>
    <t>3459a163921940d6442f5a265c49cf50</t>
  </si>
  <si>
    <t>2feea6e133cd6fb9476be8b185586893</t>
  </si>
  <si>
    <t>3067c356701b93f393f765bed1256bfd</t>
  </si>
  <si>
    <t>7c78b12691f2b2a94639b7674eba07e4</t>
  </si>
  <si>
    <t>9ffbf4fed04bdeefe759ecd02af8ee82</t>
  </si>
  <si>
    <t>c4f48c98a227f6dd2cdbd6a30dac6082</t>
  </si>
  <si>
    <t>137853082702b6be2d735817ca348b05</t>
  </si>
  <si>
    <t>a205ed56ca1196d71b8793e0415e87ed</t>
  </si>
  <si>
    <t>c3d54b1a928304d7dfd75c1c8f5ace33</t>
  </si>
  <si>
    <t>647b3baad511fd4c37562c87e3673421</t>
  </si>
  <si>
    <t>89b11213b1e5512a69ae715e1f910aef</t>
  </si>
  <si>
    <t>c1d2e03fe341aa237db6b5fd7598b28c</t>
  </si>
  <si>
    <t>e022029a28bad406d6f3e74512ebebc2</t>
  </si>
  <si>
    <t>b67d30a5d7f70c2d80e09517d695acea</t>
  </si>
  <si>
    <t>3e767120d0d3139f058bf36295fc4a18</t>
  </si>
  <si>
    <t>6ddc098a344870bdb384e1de45e4c8ea</t>
  </si>
  <si>
    <t>a6104a16f4c583147e53daee7fcb4550</t>
  </si>
  <si>
    <t>2d686296ea060d41b2c67502ec3c1f39</t>
  </si>
  <si>
    <t>62e81b7815b24e46b69fcfa197aea837</t>
  </si>
  <si>
    <t>d867ac1eb97bfb5268f09f638bee0f84</t>
  </si>
  <si>
    <t>1bf50b1aa5574ec9c56a8f2af4039ed7</t>
  </si>
  <si>
    <t>5f0defdea77928719eec823841163756</t>
  </si>
  <si>
    <t>6d8baf465e25dcb5f546646ee3f9c000</t>
  </si>
  <si>
    <t>6f1ee9cf8ecb6f8f9e26b778f92a9cdd</t>
  </si>
  <si>
    <t>0ac24513513fdd5235836d33cc4fdadd</t>
  </si>
  <si>
    <t>21ac90c376d8daa6ca4252a894ee1361</t>
  </si>
  <si>
    <t>7d7da6daaf3732a05b10cd8b625c81fd</t>
  </si>
  <si>
    <t>08eac1d7ee7ce0f8c4a4d22ba0c72f03</t>
  </si>
  <si>
    <t>85ce3745f9ab408773e5415064f206a3</t>
  </si>
  <si>
    <t>391177aa48863fe2e6b43208fed07be3</t>
  </si>
  <si>
    <t>86a3db80733a21b5d4a51c6b60f4d712</t>
  </si>
  <si>
    <t>94d8526a5fae933806f65b8a0f49301a</t>
  </si>
  <si>
    <t>9313492d85a66aa6cfec9656fbb95629</t>
  </si>
  <si>
    <t>984a8710e96d3210d30c185060159555</t>
  </si>
  <si>
    <t>bdd3e22856fb3223ddb1b6b83072457b</t>
  </si>
  <si>
    <t>c411ef27c010d81d965f5cc179a33277</t>
  </si>
  <si>
    <t>a01874b1881feb4f498d3f877bd41e62</t>
  </si>
  <si>
    <t>0d529543941581b0373f8cf0c0dcc7f0</t>
  </si>
  <si>
    <t>2ffc298f0ee58536c92fc5cc8a0c22da</t>
  </si>
  <si>
    <t>95893bf3c956973d41f5d92572ef8a93</t>
  </si>
  <si>
    <t>0be8394f8877c4ead942672b113f81c2</t>
  </si>
  <si>
    <t>0b09c40c6ab45f54db78f083e340fb3c</t>
  </si>
  <si>
    <t>58e36f59f7e532acacf9cb6ef1ab91b9</t>
  </si>
  <si>
    <t>7978f92350d923dbec4daaa4f597ce86</t>
  </si>
  <si>
    <t>ae845eb437371efc105ff790cfe62bb9</t>
  </si>
  <si>
    <t>019344ffa8a23d2a8240bd4eba4a4dfc</t>
  </si>
  <si>
    <t>a3c42430cd0c931fc07c918979d8baeb</t>
  </si>
  <si>
    <t>a64a4266817245d41ccdc9a9475a6a17</t>
  </si>
  <si>
    <t>f2297ae2d607584fb580e9947a1a9b75</t>
  </si>
  <si>
    <t>8047b03d52384ba8b0f9680baacddcf7</t>
  </si>
  <si>
    <t>76987aa3e22683ec1e1fb6ba650e1daa</t>
  </si>
  <si>
    <t>00532c4adc6d5dadb6d58e9de817b59a</t>
  </si>
  <si>
    <t>92f75eaab29dd31e16b4b88cff13c6fb</t>
  </si>
  <si>
    <t>0f783a2a5e30eec921c2f2311da42dc5</t>
  </si>
  <si>
    <t>0b0ace8b6bdf7426f3fe628939e917d1</t>
  </si>
  <si>
    <t>d77de86dc8bd445f5227875182805a61</t>
  </si>
  <si>
    <t>18d89bb02b4750fc9c61372ff4985ac5</t>
  </si>
  <si>
    <t>2ec14612fd4f01f8865e35f4c3b87ed1</t>
  </si>
  <si>
    <t>984c5278c0a8e3c75e41b90def1f2611</t>
  </si>
  <si>
    <t>cd882239782e46c81f650fc5a6136d2e</t>
  </si>
  <si>
    <t>41d89d375c748da6a894ccb1b51523a1</t>
  </si>
  <si>
    <t>9ee0e215ccb1661015e983e9e476dd0b</t>
  </si>
  <si>
    <t>9e925259d9d363b290c7e47209cd2ad7</t>
  </si>
  <si>
    <t>aae92066b9e2a57287b442383d7b88b6</t>
  </si>
  <si>
    <t>a8a5204dd969d34ddbd26915537bd937</t>
  </si>
  <si>
    <t>c61ab3254a8a0d55aa901aa8649460c9</t>
  </si>
  <si>
    <t>7a0c99ef914f596a9d745df32a9c84dd</t>
  </si>
  <si>
    <t>178b99100c7594627daa57e8fa69da24</t>
  </si>
  <si>
    <t>8a593516c1daa7bb54e629ebd90bb72c</t>
  </si>
  <si>
    <t>0a0b8d534f5abd23a9f8d91d46b125a9</t>
  </si>
  <si>
    <t>d1da19204d3ed40c6476ad7498fb3e8b</t>
  </si>
  <si>
    <t>60c43e386965167ba97045a1fe957626</t>
  </si>
  <si>
    <t>53badde384b0a557a5bb5d5b9ae80553</t>
  </si>
  <si>
    <t>fc5c2a607f27cfe17e9f699230418a2e</t>
  </si>
  <si>
    <t>46e8db5f3c47012f108a81f53d640c82</t>
  </si>
  <si>
    <t>7fbe9bcd262e88e7dcede2bc52fbae08</t>
  </si>
  <si>
    <t>46cdab6ee8d08331f2369b4b04a4a4d5</t>
  </si>
  <si>
    <t>e5fea2100557ed4a239fa49305613d6b</t>
  </si>
  <si>
    <t>12e8db288ce0fddd12e6ecf41b3225f3</t>
  </si>
  <si>
    <t>058c2e4e2ab88e0766629e86e4f5e2c1</t>
  </si>
  <si>
    <t>e600ec2357e8a2196ec770c951f6d24d</t>
  </si>
  <si>
    <t>3abb022895ea02a82759614e825863a9</t>
  </si>
  <si>
    <t>03cf01ab1a9e0f461e4af33fce8d71f6</t>
  </si>
  <si>
    <t>53d57871ab3fc4405f05229e639f166c</t>
  </si>
  <si>
    <t>7874884678098f0edf576029131759d8</t>
  </si>
  <si>
    <t>ce237f105cfd8a85689cc0481d9d7303</t>
  </si>
  <si>
    <t>07aa69970a284c5948c3a34ed5e4e0b1</t>
  </si>
  <si>
    <t>ee2b2692ff3e044ddf966729caefb36a</t>
  </si>
  <si>
    <t>1d9a4d458ecd81006eb78d51bd92d1fc</t>
  </si>
  <si>
    <t>dd4d6182b1e45cf8b03b35ca1b100bd8</t>
  </si>
  <si>
    <t>ad1a5689af4f7e62644379f09b5699c8</t>
  </si>
  <si>
    <t>b9b4d4f5b575539161c184faf8e53d5f</t>
  </si>
  <si>
    <t>a0ded2409ac6c2c2cd77d11e3f03a357</t>
  </si>
  <si>
    <t>9800d02812911707fe048d72a9bef32a</t>
  </si>
  <si>
    <t>147daaa4d649f65f12a78c8048338128</t>
  </si>
  <si>
    <t>772be51775b3d732ec124eb9aef562f3</t>
  </si>
  <si>
    <t>9f36cd14c6a9b227707682b12bcd6264</t>
  </si>
  <si>
    <t>607a43bbf5ca3581896fb1edbeb6d4ed</t>
  </si>
  <si>
    <t>21b4df59ea06deb09278bb2693ee08f8</t>
  </si>
  <si>
    <t>bde1d613c4e7839d1baac6aea8357e7d</t>
  </si>
  <si>
    <t>967e9762cd256961572df916205f2eaf</t>
  </si>
  <si>
    <t>15df288a9f4e1a1ff88b0a1ae34a4cef</t>
  </si>
  <si>
    <t>aed6da3484a5fcde3290e3edcc6d1982</t>
  </si>
  <si>
    <t>83a39be795af6ab6d1ee51b1a5d0a044</t>
  </si>
  <si>
    <t>f9ed45b93dd4614775806adf05661bfe</t>
  </si>
  <si>
    <t>01cc35f5215d76108f9789902a8881dc</t>
  </si>
  <si>
    <t>8c711b2a61cccea42c643ce986dc203a</t>
  </si>
  <si>
    <t>4ce2dc45f5dcc0b44e0162f8dc4ea237</t>
  </si>
  <si>
    <t>e3aa5b42d2e5f63dc5161eedf573c215</t>
  </si>
  <si>
    <t>3a4c4d5825421adc3762e08d2f567123</t>
  </si>
  <si>
    <t>91bddefc9ad9dbaf5dda35f00081a00a</t>
  </si>
  <si>
    <t>fe21067b5bd2406e6a8f449af946d61b</t>
  </si>
  <si>
    <t>933b9909d5c4fcc2eb0ef8b2d9d7c02d</t>
  </si>
  <si>
    <t>b5367f285ec02ef1763510f07a44427d</t>
  </si>
  <si>
    <t>6840b145d767fd6d53ef6a0595784bdd</t>
  </si>
  <si>
    <t>306b4e2ef164453da7db7abf44ad0b16</t>
  </si>
  <si>
    <t>877e78cf1d978ce22dbddfc3d34810a4</t>
  </si>
  <si>
    <t>60d179bc263ce0fe8e342c2ea1e67fe6</t>
  </si>
  <si>
    <t>64b3034d706029dcb6d09e117e6656e9</t>
  </si>
  <si>
    <t>62e6ef4289415fbd34d46391682f84a7</t>
  </si>
  <si>
    <t>f20ad2475827b60cbfd9efe5e98d78ae</t>
  </si>
  <si>
    <t>97e69b76f0956017e04ad3c9d74ce5e3</t>
  </si>
  <si>
    <t>e0342f1c96b82b40663e25b388d3e1d9</t>
  </si>
  <si>
    <t>2ace49d4e72215e330d67d5f45db12e5</t>
  </si>
  <si>
    <t>5c517d06e51b50ae51785450e0b806d5</t>
  </si>
  <si>
    <t>13816ba0dd3a36209cbc3cfef265dc7c</t>
  </si>
  <si>
    <t>e07eba70c6ddb8256e6fb638570f0c80</t>
  </si>
  <si>
    <t>f24d3891deca9c62c05caeb4918a772c</t>
  </si>
  <si>
    <t>dcba1d5501221f3f36e1c123974f7ca7</t>
  </si>
  <si>
    <t>bc9d42fcee61388f6d4634deb12d5b48</t>
  </si>
  <si>
    <t>1a54ed0d8ca0bdb0cf54794977feb05a</t>
  </si>
  <si>
    <t>46a5a92c481d5d4e0478d68bad240fc6</t>
  </si>
  <si>
    <t>afff7cfc8b8e50b09fa8840a9cecd5dc</t>
  </si>
  <si>
    <t>deb345324aad1d7652eabe05d0c3e1bb</t>
  </si>
  <si>
    <t>70f0e6d5970254940a7de06dc63e4ed3</t>
  </si>
  <si>
    <t>26f17e8dbf8c2c06485d08cb0bd067e3</t>
  </si>
  <si>
    <t>ff276aba80ec3e26adc022017e3b8b21</t>
  </si>
  <si>
    <t>f4693942620b18fb077b314ab3b8f369</t>
  </si>
  <si>
    <t>5dd6e129b5884dc2ecc98e8e24aa5b6a</t>
  </si>
  <si>
    <t>f08397f6bf693eef76648ea83ed2ece8</t>
  </si>
  <si>
    <t>fe8ab690a0f00da2b22bdd59bfb31a27</t>
  </si>
  <si>
    <t>dbf3005b46d0a2f32b8fd89ba4043946</t>
  </si>
  <si>
    <t>4db7ccb92989c6ca0e98dadb5c784ba7</t>
  </si>
  <si>
    <t>768b2f133c3ea3ca2db797f5aa593417</t>
  </si>
  <si>
    <t>1edd33b030fca4ea748c10bae11a7946</t>
  </si>
  <si>
    <t>ee90b45cf1106fef95ee81de63d7a322</t>
  </si>
  <si>
    <t>b82cb0dd23dd23b2412b2f2604f2a9cf</t>
  </si>
  <si>
    <t>712c8121a80ee679a08243f86dbd64ae</t>
  </si>
  <si>
    <t>fb68f525a19d89290c6979ed51af3110</t>
  </si>
  <si>
    <t>21e7b6bc0412d4aaaf4158fdacb1d1ad</t>
  </si>
  <si>
    <t>f59a4f58bec755df35457a90a0e65ed4</t>
  </si>
  <si>
    <t>bcc13206fd8338d229f0ac74adab7f26</t>
  </si>
  <si>
    <t>c2642e781e07a51e779c62ee00bab576</t>
  </si>
  <si>
    <t>4d76bdef0d4780075906b69acd169cb7</t>
  </si>
  <si>
    <t>2c9aabda8931c46b74753eb6dd9136dd</t>
  </si>
  <si>
    <t>b47b84be1e32ada197b34168a7c88052</t>
  </si>
  <si>
    <t>188ad36eb0cb68d694a6e7913c565240</t>
  </si>
  <si>
    <t>bb36fd8f142e7fea7041c49f61f75f37</t>
  </si>
  <si>
    <t>e9db2508797f0fd542868299c00e8091</t>
  </si>
  <si>
    <t>287d6438aae8f21fcda18b911c9c23ef</t>
  </si>
  <si>
    <t>6521867f37daced2a8ba3b973450bf6a</t>
  </si>
  <si>
    <t>1e22c83cb2934dd73c22c293f4befe83</t>
  </si>
  <si>
    <t>deb6b191ee8801b9c491c4c101dea707</t>
  </si>
  <si>
    <t>add1461cdb43048c4135bb5e8d2d67c1</t>
  </si>
  <si>
    <t>6dca24bf7909350ba0bf21465371ade7</t>
  </si>
  <si>
    <t>b44724074d7242865399e596ce97728b</t>
  </si>
  <si>
    <t>36de309602983818b4c2b9b606ef4ff4</t>
  </si>
  <si>
    <t>488be271582755444ab15d06f5d49c12</t>
  </si>
  <si>
    <t>75198558c1ed763f12e6f946a46f8b2f</t>
  </si>
  <si>
    <t>269dce383b169909785f4fda1ed47913</t>
  </si>
  <si>
    <t>2bf720f77d3874e07949cfcd1f75e91e</t>
  </si>
  <si>
    <t>4b97422dd3861c217c68285a92cd89bc</t>
  </si>
  <si>
    <t>3b9715bd3b57ba1727acec71ed308568</t>
  </si>
  <si>
    <t>15637ed71e3e1c7523d8f4f2160a71d6</t>
  </si>
  <si>
    <t>3208ff3ee150fa0918cd46d2c0dddc1c</t>
  </si>
  <si>
    <t>43829cbde6a6862b0f13133736da5c0c</t>
  </si>
  <si>
    <t>ba5b50daea4103b79a4736176b3b4868</t>
  </si>
  <si>
    <t>7c229eb911f585be823686b4cfccb35f</t>
  </si>
  <si>
    <t>5143b1a03753e9634ad9395eb18e0417</t>
  </si>
  <si>
    <t>9e4bbab2f64d76c5ec1acefe6d433b66</t>
  </si>
  <si>
    <t>01f11b1dc7251b4dad589e664e28aaf6</t>
  </si>
  <si>
    <t>4979a7b20a42638a04977d3615767bfd</t>
  </si>
  <si>
    <t>12a98e78c5d94963b040e18c8758b3cc</t>
  </si>
  <si>
    <t>9340ebc648b62d55fb18ab88aaa8fecd</t>
  </si>
  <si>
    <t>7773bf6b17a2c98e2604b3a402f3c050</t>
  </si>
  <si>
    <t>f902f09c48aac5fdbdc389271d704daa</t>
  </si>
  <si>
    <t>4a378e98899ec97647c6553589f7b55e</t>
  </si>
  <si>
    <t>18074a65b9a1273408c6d5a00e1da59e</t>
  </si>
  <si>
    <t>8a44192374dd613240bf74f1f2498cfc</t>
  </si>
  <si>
    <t>b46b855b9bcfd8b80b24ca033b10519e</t>
  </si>
  <si>
    <t>67e91755751b124a5e752c5fdcaa3a48</t>
  </si>
  <si>
    <t>d384b897f79347648744fc818cea2128</t>
  </si>
  <si>
    <t>b6308edceb1fe8479c698490d100a7a8</t>
  </si>
  <si>
    <t>374c67709beb1e30efea927f6666f732</t>
  </si>
  <si>
    <t>6e465bf376c95a9f4a5f56bd005455f6</t>
  </si>
  <si>
    <t>9b29958002fdcce5a0e04baa94987423</t>
  </si>
  <si>
    <t>c0a94cff7a1e60bd1c87bc2f4d0d14c4</t>
  </si>
  <si>
    <t>bf90bc151725ec2111a693c0d7eb0858</t>
  </si>
  <si>
    <t>da2c3fbac23ba11ec8a1a36e31578620</t>
  </si>
  <si>
    <t>c77d415d635d56706858140ae4354e45</t>
  </si>
  <si>
    <t>d1647f2613d1290aaddc5a88a73138c7</t>
  </si>
  <si>
    <t>62f0face795f84de82297b4dac2b3359</t>
  </si>
  <si>
    <t>eec278b875a784c7646e2a27648819d5</t>
  </si>
  <si>
    <t>b87d091b59c00691ef8fdee0f0472b5b</t>
  </si>
  <si>
    <t>dacd384dc05b1e124d70e1ef0853e413</t>
  </si>
  <si>
    <t>d7aa1c786d6e945204d4278cc64b5b35</t>
  </si>
  <si>
    <t>4125b4e94852e1a68b609205afc1f5f7</t>
  </si>
  <si>
    <t>ca8e71a31d3dbcd229b5d20e16c84450</t>
  </si>
  <si>
    <t>2f94d22f5e9da5bd2cf285436cfc3bac</t>
  </si>
  <si>
    <t>03e3ae4dc11a6abfcd5683caea151a40</t>
  </si>
  <si>
    <t>e94973dff35019bfc7ecb83adec7be44</t>
  </si>
  <si>
    <t>1bb11fd8dc9eb96a64a3254ca7b50d86</t>
  </si>
  <si>
    <t>0abf24c14ad561abf404253403336457</t>
  </si>
  <si>
    <t>87948c8b4e338f2a7518a1575b6af9d1</t>
  </si>
  <si>
    <t>0b921d8fd554dbac8df556dffc3828a6</t>
  </si>
  <si>
    <t>46ab5450fe949e0ee25a2f9530b71e24</t>
  </si>
  <si>
    <t>51d7eab534fbc97552ecb39280168cc5</t>
  </si>
  <si>
    <t>3bcad4e7af821b33b29f7078b90ab75a</t>
  </si>
  <si>
    <t>b3b8a37feeb568ab00924c4aab1bb404</t>
  </si>
  <si>
    <t>bee5b758330f25c58d519d04485388b0</t>
  </si>
  <si>
    <t>3a28dcc6580b3c654621295e81a0f41a</t>
  </si>
  <si>
    <t>24e55cac9cc9e1404b6b557666901797</t>
  </si>
  <si>
    <t>0113c64ca9d9475255c5d0d83e6d2367</t>
  </si>
  <si>
    <t>de680b2a19ca196c0b15309896e895fe</t>
  </si>
  <si>
    <t>2635743d5842a4475730345cf894efce</t>
  </si>
  <si>
    <t>bce8cad7949fc4fbc98789c5303a7a3c</t>
  </si>
  <si>
    <t>17742c3d43166d898221d20c95db7b1f</t>
  </si>
  <si>
    <t>40be5e4d343432ae4ae2145b6bb3139f</t>
  </si>
  <si>
    <t>9d1c3eae963a3752665ccb69cd7ac781</t>
  </si>
  <si>
    <t>17619ffd8ea725e27cd249494576175a</t>
  </si>
  <si>
    <t>6dcb35fd55d25d92c4a08f67ec636059</t>
  </si>
  <si>
    <t>9615ea4b6f188dd196b6eea0965f539e</t>
  </si>
  <si>
    <t>3941f8c06948efb0e9103601c92034ac</t>
  </si>
  <si>
    <t>acc51fbcbcb7e218430df58a98d4a181</t>
  </si>
  <si>
    <t>307c35d496ae3dffcfc3fa7eb02c692e</t>
  </si>
  <si>
    <t>6591c2bacb2f38c5a1da173a284be004</t>
  </si>
  <si>
    <t>b7444aa33236c190c7e81510bedfc9f4</t>
  </si>
  <si>
    <t>2329c2ed32352097d6b22e06b9e954ee</t>
  </si>
  <si>
    <t>8abd9143c60963e01449abdf2f36328b</t>
  </si>
  <si>
    <t>05cd9795646d1077a743ada13fbc2c62</t>
  </si>
  <si>
    <t>a22756dc4eff1df12a9996c7752df09e</t>
  </si>
  <si>
    <t>6e27be9c3876f321e484dd39f98151c5</t>
  </si>
  <si>
    <t>748fab8b7e42bd2467a07cbd200034b2</t>
  </si>
  <si>
    <t>963172122a0c8dad5d8a9cf46f21f5e2</t>
  </si>
  <si>
    <t>f846ad08fcff1ed09797b16e11fdc5df</t>
  </si>
  <si>
    <t>e14122cd6a12903e0fed829048b1769e</t>
  </si>
  <si>
    <t>b53e7dc2bf929b9f76ab8117eb16cdb2</t>
  </si>
  <si>
    <t>b8e4e4a2f63a80248fbe27cf57a24b34</t>
  </si>
  <si>
    <t>5d12d5a76a9683536eb23a6a1c9767cc</t>
  </si>
  <si>
    <t>f9195e75b0784070189f10f3aa96e026</t>
  </si>
  <si>
    <t>282b71a86a960e117b12b24d88aff20e</t>
  </si>
  <si>
    <t>d45659b1add6fd3c69381a78db010c05</t>
  </si>
  <si>
    <t>4ef352d82c0b3506a0df2ed486d44b17</t>
  </si>
  <si>
    <t>0e1267381db9da80a1c73f6e3673bf76</t>
  </si>
  <si>
    <t>49707cf9a38a9b8ee27e0de996121283</t>
  </si>
  <si>
    <t>e4656174f0a5436efd535a9a9d050e09</t>
  </si>
  <si>
    <t>d6b940b9220d02a4fe5072a08dd2f490</t>
  </si>
  <si>
    <t>b221554b9ec12f7efb490488a053e8dc</t>
  </si>
  <si>
    <t>6644da5af8cbc1c19a5c4ffbb088773c</t>
  </si>
  <si>
    <t>e0078b2675c0261aae3eed3eabfdada5</t>
  </si>
  <si>
    <t>3ca2b8b0c23b708334ab580a299f1ef6</t>
  </si>
  <si>
    <t>c746c52c4c3f89696680731b2f46e563</t>
  </si>
  <si>
    <t>5ce6a16b6c27341101979537c08ba0a3</t>
  </si>
  <si>
    <t>9d37d082ca6a765927ac1fe71fd53e07</t>
  </si>
  <si>
    <t>06f9e96bd9cfa3a22ca321a53dece2f8</t>
  </si>
  <si>
    <t>7b87b249b79fe3604cfa138d155eba82</t>
  </si>
  <si>
    <t>9c9b74ef3f74c104388a1b4f1e09183a</t>
  </si>
  <si>
    <t>27ef335b59e029e025c27ad12964d048</t>
  </si>
  <si>
    <t>793bd079516813905ca79e1937c9a050</t>
  </si>
  <si>
    <t>66a18289224fcaca68694426ede468a0</t>
  </si>
  <si>
    <t>d5d77039097a7e43942a979b91aed1db</t>
  </si>
  <si>
    <t>8f066a7bbf127f4e81f4809769daeb0a</t>
  </si>
  <si>
    <t>78c793baf5212093953257d855dc2203</t>
  </si>
  <si>
    <t>78c7f727f7802d1f600079cc24cb29e6</t>
  </si>
  <si>
    <t>f2d8cce98c79b34deecc466b1ee6f788</t>
  </si>
  <si>
    <t>ab37c92112681522ef22c20cdb519a05</t>
  </si>
  <si>
    <t>6286bfc662a7bbd771e9531b3bc72b39</t>
  </si>
  <si>
    <t>3a7c99a3533327252cbd93ad6be0b1fb</t>
  </si>
  <si>
    <t>f02960e7904985af88da8437958f4c10</t>
  </si>
  <si>
    <t>8f4de6d2564ae131229797ddb7e27e6a</t>
  </si>
  <si>
    <t>d5b6b70d699632863dc8f80e1648dcff</t>
  </si>
  <si>
    <t>935a281a70ae21d54479c9c468145f7e</t>
  </si>
  <si>
    <t>f3d5e3e0f15a5a5efc9037c79dacca53</t>
  </si>
  <si>
    <t>b831f1542ffea17ccdf5d39900c663a1</t>
  </si>
  <si>
    <t>9ed9b6174ec2dd7a7dd3f54bab3da3a2</t>
  </si>
  <si>
    <t>dea535178c7cc66cd64a57946b006ef2</t>
  </si>
  <si>
    <t>f6257eec25c897969941e5ea2475006c</t>
  </si>
  <si>
    <t>da35a24fb3674802565f8bd5243a94d4</t>
  </si>
  <si>
    <t>0b66b6f73bf8eb3226f29fe2bb6e01e3</t>
  </si>
  <si>
    <t>506291472dfc8663ac5a00ce16a1ab2c</t>
  </si>
  <si>
    <t>b2d2cf77d3f2786ea457f6631a67dd04</t>
  </si>
  <si>
    <t>0f73cec4e9f890d78002e10615c2d7f9</t>
  </si>
  <si>
    <t>484009fad1b995595009010b57815e2b</t>
  </si>
  <si>
    <t>be6a8bd950af30b17829a1d5c58d148f</t>
  </si>
  <si>
    <t>88f4ee270f7b74877a1fd3ef65df2192</t>
  </si>
  <si>
    <t>ae1a83fe550530355c270367859ea866</t>
  </si>
  <si>
    <t>424a86714113e18879e2ddd853473aa8</t>
  </si>
  <si>
    <t>f9fb7c79045fc492a18b051150c2b269</t>
  </si>
  <si>
    <t>e52917b6014799a313777d99a977c518</t>
  </si>
  <si>
    <t>044a076e47968415693e0a6e13ec1737</t>
  </si>
  <si>
    <t>38c6bc5cf8aad6cd719ffae73bd4190a</t>
  </si>
  <si>
    <t>3f7de138c8acede31e9a949fe5d6f9e8</t>
  </si>
  <si>
    <t>7268b745404a24f8c0d3c833be3ec546</t>
  </si>
  <si>
    <t>d1c0346fd48738633f88daca7a7f59b6</t>
  </si>
  <si>
    <t>07a498d2be79102ce2ca947bae2c53eb</t>
  </si>
  <si>
    <t>c5204334289d6a51e794d56aea6ebdf4</t>
  </si>
  <si>
    <t>12c39d8d04046a8099182c4d83191291</t>
  </si>
  <si>
    <t>d093b4a150384ffc0b1bb5d5042c0df4</t>
  </si>
  <si>
    <t>e06a3d7d02b402490a194d884f6c8f8d</t>
  </si>
  <si>
    <t>0b12990ae1d82e9573abb9a6df74ae00</t>
  </si>
  <si>
    <t>a00f98e6b5b44ce95b3489a3992ef26c</t>
  </si>
  <si>
    <t>244a2a16c9d3a2e517a188c9596676fe</t>
  </si>
  <si>
    <t>4502ce1cc7b543fc8c62d1f72a6e1d4c</t>
  </si>
  <si>
    <t>0b2197e2d0e22854d80d72d110c22e5f</t>
  </si>
  <si>
    <t>9908b7e0ab13119aa8daccbb7f425e10</t>
  </si>
  <si>
    <t>d05fc9c6881853e4a1574022b934666c</t>
  </si>
  <si>
    <t>042705c9448ec412a9f6ac0ac15d7000</t>
  </si>
  <si>
    <t>d396b4b665a89fe161dd89d58f9dd437</t>
  </si>
  <si>
    <t>63e9274c3a8aeec2906f656bcd9919bb</t>
  </si>
  <si>
    <t>67f163b6f2baf0f12300d9efa4589e79</t>
  </si>
  <si>
    <t>95f8fbf9e0653a1c0fee3572b5a25042</t>
  </si>
  <si>
    <t>0dacbbb65aed5d4ee2c067a456e7c0f2</t>
  </si>
  <si>
    <t>01623048e7d81ab613de0f5d03e95fcc</t>
  </si>
  <si>
    <t>d54d63fb8fc496a8fe130011a4c46ed8</t>
  </si>
  <si>
    <t>7bab2dffdde2dc0280f291194aec45b1</t>
  </si>
  <si>
    <t>3293d98701b94267cd995ecf50009b29</t>
  </si>
  <si>
    <t>d8f8b5cc467c7a3c7f815a8d90271f9d</t>
  </si>
  <si>
    <t>c05335c6fe386e872a058f0aab51f79c</t>
  </si>
  <si>
    <t>ce7fb789d312196518f2a053adc75382</t>
  </si>
  <si>
    <t>cf584308159f57263266dabb14d6bc5f</t>
  </si>
  <si>
    <t>86c26c7eb678214b9749fe1c5364cff2</t>
  </si>
  <si>
    <t>e2c9342d0e670ec1cb3997d3c4427d83</t>
  </si>
  <si>
    <t>3b6991cd9fad54dc97df4e068f4c0555</t>
  </si>
  <si>
    <t>721fcc3b7c8f54566385655d104ade16</t>
  </si>
  <si>
    <t>58afaf854f7536735ca81d981300eb12</t>
  </si>
  <si>
    <t>e25f42d74afdf8c6ca6a3b7ece3af051</t>
  </si>
  <si>
    <t>d1c63ba3bc4fb3539d63cc48feae519a</t>
  </si>
  <si>
    <t>457c753860099e09373e202e39292de9</t>
  </si>
  <si>
    <t>e60af3c102de8282382170efa4972471</t>
  </si>
  <si>
    <t>0ef4d5ae8ae4dcf531c4257754d5dde6</t>
  </si>
  <si>
    <t>20ea88ff2d4986dc61c779051ca98a10</t>
  </si>
  <si>
    <t>1e328ebc91246864ceb1ce61586b3f18</t>
  </si>
  <si>
    <t>371493bfd0120420acbe02aaf98c2f9b</t>
  </si>
  <si>
    <t>5346b5c4f02edb816860d9ade175e863</t>
  </si>
  <si>
    <t>06f2ae7068ee80cf19e8083bf7f3091e</t>
  </si>
  <si>
    <t>089dd30eda093ec9415c24ce6da94b33</t>
  </si>
  <si>
    <t>430a7e19cd27b66c8a4a756b85dbfd85</t>
  </si>
  <si>
    <t>146872de864d8019276493ea5c0e7389</t>
  </si>
  <si>
    <t>797a1e5473c21f6ded58930097451edf</t>
  </si>
  <si>
    <t>dabf7461e7b9fbcb03eb28449632f0c6</t>
  </si>
  <si>
    <t>02e6120e4959b0e4f86d16e2ef8f921d</t>
  </si>
  <si>
    <t>66f68f5bf67a47ff636f782f4172d690</t>
  </si>
  <si>
    <t>b3e6fdc36d0f16ef605f73a6ad7f89fb</t>
  </si>
  <si>
    <t>fc45efdc2a351a5eeee3268204677741</t>
  </si>
  <si>
    <t>23378c6c78359857cebc81724ca90516</t>
  </si>
  <si>
    <t>e8644ee27d873e0bb207499b0279b8e8</t>
  </si>
  <si>
    <t>366d097cd45a78d0c5840e1539d06c5f</t>
  </si>
  <si>
    <t>c2a905eb852f356108eaa8082531b993</t>
  </si>
  <si>
    <t>1852e1d1aba3354f8ceef1b48261bf5e</t>
  </si>
  <si>
    <t>9efed2e1502ab658bc39ff6d4b4f0571</t>
  </si>
  <si>
    <t>72bb4d11628992977789564852118f0a</t>
  </si>
  <si>
    <t>80b34c84a6e5ed25df112c11de676adc</t>
  </si>
  <si>
    <t>55f16320eb523947f12d2e94d9630c6e</t>
  </si>
  <si>
    <t>4c1d160c669f361c1e48dac11891ff84</t>
  </si>
  <si>
    <t>3d6e8cdf62c3b687501808cc1203704d</t>
  </si>
  <si>
    <t>e4b976d55a102a5b6ff224fef96b74d1</t>
  </si>
  <si>
    <t>a0c6cd885e0a0bd2ebfb8710f10c6bc8</t>
  </si>
  <si>
    <t>5033fd9ca925f86dbd50b35dcdd85206</t>
  </si>
  <si>
    <t>131efc3e9dc6088e07ffe4a4c0b2997d</t>
  </si>
  <si>
    <t>fe13849d9b9437c5a61a1760ada2a5a6</t>
  </si>
  <si>
    <t>5567092517e0ed42d94cf318195e0737</t>
  </si>
  <si>
    <t>2f41e7aed7a2bbd8650634585c71f49a</t>
  </si>
  <si>
    <t>b34157d44b5503bf9ef416fec0912265</t>
  </si>
  <si>
    <t>d8c6b8a52c837b407a6c7ab08ccb1c25</t>
  </si>
  <si>
    <t>0bdfd2a67deb53a40acbc39554d5a40c</t>
  </si>
  <si>
    <t>ee50567c32d7c2e693df4a6206c71b00</t>
  </si>
  <si>
    <t>0b24b170565b7135fe2969a3034a4d80</t>
  </si>
  <si>
    <t>6623f60e12e3d40244a0a59f4f765695</t>
  </si>
  <si>
    <t>75aab46f2247643e6b53799b70f140c5</t>
  </si>
  <si>
    <t>87fc1fd2316e69d5c46396b47ed63b0a</t>
  </si>
  <si>
    <t>925d278231dfd856648289a948676aab</t>
  </si>
  <si>
    <t>2ca3d98d9a3e1a889ab612286310f272</t>
  </si>
  <si>
    <t>cd7353ce107dc4dd111bb68c0f211638</t>
  </si>
  <si>
    <t>fb15e71ebe80aa93e4a63eeb755645d3</t>
  </si>
  <si>
    <t>0b2dc5b52bfadc656ccc226aac89c006</t>
  </si>
  <si>
    <t>ac40e06a05077ea6f2d8390c675d6134</t>
  </si>
  <si>
    <t>f9347d86498a6073bb60abcf63aaa82d</t>
  </si>
  <si>
    <t>391c5f953a77f6ddf639b5e62bb75c3e</t>
  </si>
  <si>
    <t>29c5bc899fe290c1dcdab537dea8354d</t>
  </si>
  <si>
    <t>327dfff1faa4cfe667239273e6a957f3</t>
  </si>
  <si>
    <t>7cbb793c46d7cad3981035cf922bd3f1</t>
  </si>
  <si>
    <t>07238496476853bbaf3d939a7aaaa468</t>
  </si>
  <si>
    <t>ae8e0b4d73ca94fcfbceee69c857a979</t>
  </si>
  <si>
    <t>3e60378a5dd096f82f27912f135834bb</t>
  </si>
  <si>
    <t>84e06f3c71f657723173b3ddfe08fd8c</t>
  </si>
  <si>
    <t>d73e1b0064831ecbe5d9d9b80b93e05d</t>
  </si>
  <si>
    <t>77264695a901fc9441dd2ee7b7b51b8d</t>
  </si>
  <si>
    <t>24fd82394ab5c4074297d17f7847b17a</t>
  </si>
  <si>
    <t>b10f57569fe466913232452fac15d629</t>
  </si>
  <si>
    <t>3c81b085f42fee9992a2391b4aaee470</t>
  </si>
  <si>
    <t>7b4bdc3a82282ed018028c06f93de168</t>
  </si>
  <si>
    <t>0a252e869424c89cf3608e07399b61f6</t>
  </si>
  <si>
    <t>3855b2c59fa297321e09f9fb84704114</t>
  </si>
  <si>
    <t>ab002bd7abf55a71372511eeb199ecb6</t>
  </si>
  <si>
    <t>274717a0a7b3e03bd51ea93f16ba9ff0</t>
  </si>
  <si>
    <t>7486581e59125cd5f9359ed626dc21cd</t>
  </si>
  <si>
    <t>5ae63033da972dabecced97e212f498b</t>
  </si>
  <si>
    <t>31c702f51d04d3663c3c14d943fb0dc5</t>
  </si>
  <si>
    <t>ce625c9ab179898b1a9b3736df9bff79</t>
  </si>
  <si>
    <t>6af924ebe7eec2218f8d11d3dd582d04</t>
  </si>
  <si>
    <t>e4c60bf7a076969fc058178b44f2f054</t>
  </si>
  <si>
    <t>ab226bf7dc4eccb159825803a6726f3a</t>
  </si>
  <si>
    <t>d3cc657a4d53c20a3915b2ab9899ff53</t>
  </si>
  <si>
    <t>2e19155dc6fe707f02d4d3dc88508930</t>
  </si>
  <si>
    <t>6b7dd1eef93a9c8a69c524492bc0cf56</t>
  </si>
  <si>
    <t>3e79c62a8c156c71bc7d1ff24609d223</t>
  </si>
  <si>
    <t>53c5a211f3c872c044a40db449c13006</t>
  </si>
  <si>
    <t>6c808494fdd77fd448444c34a941957f</t>
  </si>
  <si>
    <t>b5a223831a6480f68ee075531fe18d91</t>
  </si>
  <si>
    <t>d61d1b751765ab7039a9c40cea1bd6de</t>
  </si>
  <si>
    <t>f615f73c15958c1b072e4dafcac7c38b</t>
  </si>
  <si>
    <t>b66db79f2f2507f17b72e103e6e02beb</t>
  </si>
  <si>
    <t>e3c216d521607da146fa23d65cfcc6b6</t>
  </si>
  <si>
    <t>5ed6cee74a45ce283c9520c578979754</t>
  </si>
  <si>
    <t>af8f57de2e5181debd1b2fcc14790719</t>
  </si>
  <si>
    <t>fb34f2e3ddb6d7356239266f0280a021</t>
  </si>
  <si>
    <t>0870efc24a9c3073a12ba0e9b94624f8</t>
  </si>
  <si>
    <t>1088cfbd540321e61be04e54d0502a70</t>
  </si>
  <si>
    <t>40ead786a8ec589d3d7b15a8552199ad</t>
  </si>
  <si>
    <t>50a039e881bb157121e9ea9afea996c5</t>
  </si>
  <si>
    <t>ab7bb75d487697611bc69184adcc2e79</t>
  </si>
  <si>
    <t>6a539b31d65a801da9851d71f286d69a</t>
  </si>
  <si>
    <t>b79850c1310417e3ce582e3d303dad98</t>
  </si>
  <si>
    <t>e9e396caabf546e0ff4f747b47538192</t>
  </si>
  <si>
    <t>2da3df196ff25fa5183cddba80a6df9b</t>
  </si>
  <si>
    <t>6a16ba9f18f8c2a7daa2b4af4c814979</t>
  </si>
  <si>
    <t>73061a40eff11e675791547fb8d719bb</t>
  </si>
  <si>
    <t>9c19bf493fb017f18387b466e26d6c5d</t>
  </si>
  <si>
    <t>b8eadb229854b2add23d0371cc31b937</t>
  </si>
  <si>
    <t>82f4ec0886a346b2e2b220e1e805b22f</t>
  </si>
  <si>
    <t>0566a85f6665677610d6af3482ea8dc4</t>
  </si>
  <si>
    <t>b6ddc699659f7367c8ef5843c08a854a</t>
  </si>
  <si>
    <t>9d4614272961eadb8e650a04429aa880</t>
  </si>
  <si>
    <t>6eaeb92aa84721ed6e66f4c77ccfa308</t>
  </si>
  <si>
    <t>aea4b641ed399a8eeebbe438b7380975</t>
  </si>
  <si>
    <t>a620fe2c33c9580566adb1e9b61ffdbc</t>
  </si>
  <si>
    <t>a8d270c32b2b86a79ae2bddaf14f02ee</t>
  </si>
  <si>
    <t>4087e9b879a660c898f68c467aea19f5</t>
  </si>
  <si>
    <t>c4b96e147d004941235298b2e5fb678f</t>
  </si>
  <si>
    <t>07a2470081a8add64439de078c6a974b</t>
  </si>
  <si>
    <t>291d04502a4b1aed67913f0bcc7c29eb</t>
  </si>
  <si>
    <t>7de6a7c019420e05a7f57005114ef113</t>
  </si>
  <si>
    <t>1b45b0f97ceab36bd24ee1e318824f4e</t>
  </si>
  <si>
    <t>a7f0f550578261d8a0507e6972d5925c</t>
  </si>
  <si>
    <t>c5e72242931c10ddd2b0ceb628df444c</t>
  </si>
  <si>
    <t>4fec58181bb416f09f8ef0f69433584f</t>
  </si>
  <si>
    <t>b836950dbe8b92c95f2f3c5c7eea553f</t>
  </si>
  <si>
    <t>6179c371b2b9c0705516308bf05fb5c3</t>
  </si>
  <si>
    <t>854b67fd351bcb21641cf961fc331588</t>
  </si>
  <si>
    <t>7ccacc3131595affe7e7c19638e4b1d9</t>
  </si>
  <si>
    <t>40c96aecfca4955b9c192e6dcea235ac</t>
  </si>
  <si>
    <t>7532e11ff40e244cedde99f723f5e882</t>
  </si>
  <si>
    <t>aa37bf5616786370647d18bc7c0a7fb8</t>
  </si>
  <si>
    <t>52b4d18da1e03d00a2563b3165e730f3</t>
  </si>
  <si>
    <t>bb7272eafe90d1ea3a8dd6db76688ad1</t>
  </si>
  <si>
    <t>dbc4d971889417b0f4cb0434de170a51</t>
  </si>
  <si>
    <t>4e110d30a032a48c5d477667d799deaf</t>
  </si>
  <si>
    <t>c828b4e93bd75e8f7307dbddedea6480</t>
  </si>
  <si>
    <t>b426d5a2b451d679c6ed6dab4b3c5935</t>
  </si>
  <si>
    <t>a95c02568fa55326e1cd3c09207ec4d1</t>
  </si>
  <si>
    <t>7c365ebfc34003c40033cc47f6116dd1</t>
  </si>
  <si>
    <t>feb78ee29377237a3bfa93e3b61c1655</t>
  </si>
  <si>
    <t>9cdb4000a2c0e308cd60aaa1cc1255e8</t>
  </si>
  <si>
    <t>ca8e7293f583c27697759e87b2c8939e</t>
  </si>
  <si>
    <t>d7051cd5577152e670abbf27b534b704</t>
  </si>
  <si>
    <t>ad026dff540c995d19c383521dbb1c3b</t>
  </si>
  <si>
    <t>195e177726dca8a0914e3720f7445285</t>
  </si>
  <si>
    <t>963804be09622f182e4dde9d9e0568fa</t>
  </si>
  <si>
    <t>c8aac3305163e4e8146ec929d36cf85c</t>
  </si>
  <si>
    <t>fb414e2a21907d9aeb4e7d9715a92a00</t>
  </si>
  <si>
    <t>fa80153c38c0265b4dbaaaabc54f7485</t>
  </si>
  <si>
    <t>001d3439223b7bb23ed89b9c8890d096</t>
  </si>
  <si>
    <t>21775204c891c30a8bdbce38be61b422</t>
  </si>
  <si>
    <t>87786131694e11c1ba38107de8ffae8e</t>
  </si>
  <si>
    <t>5baaf1929e42802a02e0093561aa2ea2</t>
  </si>
  <si>
    <t>ca772cc23c0069d24e8d7e6dd0b7b40c</t>
  </si>
  <si>
    <t>40d1e4a3f1f801fa779a5f648031300c</t>
  </si>
  <si>
    <t>19b919b394e6637fb5decaa848a20d1c</t>
  </si>
  <si>
    <t>5f65779385b869a20f71cc0bc77311cd</t>
  </si>
  <si>
    <t>4f2f8ee0331d05de182065745dac1ad3</t>
  </si>
  <si>
    <t>e94378d015c20a82b0585c1011f97d7e</t>
  </si>
  <si>
    <t>5246c96db29909e5fc9432e1db33c2b5</t>
  </si>
  <si>
    <t>b98004311446c60521a8831075423c20</t>
  </si>
  <si>
    <t>59dde4945f938af0224dc8f323348f35</t>
  </si>
  <si>
    <t>dfbc43ed522050e969e8fca978cbdcb3</t>
  </si>
  <si>
    <t>994b6ab829b64d07357dbbb654025d5c</t>
  </si>
  <si>
    <t>60ac4f31ab5b2ee3e0372030eb2a19de</t>
  </si>
  <si>
    <t>0c051e687e5a624f4543dd6adca7508b</t>
  </si>
  <si>
    <t>51ae8ee238cd187751ea16ccd5b42ff9</t>
  </si>
  <si>
    <t>98ff5000b5b118e27d8a4d8ea171d6dd</t>
  </si>
  <si>
    <t>017e3cdfbb52cd9828ec3136354c54b2</t>
  </si>
  <si>
    <t>69dd3adb0041b1f8f96fdeb353d418a5</t>
  </si>
  <si>
    <t>61b360a12f161b4fc2ddd1c891284e39</t>
  </si>
  <si>
    <t>4a7292e7394b1e8f0a5b99b233065859</t>
  </si>
  <si>
    <t>596f8ff563daa92917b1ca6544055638</t>
  </si>
  <si>
    <t>16e289983cce14eda9b2ade90076c44d</t>
  </si>
  <si>
    <t>23ad20eef871a6b764607326cbb28062</t>
  </si>
  <si>
    <t>1781517e135bc756f7f16c1f07c7e7f6</t>
  </si>
  <si>
    <t>2ec8adb60182b3c41a31333baecd332a</t>
  </si>
  <si>
    <t>648cbc29675eff7e6f337ffc66c907de</t>
  </si>
  <si>
    <t>1b4f2f6f94b053e3a32726e62b85db9c</t>
  </si>
  <si>
    <t>a86c4aec1bcf14eb30646ed8df2d2401</t>
  </si>
  <si>
    <t>882f51857b62621eafb2988625a16b2e</t>
  </si>
  <si>
    <t>c1b951c33c83e75b4102e4396b29633f</t>
  </si>
  <si>
    <t>fe1d29cf02c128bc7f714c4fab1fe7dd</t>
  </si>
  <si>
    <t>e6f5a53f93c11dc9f418531040987730</t>
  </si>
  <si>
    <t>311cf1b7f713e0e2233801f82486b33f</t>
  </si>
  <si>
    <t>8053519398a89e3d928132298251e0ec</t>
  </si>
  <si>
    <t>ececf8310d5c47ae7dbdf1cda6163c72</t>
  </si>
  <si>
    <t>7d362ec0c2c1a826ffdd988a8da27bbc</t>
  </si>
  <si>
    <t>31b7dbebefaf552b556cb54e164f94c5</t>
  </si>
  <si>
    <t>25b3a3d4f23eec4263e495f5181e207f</t>
  </si>
  <si>
    <t>2c81a094d632c8b510c6c676eec4c358</t>
  </si>
  <si>
    <t>a00ba776735f6e27e0619d46a07be9d3</t>
  </si>
  <si>
    <t>49c5e16157922ea55efd28991c653dc0</t>
  </si>
  <si>
    <t>e29b0e21fb5035674413d42d83931ca9</t>
  </si>
  <si>
    <t>9ed1f55ac4f3b402b1d08b26870c34a6</t>
  </si>
  <si>
    <t>6a005efe7039a488ef82720efba1d28e</t>
  </si>
  <si>
    <t>e4c72549fee9063d8aa8f9b6c0b621af</t>
  </si>
  <si>
    <t>a5b1612c586470dd5dc023c28474e101</t>
  </si>
  <si>
    <t>71d8c7b32b506beb1d6469832a153576</t>
  </si>
  <si>
    <t>b231775cd526337853019cef1eab2b3c</t>
  </si>
  <si>
    <t>af2584b5bb7fffb22c8f27c5b9657ccf</t>
  </si>
  <si>
    <t>eff2afaf73d134f6ea9eb98ff373426c</t>
  </si>
  <si>
    <t>e72aceb00e6097c55a790d4e7ae23a9c</t>
  </si>
  <si>
    <t>992293aa502a94d9d76d1d0313c00873</t>
  </si>
  <si>
    <t>ebae6bc5deeca109d899c4ec7d9d30c0</t>
  </si>
  <si>
    <t>d9ee56d47bdcadd39f2ec0d61f571cf3</t>
  </si>
  <si>
    <t>e19ad74a5332238bfeb6be4a61daf6e7</t>
  </si>
  <si>
    <t>955eae3d90fefc75fd6ecfd4ba804b11</t>
  </si>
  <si>
    <t>567e98ff27e67b99ca683e7cdf92e63e</t>
  </si>
  <si>
    <t>f1031e5f06c70abc713119143e888b33</t>
  </si>
  <si>
    <t>c07be9421fc64b8e8ca2ebc12fcbd59d</t>
  </si>
  <si>
    <t>5b7b29577c93096ec507f2257eaaaa83</t>
  </si>
  <si>
    <t>8164aef00b1608446b1770236e5e6032</t>
  </si>
  <si>
    <t>d8c3fc67def99b7b61593abe7920f3c0</t>
  </si>
  <si>
    <t>c7bf6d5cc46eabd157d7bb7e037b3e00</t>
  </si>
  <si>
    <t>dbfff4b26f72f011fa23bfef71dbb28a</t>
  </si>
  <si>
    <t>0237e3fc730282fd48eb4345a4269308</t>
  </si>
  <si>
    <t>3acba2462aedc96a84aa63c995f13572</t>
  </si>
  <si>
    <t>7a2831d578da49e38936bc3fa5ce5ca6</t>
  </si>
  <si>
    <t>e22ea1e7242e8f9094af1539c4154566</t>
  </si>
  <si>
    <t>82717311c998510059faacba4518f33d</t>
  </si>
  <si>
    <t>52a08c56d3b13cb6c8ce804776423e6b</t>
  </si>
  <si>
    <t>db97422a6c4b71ad4dd3f520f58efbc2</t>
  </si>
  <si>
    <t>ddb7775a4804e74eb1c80b5a36f3ffcb</t>
  </si>
  <si>
    <t>9a5d1781b5a5cb66c99703c5dee81a1a</t>
  </si>
  <si>
    <t>e74fdb91855052441b7e5a9e7bf5fc0a</t>
  </si>
  <si>
    <t>f37ef71e570a8c693cac4cfca7654f8e</t>
  </si>
  <si>
    <t>7ffd8ebf0f316956c827375501307e10</t>
  </si>
  <si>
    <t>d18a6195ef9a4d256b2cfad6aa68e3f7</t>
  </si>
  <si>
    <t>86cd44d9fbd46fa7d4e40bc4dd5974a2</t>
  </si>
  <si>
    <t>c0ca5d6a5e9d01d0a3090342be8d5751</t>
  </si>
  <si>
    <t>1bbd8746b185f6d539461fc40141577a</t>
  </si>
  <si>
    <t>44a1a9f5907b7f74666d766251addcdb</t>
  </si>
  <si>
    <t>b0e7534770a01a688aff0634fe3dd8cb</t>
  </si>
  <si>
    <t>1a7674b238ffaaec2e45018a46f98fe1</t>
  </si>
  <si>
    <t>e9b960bce9db4860098e82117b16779d</t>
  </si>
  <si>
    <t>6365eae9b4deb122bd2b3bd6558a02e7</t>
  </si>
  <si>
    <t>14749bb109fb4d289fd6969319dbce5b</t>
  </si>
  <si>
    <t>2a1d34135c9e8ef1c6f8d5078c51712a</t>
  </si>
  <si>
    <t>1db37ae750650dfac3ff2a7a911cf8a3</t>
  </si>
  <si>
    <t>14b9130e6dbe8185cb68fa211921a335</t>
  </si>
  <si>
    <t>9e4903ea29841bc16eab71500292e9b0</t>
  </si>
  <si>
    <t>afd2cd234908613bcd2de4dfc1f06ce0</t>
  </si>
  <si>
    <t>9d9eccffd54263a549444e51c074a503</t>
  </si>
  <si>
    <t>034c10ab1b11b364665ebd9d26a19a49</t>
  </si>
  <si>
    <t>605aef0bfcf4c561ad415e03c319f568</t>
  </si>
  <si>
    <t>2fe8c763d38d70e7d3e00b95f22a48be</t>
  </si>
  <si>
    <t>f47e65e203e26f9f640a3c1d52f45a9c</t>
  </si>
  <si>
    <t>bfd92313d9585fd77902c66b505b30b2</t>
  </si>
  <si>
    <t>742ac6b5dc0109b50c1506eee8c8c895</t>
  </si>
  <si>
    <t>daa178b0fd24b633634b00b9e8781fe2</t>
  </si>
  <si>
    <t>304678bd2a45713cc7bfcb1a9e19c8e4</t>
  </si>
  <si>
    <t>a08b8a9e3da653c1147cabd415627a4e</t>
  </si>
  <si>
    <t>7e41e95e74a87beb8917ceff867828e3</t>
  </si>
  <si>
    <t>c8113305c0428b74ed3f1b6051520039</t>
  </si>
  <si>
    <t>4c32ad344b09ff872f942b6d2196e720</t>
  </si>
  <si>
    <t>8290207904a74d28e7c0afdd6a974745</t>
  </si>
  <si>
    <t>214bf5f943f8aa073d06965c1dd2fa86</t>
  </si>
  <si>
    <t>0388e3b48172f10f9ce58d86b3c86f74</t>
  </si>
  <si>
    <t>faddccf025526f14b9443502d796a57c</t>
  </si>
  <si>
    <t>9a1bd630a47dabafa6f4cab7338d01df</t>
  </si>
  <si>
    <t>585f0bc49103ac4d59049fa6eeed7086</t>
  </si>
  <si>
    <t>45aea7db0f03fecc77f969bd296cdc62</t>
  </si>
  <si>
    <t>40025295e30fc6de2015af73793e583b</t>
  </si>
  <si>
    <t>73ea78729d717e6a435948b8912a67cf</t>
  </si>
  <si>
    <t>91648658a3e987ddb81913b06dbdc57a</t>
  </si>
  <si>
    <t>b3e1842e0ce3687d21d6a2292b4ad7cd</t>
  </si>
  <si>
    <t>f65c867a3d43ba449324297c18e7b28d</t>
  </si>
  <si>
    <t>69f6ffd71cf2dc9146e752ec559a9b06</t>
  </si>
  <si>
    <t>9311ad2e1bb25d128e110548679cb4a7</t>
  </si>
  <si>
    <t>1fa3b85e26b3058ead1ef2eec9be060e</t>
  </si>
  <si>
    <t>5ac743bb07d7ade910de883559891e70</t>
  </si>
  <si>
    <t>9ea617ae92116e11f89772bdfacfd259</t>
  </si>
  <si>
    <t>937304cff44c617ca508c6b84ffec3af</t>
  </si>
  <si>
    <t>cfa24dfc286adcb9975766587623be62</t>
  </si>
  <si>
    <t>cb0dfa84f66dc1d66825f5aa726cbf55</t>
  </si>
  <si>
    <t>52e554cdb04f5149a995245284f2c62e</t>
  </si>
  <si>
    <t>122fb7b4ed45d1a1489232864c606b4d</t>
  </si>
  <si>
    <t>38fd577719a20b566bec71465f6433c7</t>
  </si>
  <si>
    <t>d2a83dc418ee9d6209d8356fca703f13</t>
  </si>
  <si>
    <t>7a5e445620cfafd23f47b6b098552680</t>
  </si>
  <si>
    <t>0002ac0d783338cfeab0b2bdbd872cda</t>
  </si>
  <si>
    <t>5b2afc07f58d13c0203bc1df693d7017</t>
  </si>
  <si>
    <t>c18961bb80e7f3191e559a807c285346</t>
  </si>
  <si>
    <t>c9f5c37976afa879c834b505e6ef3fbf</t>
  </si>
  <si>
    <t>de3a8280fcdb3da95e3b4626cead3986</t>
  </si>
  <si>
    <t>115b478f61c168971e1104d57ee864d3</t>
  </si>
  <si>
    <t>1b9b3786eae526755467c2593d194005</t>
  </si>
  <si>
    <t>f6f0655687b41bca41c7cb54c5d407ba</t>
  </si>
  <si>
    <t>94df92c67698963892f60d2555502330</t>
  </si>
  <si>
    <t>691efa333ffa8b324ea55ee0b7c18e06</t>
  </si>
  <si>
    <t>599430bd25e315dd79020a112a1593da</t>
  </si>
  <si>
    <t>49c6013040690fa5a2a112d8deed3ed2</t>
  </si>
  <si>
    <t>a3518523747eac6db7b48a08e17fbdda</t>
  </si>
  <si>
    <t>0b84d107cba64fb8838526eada92266f</t>
  </si>
  <si>
    <t>7b1aeb59bfb3361ebb4d7ccc9d19ccc3</t>
  </si>
  <si>
    <t>d7a57d0c4b7110dfcb07f4e3a480abe1</t>
  </si>
  <si>
    <t>3c538ad6a469be29e6d278928930e8a0</t>
  </si>
  <si>
    <t>a00d4e8d2c0e9f0a8bb202f951fb4204</t>
  </si>
  <si>
    <t>41a4d058f1a2dbe5beba9055b3bd6127</t>
  </si>
  <si>
    <t>ab116216adca62a33056c6907bc35e82</t>
  </si>
  <si>
    <t>5c75765a72526e13a1a511b39cc7691c</t>
  </si>
  <si>
    <t>52918b958baa373d64050a74f8029329</t>
  </si>
  <si>
    <t>e5c0e8436f7cfb3effbf1fdf355a1917</t>
  </si>
  <si>
    <t>6a0e49df08b17bf0678c26b399429fe3</t>
  </si>
  <si>
    <t>7fdee983c737fb9d29dbd5c094136a97</t>
  </si>
  <si>
    <t>37db35cc291fceddcf807acffb973a7e</t>
  </si>
  <si>
    <t>27cef5e32aec7ca8ff6af886e6dbb7e9</t>
  </si>
  <si>
    <t>59d346b461701840a8ff44a94710704c</t>
  </si>
  <si>
    <t>0528dea9bbc7d49632849e66267cefd4</t>
  </si>
  <si>
    <t>669d91a3e39f8631b18144616889fd7d</t>
  </si>
  <si>
    <t>cff78f40e6cdb80bb902d9a978eb4a76</t>
  </si>
  <si>
    <t>af5b84f03fc2467351129eced8f32909</t>
  </si>
  <si>
    <t>9554b1e815bd9412c45cf4cc459288bc</t>
  </si>
  <si>
    <t>748129f3c8c47e317738dc6ffc11cdd1</t>
  </si>
  <si>
    <t>868329656ab8bac9417b7536c7a65916</t>
  </si>
  <si>
    <t>0c6daff5aaefbe33461eebd8510d62fc</t>
  </si>
  <si>
    <t>f9eb559a923f2ec46c474acd132f5063</t>
  </si>
  <si>
    <t>c0fd33132cf60f26b36f3e719c407beb</t>
  </si>
  <si>
    <t>c40de21f3a2cbf872822c2621b715908</t>
  </si>
  <si>
    <t>96a65578dd725718afb62869c9c1c3b3</t>
  </si>
  <si>
    <t>64d8893148a469697146699d112348ae</t>
  </si>
  <si>
    <t>b43d1b7bc56415513f6bd4feced8d9c4</t>
  </si>
  <si>
    <t>2cd90f863d7d8fa6dfa5f8a676951785</t>
  </si>
  <si>
    <t>13fa6688e41e863dcbfdb4c6112c4c86</t>
  </si>
  <si>
    <t>6d3a5f2d64040a89905d2c1e99ee9bd9</t>
  </si>
  <si>
    <t>bcfaf6aa2ba8e45ff2d75a8071f0d8da</t>
  </si>
  <si>
    <t>261474eb96c1fdc6456d2abef7019e45</t>
  </si>
  <si>
    <t>4e714dc795dc50b932e2a837e3efc472</t>
  </si>
  <si>
    <t>8c6dfa6b68fce0253f547f8dc6646714</t>
  </si>
  <si>
    <t>0614246be779f487561864068a5bc93f</t>
  </si>
  <si>
    <t>c0033b86241ab2270d5b6913fe466d1c</t>
  </si>
  <si>
    <t>849c1698afcec69d2ccf6ca24203c838</t>
  </si>
  <si>
    <t>df1fac063a914249e52931b13073ade1</t>
  </si>
  <si>
    <t>7c3a966d88a80726a95c2e16e56c3997</t>
  </si>
  <si>
    <t>5aae68270b448da2adfa823502b512a8</t>
  </si>
  <si>
    <t>44d5a62d31a467c4504308fb09c6c0cf</t>
  </si>
  <si>
    <t>48388b43175c3c7bc2c83a6225387a1a</t>
  </si>
  <si>
    <t>afbc32e57e872cc3ecfa37b1bbae5ceb</t>
  </si>
  <si>
    <t>20818537cc5cb1fe3dd50baf7c362808</t>
  </si>
  <si>
    <t>245149b06f14727ef0eb8c159cc246d6</t>
  </si>
  <si>
    <t>527806cc6db515fde95713ea4fb49329</t>
  </si>
  <si>
    <t>ae91b05cf9c865b54cf57adf35831853</t>
  </si>
  <si>
    <t>0e55ef5f7354c3851d022f15f418c8b1</t>
  </si>
  <si>
    <t>127417dfbda8ba627d66c0dae4aef409</t>
  </si>
  <si>
    <t>73a7827edfe1091a9a3033e4431899b7</t>
  </si>
  <si>
    <t>e9c8c72816ffd1b23e14c4e8885bccca</t>
  </si>
  <si>
    <t>2b7230937a3c73d9e0edc3a581ef17b0</t>
  </si>
  <si>
    <t>b193a18acdf9844ca47c4fed6b46438d</t>
  </si>
  <si>
    <t>d6d7babb957cc1fe1222012574e5d62d</t>
  </si>
  <si>
    <t>3e9702e1570af46ccd4551b7f4909f6f</t>
  </si>
  <si>
    <t>6f53f6d0c952a949b75444785c3a1399</t>
  </si>
  <si>
    <t>e606763b01171afd48e13b91a9cd1307</t>
  </si>
  <si>
    <t>2d8ce57ba47edc5772f64ea6b2bdf80d</t>
  </si>
  <si>
    <t>e23689354edeb3c7a1444b1f3ae34657</t>
  </si>
  <si>
    <t>182a5f6ae249ac1aaa84efbb5ed3d843</t>
  </si>
  <si>
    <t>d532683c8b6d6c616449cc6bc2c325f6</t>
  </si>
  <si>
    <t>f63c50ba409100be3ff7fa4b4cde9de7</t>
  </si>
  <si>
    <t>4f13230465cb8df938e896c598b30727</t>
  </si>
  <si>
    <t>eaef73772fcb49f558324ad51e5c4d2f</t>
  </si>
  <si>
    <t>b241600bbbbc8cfbba760be3f23083bc</t>
  </si>
  <si>
    <t>ad3a14270fa2d83b1fec766852384865</t>
  </si>
  <si>
    <t>c6ebbf2d911fff534ae3b0b18d7e90a8</t>
  </si>
  <si>
    <t>155882bd2be6bbd7f2e84ef47700b81a</t>
  </si>
  <si>
    <t>2c0b63ee34715edf629f6c3e41c8a6b2</t>
  </si>
  <si>
    <t>88759fc0e73600b1a941d8defae4d6b8</t>
  </si>
  <si>
    <t>62bd738b34b531c688288d719e54d5f8</t>
  </si>
  <si>
    <t>84553c65c2ee604b13e9bb8c8f9e6357</t>
  </si>
  <si>
    <t>bd50bebec256c500722bd95b6922f31f</t>
  </si>
  <si>
    <t>28f82072a5a18e86fd5a4dce4fce5aa5</t>
  </si>
  <si>
    <t>a3f0bf3bab7b197f173b2fc81a275eae</t>
  </si>
  <si>
    <t>18491156799c51080e55a1cc72ac93fd</t>
  </si>
  <si>
    <t>e2c212e45ba2d460f3bd1cfac305003a</t>
  </si>
  <si>
    <t>d957c740b68c99460027ce006a09d2ba</t>
  </si>
  <si>
    <t>990cc4542b939a4b022248666a124fc1</t>
  </si>
  <si>
    <t>1f58b5ce3e6444b0f94cdccab62090a2</t>
  </si>
  <si>
    <t>4c683c64df361d9d0ca0257aa0d80f49</t>
  </si>
  <si>
    <t>7fe059987fe6e9d0cb6a7c2e98874d4c</t>
  </si>
  <si>
    <t>9498ed9da593442dddeb83b6e0535e61</t>
  </si>
  <si>
    <t>321490c58d4ea3d4c09d27b3cb7adefa</t>
  </si>
  <si>
    <t>dbe5b26b5ed29d8c0e1daa96f2a92370</t>
  </si>
  <si>
    <t>02344d723e060b8889a93deb829d701c</t>
  </si>
  <si>
    <t>1df134a4343e125344de1e920a01ff80</t>
  </si>
  <si>
    <t>b34c567bf9cfa6ddc40b5b0d2d9c5bc7</t>
  </si>
  <si>
    <t>bb5e2c8c1c4b94480182b27de9e59821</t>
  </si>
  <si>
    <t>fbdc4c9cf46e2ec05a0918c7ac9a0c69</t>
  </si>
  <si>
    <t>984da878ed3cbfe513b2dc947a15f7a7</t>
  </si>
  <si>
    <t>bf1d6630399b41762101974ce48e426f</t>
  </si>
  <si>
    <t>7a0c35c6874df37d89972c5ec84856e3</t>
  </si>
  <si>
    <t>5325ad032ef3e3d5e7dc9e1ec565fa23</t>
  </si>
  <si>
    <t>1f2733934120eee94d6f3a7df9ed85b1</t>
  </si>
  <si>
    <t>dfbbd56dd734236492ffc79f2c16b106</t>
  </si>
  <si>
    <t>cd8b6b3c5d37cd78b6de2c4b5e80b15d</t>
  </si>
  <si>
    <t>988351ce43f13c91eff27470890c8376</t>
  </si>
  <si>
    <t>b71a60c8bdb4d9e8cfe4790de7d18c40</t>
  </si>
  <si>
    <t>6e716527a676bd6a5db9d633797df5c4</t>
  </si>
  <si>
    <t>e143deaaa05532392f9ab5ca2af8fd2c</t>
  </si>
  <si>
    <t>f9d6b4b6c27bc520071ac934b5845e50</t>
  </si>
  <si>
    <t>0f1fc687aa65dc3bfee3c053472ce62a</t>
  </si>
  <si>
    <t>5c737c9054455690570a9f7eac5dc198</t>
  </si>
  <si>
    <t>550a339e477f57d149a2dc62ea703bea</t>
  </si>
  <si>
    <t>4a893a88d15d3770375c5410eca302f3</t>
  </si>
  <si>
    <t>8befb4efe8ce6cdf0e1a84974d452a9f</t>
  </si>
  <si>
    <t>f39bb0a3d8e34946b3ad3ce1f9d0f885</t>
  </si>
  <si>
    <t>def71e2a9748f1ffcfd9f1a2df52557b</t>
  </si>
  <si>
    <t>49de010bfd34f149fc319dd839707a36</t>
  </si>
  <si>
    <t>0898a9ff5906583d224aa6a77228257b</t>
  </si>
  <si>
    <t>de5d8722acb069c17055849b7aca5047</t>
  </si>
  <si>
    <t>712f265e741ea218390f38c6e2a319fa</t>
  </si>
  <si>
    <t>49e73b20508969922d6a0cf43b1e3379</t>
  </si>
  <si>
    <t>355eb7f0334516be742fe1aa0db5ddf2</t>
  </si>
  <si>
    <t>adb1abf71f4083ec0550d6cd6a33ea68</t>
  </si>
  <si>
    <t>8d3d7e8ca2dc7c98b0effe01f0b1fccb</t>
  </si>
  <si>
    <t>3cc38c43666a7f2faedf74d0d718ba94</t>
  </si>
  <si>
    <t>d9a4ab452be9aa656d10718c459c9cd5</t>
  </si>
  <si>
    <t>80a86f20a8ae1c080b2d5ae20608af13</t>
  </si>
  <si>
    <t>83606b4a6a0750fab695d8338a14844b</t>
  </si>
  <si>
    <t>83de89957f167ec84dc58d7de6e69757</t>
  </si>
  <si>
    <t>0582a842e557634c641d6117fa862e24</t>
  </si>
  <si>
    <t>8e354b1788d500aed84ab133c1c05a9b</t>
  </si>
  <si>
    <t>185579414f75374765553e6113a4b9ee</t>
  </si>
  <si>
    <t>a5809d44e52cb31bfb7a221bf9986ded</t>
  </si>
  <si>
    <t>a7ad2cab998ae504104b31b75758440e</t>
  </si>
  <si>
    <t>15d000a7bcd6e773b955d9dfbd2ac556</t>
  </si>
  <si>
    <t>0c2da1c3364eb2e4d2b9d340c246eb96</t>
  </si>
  <si>
    <t>786bb5e43995b615a831bdb225bc15fb</t>
  </si>
  <si>
    <t>db68c24a33cac9d591bcf63e60c4cc8f</t>
  </si>
  <si>
    <t>8ed420bdc5a06207eecefd77318cebf9</t>
  </si>
  <si>
    <t>f15f63c20752f53718ca375b02b47153</t>
  </si>
  <si>
    <t>9799b6b22f21d84883c0514f307b54b5</t>
  </si>
  <si>
    <t>9bf347db69956789724519857d126a22</t>
  </si>
  <si>
    <t>3ba98bd182c55aa76eab7a0b83046aba</t>
  </si>
  <si>
    <t>a2b4d8fee5c06984ec6a9610196140dd</t>
  </si>
  <si>
    <t>07f39c7a8ed35cf0a867db25788f30c1</t>
  </si>
  <si>
    <t>ea4a114f0b354f8bc1a634fe4df21363</t>
  </si>
  <si>
    <t>208989a43d7a1d1614e9ff303dce9d20</t>
  </si>
  <si>
    <t>8b2e2d4d84f88b773325a13afcf63c5e</t>
  </si>
  <si>
    <t>c9d51cd2248b6329851dea905f8f1fac</t>
  </si>
  <si>
    <t>816826c162e44db293e93d2d4c390ae3</t>
  </si>
  <si>
    <t>61fca29656b3299a2fa308f26075704d</t>
  </si>
  <si>
    <t>0dd3985fed53410ffc15c2da8b6383c2</t>
  </si>
  <si>
    <t>0acedbe660712601203336d1bcc3de49</t>
  </si>
  <si>
    <t>918b71f2ac42210cfae2f82b777c1f27</t>
  </si>
  <si>
    <t>09fc3fd7cf26523393428b92114831cb</t>
  </si>
  <si>
    <t>2c705d5bfa31ed6e0e9e4e8e4856e7ae</t>
  </si>
  <si>
    <t>ee36402d691586429aac32bef03fc45c</t>
  </si>
  <si>
    <t>c90068e708766cac5d3717688d130cf7</t>
  </si>
  <si>
    <t>0b99bbe436f28d115e4438efd42eeeea</t>
  </si>
  <si>
    <t>6815c9384724ce2c0fdef2dea3a2279f</t>
  </si>
  <si>
    <t>3f314e3cb0692a85f98cd745090b2e7e</t>
  </si>
  <si>
    <t>5797dcaf85fe08080252681a26d7d0bf</t>
  </si>
  <si>
    <t>2685e06135430bf8e58da9c94f8e89bb</t>
  </si>
  <si>
    <t>c4df13cad905bbff4cfd811606745cd8</t>
  </si>
  <si>
    <t>894518b12e9073cc763965a852f65788</t>
  </si>
  <si>
    <t>8bb604aef2c0b402c5006bba0e536e3e</t>
  </si>
  <si>
    <t>8f6285e2aea781df25a077fff1b14e31</t>
  </si>
  <si>
    <t>caac56cffdc38b4ce41d5d75b96f9323</t>
  </si>
  <si>
    <t>3cf05261987750d4bc066c5026dc7437</t>
  </si>
  <si>
    <t>f321d1828715ef2d889efb20b8c706b0</t>
  </si>
  <si>
    <t>b47fe896f07e0e8fdf6956ce0669e16e</t>
  </si>
  <si>
    <t>bedfbb70a637d0bfc3fa0a39eefc036f</t>
  </si>
  <si>
    <t>0401ed6796f1f9b637d18a4ba337e1d6</t>
  </si>
  <si>
    <t>cbeb7c97ec2f127b9ee1488844409153</t>
  </si>
  <si>
    <t>a39720e043f27ef3b0b9256b63f9de98</t>
  </si>
  <si>
    <t>fdd819170d9d26376ed478b493c864ab</t>
  </si>
  <si>
    <t>57ecd7316c52ffcbdea03690ea7db2b8</t>
  </si>
  <si>
    <t>ffb51c2a27a66718f1ba1515c250c722</t>
  </si>
  <si>
    <t>206116d9f79049ae26fe3c8d62f135ff</t>
  </si>
  <si>
    <t>f1f6d9f111dd1f5a4498fa1d38be78c8</t>
  </si>
  <si>
    <t>09209177cb567dae63ade4fea6c65957</t>
  </si>
  <si>
    <t>6e1604e352983caba20b3a3c15a6245b</t>
  </si>
  <si>
    <t>bc5cbed16977e921c857898f3754ca5c</t>
  </si>
  <si>
    <t>533935c873a30369bd440f9137ba5a5f</t>
  </si>
  <si>
    <t>5071a8a3ad132bdea8de85e0c90effd1</t>
  </si>
  <si>
    <t>5db1ffc14c272d8375d1581be36583dc</t>
  </si>
  <si>
    <t>b9f6e8d19e9022d10baf026c4b5e9648</t>
  </si>
  <si>
    <t>88c47a250dbd2212ac36d8513cd9ed80</t>
  </si>
  <si>
    <t>25d3f9e66474e753d561436cf847d76c</t>
  </si>
  <si>
    <t>e8c55309203c03395961d6dcad5a68fe</t>
  </si>
  <si>
    <t>98e341006772e083d61b8491ce48dd8e</t>
  </si>
  <si>
    <t>d13d560f3ddc7a7ecf48f06e4c9c5b6e</t>
  </si>
  <si>
    <t>0b0b963ba25b9d38861fc7da89be0eae</t>
  </si>
  <si>
    <t>952af98aa6133e599c897b3532684e5a</t>
  </si>
  <si>
    <t>60ff2f34a3371413aea763296e66b04a</t>
  </si>
  <si>
    <t>56fe38b77cb4f52e8f2770e874f57875</t>
  </si>
  <si>
    <t>5f5c16247275d0e84cc786705c569a9c</t>
  </si>
  <si>
    <t>b2ef82bc674d2565d7819ad2c5a11d5c</t>
  </si>
  <si>
    <t>96457e639661096d40858319c3a5ffed</t>
  </si>
  <si>
    <t>6755ef4a92cca507c771ebec973b45cf</t>
  </si>
  <si>
    <t>66fc580be47fe3ede1959fca149140a8</t>
  </si>
  <si>
    <t>dedaeedfd0cbd8920d5bffb550d1de2b</t>
  </si>
  <si>
    <t>e7db7e5bbf57c1d8f1cdac7b44e045b7</t>
  </si>
  <si>
    <t>bcdbe9d490ff5a996e6d3ee5ba1409bf</t>
  </si>
  <si>
    <t>104f7cbe857799ba883067a174bc01c1</t>
  </si>
  <si>
    <t>583d583ad9ec121c22a60f564d105148</t>
  </si>
  <si>
    <t>c0e52e8868a002b463ebdd2864690629</t>
  </si>
  <si>
    <t>6e4c10382ea6d02e196ebcab34cfbffb</t>
  </si>
  <si>
    <t>02b0c69e363112f8c2d553a48a894db8</t>
  </si>
  <si>
    <t>f80ca2ec372a23b59dc6a5bfee18bfac</t>
  </si>
  <si>
    <t>db5aaf4d715a4bf8247fef10ee7698ca</t>
  </si>
  <si>
    <t>0a0fb29d64611422ab5d64382e355609</t>
  </si>
  <si>
    <t>2beb774329b2f0fe5e7952cba91c0af7</t>
  </si>
  <si>
    <t>20fd0c71352a517c6ae07cb4b9f72c01</t>
  </si>
  <si>
    <t>b2a242690f117309099b7a561b605e9e</t>
  </si>
  <si>
    <t>4d9d05d77cf26dc3bf32f66728a43787</t>
  </si>
  <si>
    <t>3207d4688de4e0e721272756dd4339b8</t>
  </si>
  <si>
    <t>517e2c5c9879114a0674381ce2608faa</t>
  </si>
  <si>
    <t>c9d5550cc5ee1be86bea08e3ffc43926</t>
  </si>
  <si>
    <t>593de40b4d3070f61ea21d659cf7517c</t>
  </si>
  <si>
    <t>e75fdd4c73e2eab6e586fe0cfde77948</t>
  </si>
  <si>
    <t>80258ecebc13a948981212d2e46805e0</t>
  </si>
  <si>
    <t>b7be6030ef1677127676512c918087fb</t>
  </si>
  <si>
    <t>785f30e3df4b20d95c52555df7e31b8b</t>
  </si>
  <si>
    <t>6185e56c2cc78ba47a751d63d62b7488</t>
  </si>
  <si>
    <t>39469285974d13e4e2a6d1010747820d</t>
  </si>
  <si>
    <t>3f5fa74a83157541dfe271882bafee6a</t>
  </si>
  <si>
    <t>3f5a51db5c7936950261ef1da3b25202</t>
  </si>
  <si>
    <t>83b7b19e6be902a7bab8244f0d83481f</t>
  </si>
  <si>
    <t>8557c4a4fd714e9a350d9e287e345e5a</t>
  </si>
  <si>
    <t>a9dcc146714bd053238b84413ef7a3ff</t>
  </si>
  <si>
    <t>fbde31adcea17570ff70f4f666f185e9</t>
  </si>
  <si>
    <t>08f3648792fc7148287e0934cafdd002</t>
  </si>
  <si>
    <t>dbaf25e052cd493640d30c7ef9a7a003</t>
  </si>
  <si>
    <t>102ba266ac51ddd8ce981f766b3eb600</t>
  </si>
  <si>
    <t>5fbdd72522c178f8b79dffd7ed6c93cc</t>
  </si>
  <si>
    <t>ea30a83f57dabc455488ad906feaf213</t>
  </si>
  <si>
    <t>08d64daa10339a98d9d9fa9145b7cca8</t>
  </si>
  <si>
    <t>f03efc46acef307d9f7d48d8005707c2</t>
  </si>
  <si>
    <t>aef966acbd6e6613d6a25097ec869b53</t>
  </si>
  <si>
    <t>6e4e98ba3f70702e0db4ed530c9507a0</t>
  </si>
  <si>
    <t>cfcbb2d417d79731884441ea21044165</t>
  </si>
  <si>
    <t>2fefdc64cea4bfeacce657d0465e6eb5</t>
  </si>
  <si>
    <t>d498d8fea0c0458bf3553775a60e66ec</t>
  </si>
  <si>
    <t>41d934b57541fa144f6b6b585312a7e3</t>
  </si>
  <si>
    <t>c090c144175cfc68e03229d79a1a8b8f</t>
  </si>
  <si>
    <t>5a628e687ed08591b18c92a117021354</t>
  </si>
  <si>
    <t>52d3882d85ec8a840371c62855241ceb</t>
  </si>
  <si>
    <t>c22881004aabcdea7d937a4fe0205fb2</t>
  </si>
  <si>
    <t>7a1fd501b45f517e975995e1ef9b956c</t>
  </si>
  <si>
    <t>6d378c1d7df74d165c6b2ff5e33baa3b</t>
  </si>
  <si>
    <t>1ef219209ce95303626829fbf3629889</t>
  </si>
  <si>
    <t>0b61a4e863c0f5e7e20001aea1c33962</t>
  </si>
  <si>
    <t>4dd9f2351f5b9a8175321b87cc5e5be0</t>
  </si>
  <si>
    <t>f3d834a3a299eb01418783d6777d65f0</t>
  </si>
  <si>
    <t>25a70c5064fa310731573aa24ef53a1e</t>
  </si>
  <si>
    <t>0522f0f077611617c09c361e91503db9</t>
  </si>
  <si>
    <t>51fb18046e665c3a0df6457781ae8125</t>
  </si>
  <si>
    <t>2121301dde1bec34b962291dad9093ef</t>
  </si>
  <si>
    <t>66465d42f6d3c2d96166722bf74138a9</t>
  </si>
  <si>
    <t>a6d029022610ced085eedb33de5b311d</t>
  </si>
  <si>
    <t>daf133207e15777509621aaa83cb54fb</t>
  </si>
  <si>
    <t>2edfbc33177d268d310968d775266d3f</t>
  </si>
  <si>
    <t>41ec249c34d7b158c5a01dae6e7544da</t>
  </si>
  <si>
    <t>c5a8649bf0586fddae6b52a6dba31626</t>
  </si>
  <si>
    <t>dbfd2cf7057917dab8d9070d88aa2c2c</t>
  </si>
  <si>
    <t>92600cf5751eef50371a96f136857c84</t>
  </si>
  <si>
    <t>8ed16b12adc574bb06ec2cb2f5479952</t>
  </si>
  <si>
    <t>e2434bb373d4e0753b959fcbfe307860</t>
  </si>
  <si>
    <t>bb51be7cabcec70c5ebd89a677b5f450</t>
  </si>
  <si>
    <t>fca770bbc016b9f553eddcbad569617d</t>
  </si>
  <si>
    <t>733e42652ad8998910d59488625dd70b</t>
  </si>
  <si>
    <t>6cc5a0a9d45a6735b2a4b183bbbe0dfd</t>
  </si>
  <si>
    <t>9b3f19c666b37dcb52bb3bfa51ae0c46</t>
  </si>
  <si>
    <t>3b864667bb8e1779ebc5c32f5dbe2ef2</t>
  </si>
  <si>
    <t>bdd928436b685295f320c3c5f46cb30f</t>
  </si>
  <si>
    <t>87f7f8f823a0bc9edecdf4c22aa2007a</t>
  </si>
  <si>
    <t>51b4453760367db4ebfc2dae4f5d02ae</t>
  </si>
  <si>
    <t>3f9f56ea29f7b4aeed720fad19c360c5</t>
  </si>
  <si>
    <t>893cba398418b8cfd0fe1a08e83f6224</t>
  </si>
  <si>
    <t>545e76d68882bf371ee688264c083717</t>
  </si>
  <si>
    <t>060f31652cdb061a8e40a99c31190d6a</t>
  </si>
  <si>
    <t>2bfb29bfb919f9ab072e2e9d928c0218</t>
  </si>
  <si>
    <t>4f43d7bebba69c5ff517f4eeb08d37e1</t>
  </si>
  <si>
    <t>27093d5113f87e06a397683429a64363</t>
  </si>
  <si>
    <t>9c9f0a962a684077dca5ad293a3a7247</t>
  </si>
  <si>
    <t>9bcfb8264cf53ed70ad779e7a43bd96a</t>
  </si>
  <si>
    <t>09564e1459907631784d209135646bf5</t>
  </si>
  <si>
    <t>3a83a595de48c59eeef0d41309e6ddd9</t>
  </si>
  <si>
    <t>0cf88020722953499b7e6ee70c16f36b</t>
  </si>
  <si>
    <t>31f97ff19cc0aa5d7001a6b187dd2fa7</t>
  </si>
  <si>
    <t>3d0376e47377d3b148bea4942c2a8708</t>
  </si>
  <si>
    <t>e7231cdd39ec8d177d83ba538cac70ba</t>
  </si>
  <si>
    <t>f36c682dbd97d51bdc2e0cfd81ea3028</t>
  </si>
  <si>
    <t>d6aebf3c270e28da6467427979d7d35f</t>
  </si>
  <si>
    <t>90ab6406c7a390e1c8aed08045676a91</t>
  </si>
  <si>
    <t>af988312978fad72c24e545c31bf8a49</t>
  </si>
  <si>
    <t>58a7166acf19167f807fe272bc65c61b</t>
  </si>
  <si>
    <t>765be53f0233ac540e58b3a6c1ffdecb</t>
  </si>
  <si>
    <t>63e50dd1b430a334e6c17956715d9c72</t>
  </si>
  <si>
    <t>b6ab849c9de03fd83b0125ad4e9b2f92</t>
  </si>
  <si>
    <t>48e52fa3bcb770a613a1606a3d4c990d</t>
  </si>
  <si>
    <t>3572ce83951ecf504ac2261564424f6e</t>
  </si>
  <si>
    <t>45c0921cd24a4f435ca5887186e6e37c</t>
  </si>
  <si>
    <t>78d0034c6889448892113e9c1e1e6da6</t>
  </si>
  <si>
    <t>fa36ce3924dac70defd1e81ffebfc71c</t>
  </si>
  <si>
    <t>8697b0e913b66de79d5edfb73cdf07ca</t>
  </si>
  <si>
    <t>7c47a747dc24980c953a0cbe15e6c60b</t>
  </si>
  <si>
    <t>41c05bb0f37dfa59e122b5ad6f2da83c</t>
  </si>
  <si>
    <t>f070d86251aaa3f977261bc44bce5341</t>
  </si>
  <si>
    <t>19c2d0bfe72d7072c73323cd5c94bcc0</t>
  </si>
  <si>
    <t>2f2c8fcf0d0c5fca6b425d66f6649564</t>
  </si>
  <si>
    <t>f8e64e825cf4fd949b32961ad1b4312a</t>
  </si>
  <si>
    <t>3ffd71f587fdbbec02e6d4a51c962b10</t>
  </si>
  <si>
    <t>d83a3b7c173b00c655629bc5bde5bb9c</t>
  </si>
  <si>
    <t>e03fa839212850ef81d52ee81dd1d7b5</t>
  </si>
  <si>
    <t>cb808de40d0152728640f0ec8c386303</t>
  </si>
  <si>
    <t>d188831a712b8e8e3a8155e5dd70ffef</t>
  </si>
  <si>
    <t>507828c42f28e5cfc38062b67960699a</t>
  </si>
  <si>
    <t>b6a1d13a42311ce87d15f5f7924f6ae8</t>
  </si>
  <si>
    <t>b071ffc86b5000f09d7278fbe7779961</t>
  </si>
  <si>
    <t>5ffa2452c6917e691736aa1bf8b06b4f</t>
  </si>
  <si>
    <t>4b34871ca5e89bdd680aa05db5e398ed</t>
  </si>
  <si>
    <t>c7f803c381391bfba324f22ba9203446</t>
  </si>
  <si>
    <t>29e7daaa3971f473a9406009cca3bed2</t>
  </si>
  <si>
    <t>933f4346eb5223b968a949ddb0215dff</t>
  </si>
  <si>
    <t>9bdd43757138e5ea2ece8bf9115a2ab4</t>
  </si>
  <si>
    <t>2c9f4381a56ef0aa281740223ac99e7f</t>
  </si>
  <si>
    <t>d007a4b803c8d4ebe66f9a52e097a418</t>
  </si>
  <si>
    <t>b0c9df848e58cac704d8ac52aecb645e</t>
  </si>
  <si>
    <t>e06ce33379b8f9ba498329e4fd809159</t>
  </si>
  <si>
    <t>be9351985c2ce18de88f89b8466b7ce9</t>
  </si>
  <si>
    <t>7ffc7d5178d6731f7f2ce2f1bb408f5e</t>
  </si>
  <si>
    <t>ff32d91bc4574e80c957ce68c48246eb</t>
  </si>
  <si>
    <t>ec8989a0f0984e9fae61e7937ffada8c</t>
  </si>
  <si>
    <t>5d395883d13573b189da524ce1401834</t>
  </si>
  <si>
    <t>26c667e4a9ee309462b2c43d90482bed</t>
  </si>
  <si>
    <t>aef839279e3ca9ed64b3a248f2a47db1</t>
  </si>
  <si>
    <t>3757ed31bc4b61f9e108bd871822c0c6</t>
  </si>
  <si>
    <t>4579fa31b1ecafc42c2b1eab2017c135</t>
  </si>
  <si>
    <t>e88f7c58262830ec476b6072de42cb68</t>
  </si>
  <si>
    <t>e8d6d8ef89afafaf25d720988e07d638</t>
  </si>
  <si>
    <t>518fca47d7abd2ff7ff736fd407d5ae9</t>
  </si>
  <si>
    <t>c0a42600843859759a2d3918b7ccf0b1</t>
  </si>
  <si>
    <t>261f67921edd024375a9a83e9ddf6a47</t>
  </si>
  <si>
    <t>9d0737b612698e2451865b0a0af180af</t>
  </si>
  <si>
    <t>245142a8282a24362c6a1762f55dab27</t>
  </si>
  <si>
    <t>0b43a4a4f569aaee9e3e094c770fb9b1</t>
  </si>
  <si>
    <t>5216918203d50dcfccc84a970b3743f0</t>
  </si>
  <si>
    <t>7b08ca32a87b841eb66ef0ff441863de</t>
  </si>
  <si>
    <t>b4755be9028acf67416ab6d2abf34d46</t>
  </si>
  <si>
    <t>d01e50a1df779a3b2ee9cf8776e02303</t>
  </si>
  <si>
    <t>bc194b9ebff98250f975040b7d0275ce</t>
  </si>
  <si>
    <t>fd2dbdcd4dbbe9512ba1a119014f6a5c</t>
  </si>
  <si>
    <t>36b14516d8f92201b3ff6326fec41872</t>
  </si>
  <si>
    <t>3e2c2f9925484cb63048d31ddc2564b9</t>
  </si>
  <si>
    <t>f8139aafa67b26069e83dbe877a45468</t>
  </si>
  <si>
    <t>975511e6319614045b0a883b9d5c7f2e</t>
  </si>
  <si>
    <t>1754aa3138d36ccc989ffa4362719181</t>
  </si>
  <si>
    <t>2771adc30ef07c074a4f220f2c51f3a4</t>
  </si>
  <si>
    <t>c93d9bdb100328f21884159bd43c20ab</t>
  </si>
  <si>
    <t>553273a1c6a3ea4b3df58f9d0de5aaaf</t>
  </si>
  <si>
    <t>fc37e65a7707ffd0f78dc0f561c25887</t>
  </si>
  <si>
    <t>f02c29c9151492b1e173d058df06ae8e</t>
  </si>
  <si>
    <t>b7ef8852f9eea93ab22266313411966c</t>
  </si>
  <si>
    <t>5a07b9dcaf56fd34c1a3a6c1a478d3c1</t>
  </si>
  <si>
    <t>ea7f2f9471927458f88b04f4b1832b2a</t>
  </si>
  <si>
    <t>8d16ceffefdf12da61a9c91065435848</t>
  </si>
  <si>
    <t>ba3d4749adb913a6e08f4391e8d903ae</t>
  </si>
  <si>
    <t>0180e9a354eccc55463ae4c11abfc5f4</t>
  </si>
  <si>
    <t>840fdedb6d650bde4fa6eba64a46f1c1</t>
  </si>
  <si>
    <t>f862869c41a0dae100f62459a3e2f6a3</t>
  </si>
  <si>
    <t>a72fbdc03fde56aced63b34a97e6df0c</t>
  </si>
  <si>
    <t>f121343cabdf5ded8506d41c873519b0</t>
  </si>
  <si>
    <t>6324452fb1e7b195a4e6490b60c278f4</t>
  </si>
  <si>
    <t>ad3243752fe953cb7b4b8c82c0b8ee79</t>
  </si>
  <si>
    <t>b2f24ad52942ea9eadda8ac7b7db4f54</t>
  </si>
  <si>
    <t>03ff447ef1e3bdc63deeadf72ab15acd</t>
  </si>
  <si>
    <t>1715a3a663307916bd96b966cdf2ee16</t>
  </si>
  <si>
    <t>13170ed0153d4bc4d2c8bd6016634aaf</t>
  </si>
  <si>
    <t>f77960785994c89e81217aa876672703</t>
  </si>
  <si>
    <t>fc68039f8f705edde76c6d8c6cf61ec7</t>
  </si>
  <si>
    <t>dc25bde4ace85bea2546fe382b8b8488</t>
  </si>
  <si>
    <t>4208c962bda954ddcbbc9dcd21c0aa0a</t>
  </si>
  <si>
    <t>b57cd62236ca1d303442a2bf5fd71e05</t>
  </si>
  <si>
    <t>3c0f248dae18a04aa9b045ab8000dcf8</t>
  </si>
  <si>
    <t>4aa8dd9a08fdc32d53eac21cf46e79c0</t>
  </si>
  <si>
    <t>e7d5d2680db41c2f20b454ca2ef90401</t>
  </si>
  <si>
    <t>9750f25d70ea10b1697c7d3a006c000e</t>
  </si>
  <si>
    <t>4400cbff5fa6915bf0ffb2656bf96db2</t>
  </si>
  <si>
    <t>84793143cb08280d709ba235b51a594b</t>
  </si>
  <si>
    <t>fac497fb4d6e9e4cd5d036349dbc460e</t>
  </si>
  <si>
    <t>a67384c915367bb2fbf3eec72968d5fa</t>
  </si>
  <si>
    <t>ecce75281c8b95a042dff4e7e24a477d</t>
  </si>
  <si>
    <t>0fe814b34f8735c80c4c0933e4e910f7</t>
  </si>
  <si>
    <t>07c24da9292451154d8d0d62c01efa38</t>
  </si>
  <si>
    <t>d2713864e02eb9cb3c69650e63989014</t>
  </si>
  <si>
    <t>02f0e6a7fa6ad9f53391a17e80335e49</t>
  </si>
  <si>
    <t>b68691259764267768d7aafbfb1b07fc</t>
  </si>
  <si>
    <t>ee7f18a35a02dc1e2e9ba29982dedbd3</t>
  </si>
  <si>
    <t>d9639bfd60f2dd0054317ba6e4f8fa40</t>
  </si>
  <si>
    <t>c175c9d1e6adc300ee406d504e5c34f5</t>
  </si>
  <si>
    <t>7c69e0a1a7ed715dbbd931c5a6eb251c</t>
  </si>
  <si>
    <t>3866ba7b82a885dd5da500ca996242da</t>
  </si>
  <si>
    <t>2121376a323507c01c5e92c39ae8ccd4</t>
  </si>
  <si>
    <t>f25000058f3f4c0a7440f8e34a98a6f9</t>
  </si>
  <si>
    <t>6d09e77eaed6a2162027587f5026efe7</t>
  </si>
  <si>
    <t>d8e2b37ccb003d5e67f51aa291722a44</t>
  </si>
  <si>
    <t>6fcbe11b19a4827c0a8ef7cfc1e33eaf</t>
  </si>
  <si>
    <t>a8de5273039f3fc34b037d1d35cd5674</t>
  </si>
  <si>
    <t>22551a288cde5b41c4816769be4037ea</t>
  </si>
  <si>
    <t>77b8d9f826278dc832c9ca6ce527f4cd</t>
  </si>
  <si>
    <t>47b5796a080e3cfd5088f65d08284385</t>
  </si>
  <si>
    <t>b7fb2884d40fa347e723d7edb3a151d2</t>
  </si>
  <si>
    <t>70ff8ba8a8c7c2152b0a4d3cb76583e0</t>
  </si>
  <si>
    <t>09a66d2b77b4ea8c659311f7ea5add01</t>
  </si>
  <si>
    <t>8613e9c2330f2be5e481c5d751507acc</t>
  </si>
  <si>
    <t>9022449a6088c336116c9b5fe457c700</t>
  </si>
  <si>
    <t>f3a15bc2d3fd476dc91a56ea54b1baf9</t>
  </si>
  <si>
    <t>92cb9a26e36b18031e5dad8db4edfddb</t>
  </si>
  <si>
    <t>5f4e974a5f4e1643e264f86c20a74e64</t>
  </si>
  <si>
    <t>d4be5395ff28a5a25aa7e28646cfa3d4</t>
  </si>
  <si>
    <t>870cdc098364cd289859df80d41ed571</t>
  </si>
  <si>
    <t>73c55bc944ff08322761ffc22fcf10c1</t>
  </si>
  <si>
    <t>e10d2c6778afa7e23b9f5db6b1b55d9e</t>
  </si>
  <si>
    <t>d98d13ba5eca356faee405b3d49d316c</t>
  </si>
  <si>
    <t>39d6c36ac66b6dc4ad16dbc82b572a96</t>
  </si>
  <si>
    <t>0359f3653b20ee2edfa3cc67ecefc35a</t>
  </si>
  <si>
    <t>7d29296507a870b8271176e4a21abd16</t>
  </si>
  <si>
    <t>3724b218f56fc9192efa744b62f4bd1c</t>
  </si>
  <si>
    <t>512ba6448f63790387e2ad3d3bc630d0</t>
  </si>
  <si>
    <t>2114fa651bf766a228f65349d0ae22e2</t>
  </si>
  <si>
    <t>4ad7fff9ccf799f755109fa80dcd8b10</t>
  </si>
  <si>
    <t>dff49c1e54630a22f1ca28fcc02daca0</t>
  </si>
  <si>
    <t>4a7ac5ec1c290b547e0045b8e89d5ce4</t>
  </si>
  <si>
    <t>a36b055555e9211a3c90782b76e493d1</t>
  </si>
  <si>
    <t>71305367b64c7be0afa9294b3c57266f</t>
  </si>
  <si>
    <t>59ddf60f6efb7a194b24a392215fb222</t>
  </si>
  <si>
    <t>0a25e9cdae4899472cc085e43b0c4d5a</t>
  </si>
  <si>
    <t>a83840c17c2b2a522f05290db1efbb18</t>
  </si>
  <si>
    <t>b4d0509ed4a1714466204c0b30de3f62</t>
  </si>
  <si>
    <t>e25ca237a194723ab3c86e793660ef21</t>
  </si>
  <si>
    <t>457600e8d77d4633f679f425e0526fc0</t>
  </si>
  <si>
    <t>7c678b0576f9b98b734c11d7c4f7683f</t>
  </si>
  <si>
    <t>ac277d3015e944fb761335665b83f5f4</t>
  </si>
  <si>
    <t>ffacbb7db90628bfcc8be667616dfcc7</t>
  </si>
  <si>
    <t>1335c54129807a9c5c2733042cfc85cb</t>
  </si>
  <si>
    <t>7f9091631492f7ea8536750ebb3e1973</t>
  </si>
  <si>
    <t>68c20262d2657796f56d2101e46b3e73</t>
  </si>
  <si>
    <t>4908abf01ae104097641c7984131e9dd</t>
  </si>
  <si>
    <t>c09b11a189ac7771b26512f290bd023f</t>
  </si>
  <si>
    <t>1969f0d80e750feb485671caaa4c59d1</t>
  </si>
  <si>
    <t>022e17ea8e4b56279362591de2d4794d</t>
  </si>
  <si>
    <t>4c64c4b4bd58084a33c95731fea410ee</t>
  </si>
  <si>
    <t>0a38436397f65f4dba1b4393d81e9159</t>
  </si>
  <si>
    <t>2182a10a0b056c117e8014fd44813f97</t>
  </si>
  <si>
    <t>91afcd714efa49dd8bd48d8da385fed9</t>
  </si>
  <si>
    <t>ab6fe89d793b5a3c4153692779cb0680</t>
  </si>
  <si>
    <t>298fbf7365715ccb63b71724722f7a21</t>
  </si>
  <si>
    <t>361e321b4d49a36bb5d8270c53443806</t>
  </si>
  <si>
    <t>f2fa7f76d5a1cd7a8fd9f41857a2eea8</t>
  </si>
  <si>
    <t>9bc792898a1f66e2ed7c2e2407b3fe8c</t>
  </si>
  <si>
    <t>46fc36d015c5a2faa909440dbb3c354a</t>
  </si>
  <si>
    <t>b1d2128cee734a257c5e0d5c73bbdd1b</t>
  </si>
  <si>
    <t>1f26274cf175d14ae59f3ffe75563ab5</t>
  </si>
  <si>
    <t>eb97f5fdf3701ebf7ce10f9600fb0ade</t>
  </si>
  <si>
    <t>0f44094a9a5077ebf381e4c5dd0eb503</t>
  </si>
  <si>
    <t>6b6c0934205e87702519d1cce24055f9</t>
  </si>
  <si>
    <t>e84ddd3458399dd0b627fce62517db47</t>
  </si>
  <si>
    <t>dcb201968f8ae7060b62624cc91f0848</t>
  </si>
  <si>
    <t>150c1a63c456776f622da0602c807f2a</t>
  </si>
  <si>
    <t>8f0a57cca51a04da9ceec67fed0bc336</t>
  </si>
  <si>
    <t>e9754da1bd5a129b6a5deb432ff0c630</t>
  </si>
  <si>
    <t>5c7768be6ec1b2cd22387346d1bf6388</t>
  </si>
  <si>
    <t>0604888a01ddd003a56514677827d0bd</t>
  </si>
  <si>
    <t>4c21d6da76d2be1650d4607ad476ac95</t>
  </si>
  <si>
    <t>33b2db40961e2919636d06f5db60a964</t>
  </si>
  <si>
    <t>41b69f211dd5617d041802a8813d6d66</t>
  </si>
  <si>
    <t>a2a46bf9bbc50155d2989ebdf9fabb99</t>
  </si>
  <si>
    <t>b442e83a5556fa523514fdf47e8e4e1b</t>
  </si>
  <si>
    <t>526014fa0f4b6d65e82252e2f24441a1</t>
  </si>
  <si>
    <t>c325a1f2d1226ac996f297052c91a683</t>
  </si>
  <si>
    <t>68cee18772f6c46a1f5cfe4cda915574</t>
  </si>
  <si>
    <t>786929ce1b2e187510aca9b04a0f7254</t>
  </si>
  <si>
    <t>36d3be4cf501c5ad9e07d3e2507b181a</t>
  </si>
  <si>
    <t>a6b44d616ce540606027b334ce8c1dd0</t>
  </si>
  <si>
    <t>c58717d58c6bed3a03c508ff5d14b560</t>
  </si>
  <si>
    <t>8f781e8af632c834150e15eb05e69f27</t>
  </si>
  <si>
    <t>ebc84c78cf306a9df6ae897754eb76e5</t>
  </si>
  <si>
    <t>f9e2f8232d4cb9a01e9e1d96f126c30c</t>
  </si>
  <si>
    <t>fa84fbf5d2a071a938062b207cec7693</t>
  </si>
  <si>
    <t>9173175d480c3122372779e1ea1441d5</t>
  </si>
  <si>
    <t>6acf2725b339ee1695ebf86253f75221</t>
  </si>
  <si>
    <t>86ff09548a5c6eff1ec764a28b6c8112</t>
  </si>
  <si>
    <t>822f723bda1311c1e8864206b4d865e4</t>
  </si>
  <si>
    <t>55f658d44bed8bd311ee72f40cde2ad4</t>
  </si>
  <si>
    <t>9e3a3a82234c95afbc4b0b0c672bf6e0</t>
  </si>
  <si>
    <t>fa975b1b8848425e1563e19b836581f4</t>
  </si>
  <si>
    <t>3cfc6b2b7432c074eea2bd2ad6b0851d</t>
  </si>
  <si>
    <t>c097323215fe907391917a4bcb07864f</t>
  </si>
  <si>
    <t>aad30043fc2c322d246f3279345448b9</t>
  </si>
  <si>
    <t>60466bdf7f23352d678d2c69674917d1</t>
  </si>
  <si>
    <t>e91d9d8a18bc230d88e9241865958431</t>
  </si>
  <si>
    <t>ef5d2bfe2d638498f34261df115dfd3d</t>
  </si>
  <si>
    <t>476d9ee280c59ed43b3f813c6d3a44c6</t>
  </si>
  <si>
    <t>04781d233bb1aa1e65ead1422900fdbc</t>
  </si>
  <si>
    <t>7e83a4be61c9f15cb1e5686ea2c1edaa</t>
  </si>
  <si>
    <t>0e4996ce1ba7f629bb900d7a38b2dc48</t>
  </si>
  <si>
    <t>828feeb4c80ad1bcb65b2002b6ea581b</t>
  </si>
  <si>
    <t>532e28925576f5994b5b671b2f1d9bdb</t>
  </si>
  <si>
    <t>e7a7ad701181facf685c60b1ba264363</t>
  </si>
  <si>
    <t>42999a62bd597f7f6fdc85c73e0daaf0</t>
  </si>
  <si>
    <t>7e5c97f2b9aff7d8e16e0fdb0baa5135</t>
  </si>
  <si>
    <t>a12f16f776b4474dc5c342c48b254df2</t>
  </si>
  <si>
    <t>89ac3847f89c59936579cfc2ce0454ca</t>
  </si>
  <si>
    <t>313fa9a7f8ae9c6142ab8b979811be6b</t>
  </si>
  <si>
    <t>e0d1a91717b32a5ccebba4f5912b2b93</t>
  </si>
  <si>
    <t>fe29797ff17991c1e35eb71164d4b951</t>
  </si>
  <si>
    <t>44ccfe397ecb78a8dc09d6e524c1322d</t>
  </si>
  <si>
    <t>3af1c3da98c65277781b9a92e2f1d4c8</t>
  </si>
  <si>
    <t>f72f75a7a20745214ee32fff9bc0ef0f</t>
  </si>
  <si>
    <t>d51a44e8d70efb029025ff1d2ee43cc9</t>
  </si>
  <si>
    <t>083b8170e8bcb3639297229b000b39b6</t>
  </si>
  <si>
    <t>bc05280b649b56ed783744d4bfe1e384</t>
  </si>
  <si>
    <t>6f39194d3df14d057e8ba796fcae6942</t>
  </si>
  <si>
    <t>a6daa50980e748201a1444e4dd49c38d</t>
  </si>
  <si>
    <t>2417ae26837d6988676d7acb2fbba440</t>
  </si>
  <si>
    <t>8f48915bdbf89679682d1f382a1a3b71</t>
  </si>
  <si>
    <t>918d2d39616621eedbe76248d1e3abcb</t>
  </si>
  <si>
    <t>6b18d371703cf5221bc39c1a03a3be64</t>
  </si>
  <si>
    <t>fdd62f8bdc8bd18509c0d3b5159ffc8d</t>
  </si>
  <si>
    <t>5dd3cbb8b144cb4ffc62269606ca6046</t>
  </si>
  <si>
    <t>7f132c59a2ded03874e7e1d5800af35a</t>
  </si>
  <si>
    <t>501fe32ad8686901bb423ede39d6ce04</t>
  </si>
  <si>
    <t>f3d15bbce65ef706388acb3d1c637a8b</t>
  </si>
  <si>
    <t>6dca9fc31d8a95cdbcfafcc307012768</t>
  </si>
  <si>
    <t>d5a17520b70fd8b91cf38fb124bc3094</t>
  </si>
  <si>
    <t>91019c8e94d2ab589cf367ca2f6b707f</t>
  </si>
  <si>
    <t>de40ab56f135491a151137dacdbf5bd5</t>
  </si>
  <si>
    <t>213d80a57fa55b53024286f296c3941e</t>
  </si>
  <si>
    <t>fdc50f45eddfdb2463605f6e88a3a813</t>
  </si>
  <si>
    <t>5c68c574eb52dbbb337b4e46d2dbcfc8</t>
  </si>
  <si>
    <t>8294e62844a66d67be57cfeaef455bad</t>
  </si>
  <si>
    <t>0b97e22ca7c95fdf86d97f10abd7a6c3</t>
  </si>
  <si>
    <t>f456a28071ee5b9f7385aad6b11c3423</t>
  </si>
  <si>
    <t>b5146481a245e50255f5b24319c2711a</t>
  </si>
  <si>
    <t>5107915b16ea89bdc0dd279cc6686680</t>
  </si>
  <si>
    <t>66d58ab619387ebb945e0e3abe5e0a1c</t>
  </si>
  <si>
    <t>245403f0ec118644e403ddd11c5797e9</t>
  </si>
  <si>
    <t>33ee8208ed93950a7f22cd7898f7735e</t>
  </si>
  <si>
    <t>1fba3f59cc32935ea56d3ed84872085e</t>
  </si>
  <si>
    <t>099546f43eb9438109dd51bfbdfd2eda</t>
  </si>
  <si>
    <t>bd6dd73b5ea38bdbc9b64a9639a85e66</t>
  </si>
  <si>
    <t>105fb0578a9e90c458f69bad63c38709</t>
  </si>
  <si>
    <t>cdeb903207013df679ffea81e9c3c126</t>
  </si>
  <si>
    <t>fd7c4cdfbfb7964b441618d54f88c38b</t>
  </si>
  <si>
    <t>35c1124dd508ead6eb8c4aee9a7f5d71</t>
  </si>
  <si>
    <t>f99a542c5096c796cd63d150ca51d292</t>
  </si>
  <si>
    <t>be1c84442cfada4acab36fb92233f0b4</t>
  </si>
  <si>
    <t>075a91a991e7d46281436936d8e17bff</t>
  </si>
  <si>
    <t>52c79bb4791baa4cee27125eafc09e1c</t>
  </si>
  <si>
    <t>b008bdeaa66c479ed47856d691c5fec9</t>
  </si>
  <si>
    <t>e5218ff81e22205eb3a32a767378f03f</t>
  </si>
  <si>
    <t>2942549cb69c93f868f7294460a9befe</t>
  </si>
  <si>
    <t>e17d00b154831f31866ad96f6b352596</t>
  </si>
  <si>
    <t>1968e73cfcb43ede6c35cf8ef0f7d1d3</t>
  </si>
  <si>
    <t>d1330743336a7b439384b3637c95e4f3</t>
  </si>
  <si>
    <t>63b2bcd96a3981153de8111edeeca175</t>
  </si>
  <si>
    <t>98a5ad54e01fee0f3a9b88257b81c878</t>
  </si>
  <si>
    <t>82cdf867e9579d284a93d3c0223448d3</t>
  </si>
  <si>
    <t>364f36a17d1d4bb38c1fcb932b6872cb</t>
  </si>
  <si>
    <t>4b4400895feab2426e30076b2b1e0771</t>
  </si>
  <si>
    <t>f3cfc5cb5f8aadbfd8b7e9328fc0f0d1</t>
  </si>
  <si>
    <t>de4ae1f4f810873e3b18b2f942b45795</t>
  </si>
  <si>
    <t>af773c83af5e2fec9711833bcbe37b30</t>
  </si>
  <si>
    <t>528504bd4fce78dd2d69ce3eb5298f11</t>
  </si>
  <si>
    <t>739ef50133aab03b5c69062b13299a7f</t>
  </si>
  <si>
    <t>f226997a7c7535ff45172bdf721dbb24</t>
  </si>
  <si>
    <t>2f601bfe0cde0094470c1add322af541</t>
  </si>
  <si>
    <t>8de95d6a6ba0ca6c1eec90297345e0a6</t>
  </si>
  <si>
    <t>0f7a529e4a851625fee72161a84b4ca1</t>
  </si>
  <si>
    <t>b14306cd6ce646b9b7bee6ea942711a1</t>
  </si>
  <si>
    <t>d9e8009b7857b10b3a21819e28379b4d</t>
  </si>
  <si>
    <t>e4b79783cddf15c2a0903352eb73ad7c</t>
  </si>
  <si>
    <t>c88e0ce62215f2eb6e91e04fec14c4da</t>
  </si>
  <si>
    <t>5993d62a909320b8c3d62ef50e61b25a</t>
  </si>
  <si>
    <t>bd8f83ce9caf9fbbf4d66f336fe0e08b</t>
  </si>
  <si>
    <t>c848ffbf5a922d82ba53d867b429e1dd</t>
  </si>
  <si>
    <t>4e00f3931227999d2643ffa29b8afcad</t>
  </si>
  <si>
    <t>bfbf094d7555f22ae3bd5056dfedfd56</t>
  </si>
  <si>
    <t>600e75a6bc206bbb4e8f7858285ce7b7</t>
  </si>
  <si>
    <t>47eeb9ed8fa40de028e33449896579a1</t>
  </si>
  <si>
    <t>a8dc789d080f46e88e01e744a7c55e01</t>
  </si>
  <si>
    <t>4e731a273a4f480aadc865db1cd9c448</t>
  </si>
  <si>
    <t>e2af985bca54c63adac6fe130dde21cb</t>
  </si>
  <si>
    <t>f6bd2a3672ec73783ad8f4b3dd1d18f4</t>
  </si>
  <si>
    <t>fe7d8d22c444e8f808b6362c6083adf6</t>
  </si>
  <si>
    <t>39bfc8e91df7baefe561a56b7f74f041</t>
  </si>
  <si>
    <t>d7d797c21f5bbff8e236bace76f42969</t>
  </si>
  <si>
    <t>1d76ffc82aa2886416809b12d5e65f5b</t>
  </si>
  <si>
    <t>f5a05c19630b052f3fb3e434a0a175ea</t>
  </si>
  <si>
    <t>c51a0844f28f9a4f7f3820c8b5eb7937</t>
  </si>
  <si>
    <t>75386da74404e906cdb7acbf5e3ef18b</t>
  </si>
  <si>
    <t>0a018928d74ab0bd7e8ba091432fdc46</t>
  </si>
  <si>
    <t>3c77791b126e1e33dc95c13a3d914e11</t>
  </si>
  <si>
    <t>7c10793762778883d5b39d05bd64fea2</t>
  </si>
  <si>
    <t>3c66e60076630a5f5726a04ca590811e</t>
  </si>
  <si>
    <t>e5b1d7d8966c1865bf38156a944b68e2</t>
  </si>
  <si>
    <t>8ae8e407864cd3b5e1298bdf1e6787f5</t>
  </si>
  <si>
    <t>6ec28268c0772b612a9bc42881b8a313</t>
  </si>
  <si>
    <t>e30c60fdfcec389f5db46884cf5fec85</t>
  </si>
  <si>
    <t>510c7d0be8906391133aa81683f4ce2f</t>
  </si>
  <si>
    <t>decff3a1f694fccd108d4ce07b2587b5</t>
  </si>
  <si>
    <t>18451bbdde2119755528a1e27fd7c9ab</t>
  </si>
  <si>
    <t>ed37d732c48f5a4376c7cd585d82ab8f</t>
  </si>
  <si>
    <t>21d86ea56f577e14fb04116bef7d1a44</t>
  </si>
  <si>
    <t>b64e021126c832bb29ec9fa988155eaf</t>
  </si>
  <si>
    <t>3e50ca86fdcdd0a6aae61164aa80c9db</t>
  </si>
  <si>
    <t>94472cf01c2c1ec24e24f5b0f9ca24a3</t>
  </si>
  <si>
    <t>a4f6d1f94ad05f3fc1f2ccd1715aeeff</t>
  </si>
  <si>
    <t>43900cc8434685fe6937a619d4246be5</t>
  </si>
  <si>
    <t>f8207ff936432245e67f23f6d8f7db1a</t>
  </si>
  <si>
    <t>ba3a0adbebf2cfb367817fad99c6fb13</t>
  </si>
  <si>
    <t>43f6943d7a020cdcb8d27aebb9d96221</t>
  </si>
  <si>
    <t>d5a91f7c1dee41a945e3f3109633423b</t>
  </si>
  <si>
    <t>6af4aa79a3bcdc1de96a8431095205a9</t>
  </si>
  <si>
    <t>e50bea89361ff267664d517a596ac387</t>
  </si>
  <si>
    <t>317e30985b2c3bf93a0fe849ddca9888</t>
  </si>
  <si>
    <t>321bbe1b2890962b06574a806b693ee5</t>
  </si>
  <si>
    <t>3f6ad1210810320e069ef0ce8e80368f</t>
  </si>
  <si>
    <t>b634a925e3768734c5b7b2325c88a082</t>
  </si>
  <si>
    <t>ad627bf5fd6966693e97a7349d85589c</t>
  </si>
  <si>
    <t>135bc4e07e2f9b0c0fdb83c1c4d8b3e0</t>
  </si>
  <si>
    <t>4fa0d97504185879b6e7524dda47d98b</t>
  </si>
  <si>
    <t>3e2a61204a8c24cfcc6cb74bbac08068</t>
  </si>
  <si>
    <t>51e0fff3f3771b9df247ee2f30931fe8</t>
  </si>
  <si>
    <t>9e229f7a96efdede103776413d997716</t>
  </si>
  <si>
    <t>2208183e25fd18b7bf374189df696ede</t>
  </si>
  <si>
    <t>710eec06bc39ec7c6bd28ddf5f3a5668</t>
  </si>
  <si>
    <t>7ef73a2cfe1d16ae5e3f0d708991f751</t>
  </si>
  <si>
    <t>ac30f395e9032acc9e69924e469a9d50</t>
  </si>
  <si>
    <t>e9068bc85422c7253ec3d4fd32e5a285</t>
  </si>
  <si>
    <t>7012bb2fc19d52536cc90552cdbc080e</t>
  </si>
  <si>
    <t>6266f24c5b712ea805a38be6db863a3a</t>
  </si>
  <si>
    <t>0a69873505351b9ef0f5f8dec2752e0b</t>
  </si>
  <si>
    <t>882868f86cbc35c3e7fc151124bfaf0d</t>
  </si>
  <si>
    <t>bf4b0889b0d61cadbc581292df218801</t>
  </si>
  <si>
    <t>4da8436532c0f2de8aad2adef6e04914</t>
  </si>
  <si>
    <t>fa14e26aa100e41821a2050bf4edfb67</t>
  </si>
  <si>
    <t>e702a7e0d9355796847321bc16ffef7f</t>
  </si>
  <si>
    <t>b2e65e738c327d1a8c3c27092d00b6c1</t>
  </si>
  <si>
    <t>0ac9a79e4aa15b44845b6b553cfcddbd</t>
  </si>
  <si>
    <t>6daab15a4f57549b7f236d7f0cfca3c8</t>
  </si>
  <si>
    <t>bcc4f9f4940fe8a52f35d46469931fc0</t>
  </si>
  <si>
    <t>23094cc903a83555659aa7a7a0b7a5aa</t>
  </si>
  <si>
    <t>c7d3bff1cad76826c4526e5b20a88b07</t>
  </si>
  <si>
    <t>e6590d413b51f18d2556c4e620adc5f4</t>
  </si>
  <si>
    <t>30f9addb446d879e34cbcf2bbd46cd8f</t>
  </si>
  <si>
    <t>3983c99d475e80e874512a0bd582dcc9</t>
  </si>
  <si>
    <t>302c6ebc7de25ab0851c6c86bdad6106</t>
  </si>
  <si>
    <t>02323eaa86b0b8c52913bee4b0415965</t>
  </si>
  <si>
    <t>4b97f0f09717a033b75c10a27f9f5339</t>
  </si>
  <si>
    <t>cc649336067d9c3eec99d6e9657c2e1a</t>
  </si>
  <si>
    <t>8d57c03206c460f9e9637e46b8337713</t>
  </si>
  <si>
    <t>93eeb56ae2930647f2a428006b81d7ec</t>
  </si>
  <si>
    <t>f29fa72991dafa0ab83a053e89b9866a</t>
  </si>
  <si>
    <t>46604b5a2dc5852fd0733df3fb8e88c7</t>
  </si>
  <si>
    <t>49dc7cd8ce0972b8a305b2d14202a000</t>
  </si>
  <si>
    <t>547d2c7ee10071970623b11c797ff97c</t>
  </si>
  <si>
    <t>181449a8478703241021e2e2557351d2</t>
  </si>
  <si>
    <t>dd82d58268453ca1c56996aa87e97fca</t>
  </si>
  <si>
    <t>a3e7b6c90a3b35c05f6ee036ad95b1e7</t>
  </si>
  <si>
    <t>9a0bd8dc33467938cdafba5ebc5bbeab</t>
  </si>
  <si>
    <t>ec5ab2bab6fdb880337c5c92785f77dd</t>
  </si>
  <si>
    <t>28c634381653ecb8ffcf146cd8caf34e</t>
  </si>
  <si>
    <t>f923af82780472d2c31bb6cea94ba72f</t>
  </si>
  <si>
    <t>1d782ef33c1a154781d25b9a4ef174a1</t>
  </si>
  <si>
    <t>d9e76e452a5ee37e51bf5c74ad9138e2</t>
  </si>
  <si>
    <t>e1508a958e7df0833ae54777d6475b9e</t>
  </si>
  <si>
    <t>8ffbcd62cdf41da17fd1d32fa3ba9a28</t>
  </si>
  <si>
    <t>4e6809f26fea04711177d3d55880f25c</t>
  </si>
  <si>
    <t>0865a2682d751a58d08b2773a65bc047</t>
  </si>
  <si>
    <t>4e5afc2f14dbfba8d6eb8a76697acbb3</t>
  </si>
  <si>
    <t>5ed9dcf3d3d3dd8712866e81ddeaa03d</t>
  </si>
  <si>
    <t>831979cdc82239bb411794d618b7cfbb</t>
  </si>
  <si>
    <t>e7f99b7b2b7cb062458cdbd24bc36b2c</t>
  </si>
  <si>
    <t>a48884d23209d41ff619426412acae4f</t>
  </si>
  <si>
    <t>a58bc8cfed4166df1e58739cf56c5a04</t>
  </si>
  <si>
    <t>70511a1284530a38874efc696ec1ad26</t>
  </si>
  <si>
    <t>b5e9c7ea20276c57e2e893343186fffd</t>
  </si>
  <si>
    <t>2210bc8c8682f678d552ff7add41b418</t>
  </si>
  <si>
    <t>a1f822aee4a7a8bad18385af7c7b420f</t>
  </si>
  <si>
    <t>7ff17e7aa3064d218ef36ab0557414df</t>
  </si>
  <si>
    <t>fe3b6e7520c12eb81a834c497690fcff</t>
  </si>
  <si>
    <t>af3fd5c5ee075c3b22c7cc2175d85e5a</t>
  </si>
  <si>
    <t>ca4b48b1d7cc3755fa151c151d6e3fb5</t>
  </si>
  <si>
    <t>af510bf0d85300a0865178e3cd99e6c3</t>
  </si>
  <si>
    <t>0d4c8e8f080ebba0f8ca13a2faaa390c</t>
  </si>
  <si>
    <t>b8ab596fde54c47e4b01c9936389dccc</t>
  </si>
  <si>
    <t>7fe2dbdfeaf5a38247d08d41a32c6633</t>
  </si>
  <si>
    <t>813ce9042f6ebca30e639cc1b7156507</t>
  </si>
  <si>
    <t>25fc970c557662556621b49222ccf78f</t>
  </si>
  <si>
    <t>5da9cf9625826af0d8fd2452c33ad396</t>
  </si>
  <si>
    <t>e20453c4a33cc42c30d103d6d327503b</t>
  </si>
  <si>
    <t>2e9806f9d005b04bf29665e786d9b845</t>
  </si>
  <si>
    <t>053126ddfffc6ab775ef39662e12cf52</t>
  </si>
  <si>
    <t>4ed0320ed979b48c8b1da129960a607d</t>
  </si>
  <si>
    <t>6903a6decc9cc3ddea7cd1a0d9091878</t>
  </si>
  <si>
    <t>cc557dfa77446015a59ff65cfa32929b</t>
  </si>
  <si>
    <t>8120c3da60c7eab350a03d0a30083aa4</t>
  </si>
  <si>
    <t>640a7ed507c48b905ef6fe2073f471d5</t>
  </si>
  <si>
    <t>0623815a789c473725fe584c43c777e9</t>
  </si>
  <si>
    <t>8e7ad9f076740e3652a62ae9e328c53f</t>
  </si>
  <si>
    <t>586ef1246d9a7c964ad8bda24c2ba581</t>
  </si>
  <si>
    <t>276fb1a913db83e9ae13c02d780c2905</t>
  </si>
  <si>
    <t>c5e11c9dda5ce1e1570766249bb56a9a</t>
  </si>
  <si>
    <t>62e11dcfe1cca7274439efccbdaa8c40</t>
  </si>
  <si>
    <t>1f8ac4a305f85a4b617655db27206fe1</t>
  </si>
  <si>
    <t>c9d7ee04cf2f0f4e71dc61c5231975af</t>
  </si>
  <si>
    <t>681e38a876f8eb9fd9822b8f56545438</t>
  </si>
  <si>
    <t>5b83fb24677833e90f10289321612401</t>
  </si>
  <si>
    <t>8f3a59e201178eda99646354098f5c81</t>
  </si>
  <si>
    <t>44111683f45a426b802877fc8a77d8f5</t>
  </si>
  <si>
    <t>6f9966c340aa4f47dc1bd7520a7b2b59</t>
  </si>
  <si>
    <t>49ca11219d4192ba6f36a4540ed5fac5</t>
  </si>
  <si>
    <t>60d951c5b80c087fe6cee57a25dab947</t>
  </si>
  <si>
    <t>c7b3204ec9bfea0a9f9dc23b77f3b5e7</t>
  </si>
  <si>
    <t>30aaabbec8b8e1961770c48ee27036b9</t>
  </si>
  <si>
    <t>0379400a99a4caea5e45dc886da7f1df</t>
  </si>
  <si>
    <t>1083e9b50ae58b27dab4b7c92e7d16d9</t>
  </si>
  <si>
    <t>e3bce9548ef00e313d6a2fa8c1aec35d</t>
  </si>
  <si>
    <t>e2e34797871968f72f9588a3499daf1b</t>
  </si>
  <si>
    <t>c150275626bb4cfe3f7885074cc2b8d7</t>
  </si>
  <si>
    <t>47e56bce481c77b639996723e3890689</t>
  </si>
  <si>
    <t>9c0337cae9651759e4e69a56444719b0</t>
  </si>
  <si>
    <t>333c04a1fa69b79d52f54dc8961fb158</t>
  </si>
  <si>
    <t>1b1ef82248734b5db1ca952e11e12d43</t>
  </si>
  <si>
    <t>c47b7b07d6a58fd8bb0b7f51ad4a41aa</t>
  </si>
  <si>
    <t>f5fdb03f3ee6e369a1748e300cc40cb9</t>
  </si>
  <si>
    <t>5a271f2b9dd5fd7223ec585c6ec1fe69</t>
  </si>
  <si>
    <t>92dc4a66a118301843f185df549d40bf</t>
  </si>
  <si>
    <t>af1aab8e1492ed8a46ba456e2c74e915</t>
  </si>
  <si>
    <t>2c835908abb9ee423ac025e84663066a</t>
  </si>
  <si>
    <t>5301bb35a65ac7aef3ba3f102d07f770</t>
  </si>
  <si>
    <t>80c713ef32f2cb8ae3361dbd27a9c81b</t>
  </si>
  <si>
    <t>fc879743ee2196b59f45973a9173c9f3</t>
  </si>
  <si>
    <t>32f14bac32a5cce63388a2ec80598c08</t>
  </si>
  <si>
    <t>5c5a7db30feea91f26fc4519b1b0e3e6</t>
  </si>
  <si>
    <t>0d0e8e5e5c83563a3d17a84f9c763733</t>
  </si>
  <si>
    <t>8ad87141193af4b23555a38072fa9176</t>
  </si>
  <si>
    <t>6e98a07774134cd7335ad075d05c464a</t>
  </si>
  <si>
    <t>b7c341015338340fc8cc5c21e0473579</t>
  </si>
  <si>
    <t>d9d091e2a4d0ad5090774d0790d99a9a</t>
  </si>
  <si>
    <t>1faacc3ab6e29cd764380a5129a12631</t>
  </si>
  <si>
    <t>7b1b2604bf4d573b47110b44a60783fe</t>
  </si>
  <si>
    <t>7771a5844b0b1fac1d64bda37667b9b7</t>
  </si>
  <si>
    <t>9d252fc65f999fc52b49b27d69c09450</t>
  </si>
  <si>
    <t>55f2bf059de45be789934d2e834c06c2</t>
  </si>
  <si>
    <t>b1bd739ac7f0bee6edbc6f946bcd73f8</t>
  </si>
  <si>
    <t>c6078c876ca28b1c764e7dce3fe86ed5</t>
  </si>
  <si>
    <t>58b1a71381e0d7e6c599ef6e5cd10a69</t>
  </si>
  <si>
    <t>fb6cf395c453fdafb241d6d887e6aefe</t>
  </si>
  <si>
    <t>380300f2977be97431f05aacf79c59d8</t>
  </si>
  <si>
    <t>6a08151ec9111529546d41050dbe8058</t>
  </si>
  <si>
    <t>8f550fa438afc57d2a4e868390396225</t>
  </si>
  <si>
    <t>e38b50b909f7a76965c768c3b64cd9e7</t>
  </si>
  <si>
    <t>1d298480a2f10b8c7527eeb6fcf1df97</t>
  </si>
  <si>
    <t>87688e644bd630526fedd4f22613cef9</t>
  </si>
  <si>
    <t>865068698d725a182626aca2fdd23c3a</t>
  </si>
  <si>
    <t>b902e44a9bfdad44bae25939fbc1ab8a</t>
  </si>
  <si>
    <t>df29803a60f8f4f537908df8188f6676</t>
  </si>
  <si>
    <t>5ce7df80a9e32ee366f578e7ad3d290a</t>
  </si>
  <si>
    <t>fc0a485cf6784acc2104ec94f7dcb07d</t>
  </si>
  <si>
    <t>9c0412b77ae8d8288950565046ded7e0</t>
  </si>
  <si>
    <t>ebd9eb6819ab10ef417c8e52fe96cc94</t>
  </si>
  <si>
    <t>3887768255fc3ba5063eb8df7046d194</t>
  </si>
  <si>
    <t>3fe4e041db20eecbe3fedc2b61669dbe</t>
  </si>
  <si>
    <t>c5cc5960420a4189fb225dbaec8f9e62</t>
  </si>
  <si>
    <t>810e00b68fb50eb2ff31a6cc2068597d</t>
  </si>
  <si>
    <t>6ab3f66803d144173bc92ded778b844b</t>
  </si>
  <si>
    <t>5c9c7ad2ff3f850771344d964f94bae3</t>
  </si>
  <si>
    <t>cf7f5d18c19536b2299bd648d5028f0c</t>
  </si>
  <si>
    <t>86f373adc229cb2c06b3a19fa479f191</t>
  </si>
  <si>
    <t>5d4341b5017f17d05ca411753d923463</t>
  </si>
  <si>
    <t>06ebaf4306562823d37da3071facc9d0</t>
  </si>
  <si>
    <t>5647ed707e5b7b343c59502684365085</t>
  </si>
  <si>
    <t>c6dc59e0e8300a4b3b3b3ff329fb1868</t>
  </si>
  <si>
    <t>a844418805e810cc482327eace05e206</t>
  </si>
  <si>
    <t>bf959c64f2ebaa7aa642e0b5280bbdf6</t>
  </si>
  <si>
    <t>f3256c3083a246205c95d37c9c8c7bdd</t>
  </si>
  <si>
    <t>23270334cb68c628783066181ece864b</t>
  </si>
  <si>
    <t>11b3e5a318f289cbcaedad1f899a3345</t>
  </si>
  <si>
    <t>83b3b79f3802894efd6dec0c0e452e5b</t>
  </si>
  <si>
    <t>3fd45b2ea4e5e54b553ba47f6460585a</t>
  </si>
  <si>
    <t>25a81df4364d32613794af6c800db478</t>
  </si>
  <si>
    <t>6f552b11546c308d19f20804312f5d2c</t>
  </si>
  <si>
    <t>064a232d4a0baf6bf0ab4dd7eec30ed9</t>
  </si>
  <si>
    <t>33e3007a3412c29e144cd4e12dc15ca1</t>
  </si>
  <si>
    <t>48a52d5cf371cff4f7f3988a5b577780</t>
  </si>
  <si>
    <t>3f6e60dd5855c0a044dca009d99028db</t>
  </si>
  <si>
    <t>d04a398d06983d4ddc998c531e778836</t>
  </si>
  <si>
    <t>09576cc7bee292c7f1cc8df19868757c</t>
  </si>
  <si>
    <t>74a564781bf38f42f6d60ae0c8e2d63a</t>
  </si>
  <si>
    <t>2e627298db86cde0482baae618c4e517</t>
  </si>
  <si>
    <t>20b3a16b78ece9a01165504b7c0a1ace</t>
  </si>
  <si>
    <t>7625ea264f45f56580051d58521dd1db</t>
  </si>
  <si>
    <t>f4491fcc2896910ad60de6986f83b31c</t>
  </si>
  <si>
    <t>911b5d8b83ed1f5ef3711512d9080466</t>
  </si>
  <si>
    <t>bb859699a1e4fc28c59162684235a28c</t>
  </si>
  <si>
    <t>fe264dded3eaff218eec0176afde2232</t>
  </si>
  <si>
    <t>60877a8e7a44a3ad9fe1af9359efa0dd</t>
  </si>
  <si>
    <t>92fac5eca13c1cbf36c87fa05304dd8b</t>
  </si>
  <si>
    <t>4c5aebdcd06d236d4046d2cc0b8a774e</t>
  </si>
  <si>
    <t>2752de00a9d5eb87595fa04cd56f52e2</t>
  </si>
  <si>
    <t>b2b9e8eb2b9bc46c4f57785472b96f4d</t>
  </si>
  <si>
    <t>8d497e638156b68197ed9ad0978eaeaf</t>
  </si>
  <si>
    <t>4b52ddb7a0b6ac8553536d004c895b59</t>
  </si>
  <si>
    <t>c2f6ef076c68c04d525d839de995f379</t>
  </si>
  <si>
    <t>c2a784a6cda726ef5f845e9192adb64b</t>
  </si>
  <si>
    <t>a65c50304e9b20b50b2cb56269afb295</t>
  </si>
  <si>
    <t>75a4e4c871852ede561ad7e3cbdd2757</t>
  </si>
  <si>
    <t>7f9e3113eb869488d3b9e80931e75946</t>
  </si>
  <si>
    <t>e85d902e5519fe6df5f4e1a723cbc7d9</t>
  </si>
  <si>
    <t>c7c78f106a8458a6c7794002e878a9d8</t>
  </si>
  <si>
    <t>2a42d5d95256910f37c38fa4a821cbf5</t>
  </si>
  <si>
    <t>ef056e71e00f5fe978ab7c54d55018f4</t>
  </si>
  <si>
    <t>48b7b7c15b71efe6169c44cb73b1359d</t>
  </si>
  <si>
    <t>290f3bc899e6c7f69fff513048513324</t>
  </si>
  <si>
    <t>96a5eed17e24091f331ca8188757e215</t>
  </si>
  <si>
    <t>d4aa28edb4a7e60bf8a800ef24c26eb3</t>
  </si>
  <si>
    <t>b7e5a3dcc20d1a6c571e3bab6a577375</t>
  </si>
  <si>
    <t>175ea45b8c6dc940864a06d8caa341c4</t>
  </si>
  <si>
    <t>5499df60b3f5b017d19ba4f03165deda</t>
  </si>
  <si>
    <t>39e367521684bd5cf70773f610e2c5c0</t>
  </si>
  <si>
    <t>3292cdae49eccd5e6f96bad182e43112</t>
  </si>
  <si>
    <t>714fd368edad43f60fdec00c6096e080</t>
  </si>
  <si>
    <t>9a48bb6f434ea2cdb7c907ec71313405</t>
  </si>
  <si>
    <t>951ce890123574083ef53058265b0c84</t>
  </si>
  <si>
    <t>3b16ba31dd3221344e011b18e4b1043d</t>
  </si>
  <si>
    <t>4aaa3742cf7a16a2c51991d367a6a653</t>
  </si>
  <si>
    <t>a0471c86437c16f083bb739ef8b5d1e2</t>
  </si>
  <si>
    <t>3ad9ecf4b4a26b7671e09283f001d626</t>
  </si>
  <si>
    <t>86e182bc757f275470eec8c9c6008c12</t>
  </si>
  <si>
    <t>19840ff45164cdd7edff618435e1417d</t>
  </si>
  <si>
    <t>60084854099521425281742d342410c9</t>
  </si>
  <si>
    <t>0c9ab9755db29d773177576d8032354f</t>
  </si>
  <si>
    <t>fe35cdc3b5e88ce55f6659889fe2937f</t>
  </si>
  <si>
    <t>183598d06c38767146289c09dea304d2</t>
  </si>
  <si>
    <t>51486a050b36f396d461df563f9a8772</t>
  </si>
  <si>
    <t>91be2a74dce26a87ba9f8ce13564234a</t>
  </si>
  <si>
    <t>edf52bd6ded9779e85d734368eab305b</t>
  </si>
  <si>
    <t>ec0c5dbf1690d83f53fad507995b0bd6</t>
  </si>
  <si>
    <t>4bb469905246950273af7b6593ae0009</t>
  </si>
  <si>
    <t>aa5d5b1b36318c95dffe1d6c4e153f2d</t>
  </si>
  <si>
    <t>332da72e6fc156f0340836378416136c</t>
  </si>
  <si>
    <t>f47b47a611df8ce65ef10b826ed1ad2e</t>
  </si>
  <si>
    <t>7c95c48a62175235a4f5f58ebdfbeec5</t>
  </si>
  <si>
    <t>f4ed3f6aa2baaced0d790bbd9d7ead15</t>
  </si>
  <si>
    <t>213334eb8d81fbc898ce3abcf98bcfa1</t>
  </si>
  <si>
    <t>b1fa0b6b06066d871b835fc80f71b3d0</t>
  </si>
  <si>
    <t>82c915bca7537ef11265aa134511f272</t>
  </si>
  <si>
    <t>881dff85873f2c056e6db4363a8ca25c</t>
  </si>
  <si>
    <t>0d898488000a8e9d85ceefedf10725ca</t>
  </si>
  <si>
    <t>c611127b94520ac5dacf8e2102c581ba</t>
  </si>
  <si>
    <t>bbbd1d359c2c24d983dc1a62a8dff389</t>
  </si>
  <si>
    <t>12d29d5c5e0241bd62b01c442312eb52</t>
  </si>
  <si>
    <t>3210a2243b363f2a0cc9ba25289b09ce</t>
  </si>
  <si>
    <t>86822278a4217781cc93b9276b25c926</t>
  </si>
  <si>
    <t>e1ee630dffe807676f8df3561dd70cf8</t>
  </si>
  <si>
    <t>ffec991bf0f35f7e7688cf0d39c9f9f4</t>
  </si>
  <si>
    <t>2a912ac127cc3ac74d5255fa9097f3a9</t>
  </si>
  <si>
    <t>896f3c065d05cefcf3fe2852a7875109</t>
  </si>
  <si>
    <t>80f36a558ab7295d37bc67fbb7737963</t>
  </si>
  <si>
    <t>152830abb65020d0f6949cb584760162</t>
  </si>
  <si>
    <t>b192efefb07acda0fe16550b9d3135d1</t>
  </si>
  <si>
    <t>46329d48b0e5d65d8a9dfc8e5ee1e5ac</t>
  </si>
  <si>
    <t>ce08d2c316a39561ddfeb8a8ba9cbd1f</t>
  </si>
  <si>
    <t>a8c7f7c2693c6af48efc1b730dfa2e07</t>
  </si>
  <si>
    <t>8ec5b0349f854db2ef01107469dc85e6</t>
  </si>
  <si>
    <t>68475b393b2bd6c166b7a42284b21db9</t>
  </si>
  <si>
    <t>333a55a4dd50a0fafb33f7e2e5b0df03</t>
  </si>
  <si>
    <t>302c99f60389c89a214dce068acbf74f</t>
  </si>
  <si>
    <t>50c1a8f6d7e3f4e33515a9d2c1320315</t>
  </si>
  <si>
    <t>0c7f4235270e061c4a70e6135a50f019</t>
  </si>
  <si>
    <t>976782d3370c14312a65f6c9f6b2a7cb</t>
  </si>
  <si>
    <t>8d0847366a208968be344b7c3e595291</t>
  </si>
  <si>
    <t>e40084a1c911addf8a36b6058c123cdc</t>
  </si>
  <si>
    <t>b7f530cad2cdf2efe63451ec4ca2edf5</t>
  </si>
  <si>
    <t>6ff3d83296f53984bc1e55ce4d1cc95b</t>
  </si>
  <si>
    <t>bf29aa11aaa972e7713972c5497a5d40</t>
  </si>
  <si>
    <t>0d7bad81c85a71b3025966dfb22212ab</t>
  </si>
  <si>
    <t>94366a9e2643350063648f31c9e559d9</t>
  </si>
  <si>
    <t>eb0f7ce9098015d79a0dfc400f761b5a</t>
  </si>
  <si>
    <t>e06549ff281b9a38e658c1e22750b816</t>
  </si>
  <si>
    <t>c5136a36b0bdea61cf049154a776ecc2</t>
  </si>
  <si>
    <t>aefc383bedd083223ba6ec37b14875cb</t>
  </si>
  <si>
    <t>beeb6c4c36641f6c141372fb4410d558</t>
  </si>
  <si>
    <t>0c314b1bbb0e9354a72753a479e196e3</t>
  </si>
  <si>
    <t>4a9ad9efd062c8172bbaa1b6288a4ac4</t>
  </si>
  <si>
    <t>395b8383bafb85db4021ad3eca75ff8d</t>
  </si>
  <si>
    <t>2f201f1f5c6089c6ceb7086dd22d6447</t>
  </si>
  <si>
    <t>db7c26161301a4e7bf1de14fe953edad</t>
  </si>
  <si>
    <t>e3fd458d02cc75934dd2c30f896ff698</t>
  </si>
  <si>
    <t>5ae6f950c21c7ae0d7e53c889283b0f8</t>
  </si>
  <si>
    <t>9d2bb15499942a928e46eff5c43eaf02</t>
  </si>
  <si>
    <t>f9c1a456675346ff7d0f2b8b1e7b1899</t>
  </si>
  <si>
    <t>ef5b0acc4a9fef53a0b84fea9ea01c69</t>
  </si>
  <si>
    <t>1d940b4d40aaccdfdef83b00a4666610</t>
  </si>
  <si>
    <t>62b91df0b51ee76ce66f2fa6874afbb8</t>
  </si>
  <si>
    <t>69c1d2e4daa3ce481e0f482deaa6e754</t>
  </si>
  <si>
    <t>4200de485310ff951a2105ea0a9018a7</t>
  </si>
  <si>
    <t>016b388b5ee40f99cc161d3aeb35b545</t>
  </si>
  <si>
    <t>e3a0629cee6dbd0a211ab379a406f0fb</t>
  </si>
  <si>
    <t>e281f682fab884aafadb53f9711eaffb</t>
  </si>
  <si>
    <t>8fd7f8741825334334a31ad8eb493a9a</t>
  </si>
  <si>
    <t>b258cda7f6762de012fddbb6477f5190</t>
  </si>
  <si>
    <t>603a60c30fc626443b4652fd1f63de04</t>
  </si>
  <si>
    <t>6ec00eeb639d309bafaeb0a3ea24fb3c</t>
  </si>
  <si>
    <t>41296a5e3d7d6463387e976095cb1c15</t>
  </si>
  <si>
    <t>5831e536b6f7828e911b47c0f2525161</t>
  </si>
  <si>
    <t>597d738d76c1e2822a00f65736b20f06</t>
  </si>
  <si>
    <t>ebc27851abe440d158556d1ff253be3b</t>
  </si>
  <si>
    <t>85690ad1281685df422c14bf19bab45a</t>
  </si>
  <si>
    <t>91a8f8847ee097f0be9c70c3255afad8</t>
  </si>
  <si>
    <t>77397971db7cfab9633924c13050bf62</t>
  </si>
  <si>
    <t>98ca0fc93377e21e9f67ceb937cdf248</t>
  </si>
  <si>
    <t>a58178db90069188869b4bf4c9d4bc01</t>
  </si>
  <si>
    <t>39ba31c76f5b8342fdcca5189a9253dc</t>
  </si>
  <si>
    <t>0c031fe92fdc7596e4f20c56c661319d</t>
  </si>
  <si>
    <t>b858ea5596a4dcd199209deb235bf758</t>
  </si>
  <si>
    <t>220d17b28d99d88de80afcdad211b06a</t>
  </si>
  <si>
    <t>874b529b9b276415dcd80433084edfa8</t>
  </si>
  <si>
    <t>b5f012435b837675c4b4fffa348f0e16</t>
  </si>
  <si>
    <t>02d4ad74e410990974be404efcd00ec1</t>
  </si>
  <si>
    <t>2483125d070c795ba1ed28b241c5c737</t>
  </si>
  <si>
    <t>3324e089ac8602e8cc3d2d1fc8109b2e</t>
  </si>
  <si>
    <t>f45451d5c725bd5795d432e970d3d978</t>
  </si>
  <si>
    <t>923b4926a703db2f6355a326bf10656e</t>
  </si>
  <si>
    <t>af88501909b010e3369be084d4335fc6</t>
  </si>
  <si>
    <t>0d74164194d899502c02c8b94c8405fe</t>
  </si>
  <si>
    <t>8f3ed413b7b1f3b41dcf0731decd4cd8</t>
  </si>
  <si>
    <t>1458e84a7f1a80984de07508b68237d8</t>
  </si>
  <si>
    <t>614d380ca5e894605a1fc6336526135a</t>
  </si>
  <si>
    <t>0ed99ce72338ab2c7853536dd17b8e5d</t>
  </si>
  <si>
    <t>54df535aac8fddb05cca243ffb673719</t>
  </si>
  <si>
    <t>a6caa7469cd0660cb1c27ef7f7772f00</t>
  </si>
  <si>
    <t>c6c65000e8d245e161471faa4801208c</t>
  </si>
  <si>
    <t>d5eac06fe54b1f804e302e0e0423190a</t>
  </si>
  <si>
    <t>ef5ad26206c0cabf23fec07c2390eeaf</t>
  </si>
  <si>
    <t>10f5fbb1c0f0c452e46b48bca452a16d</t>
  </si>
  <si>
    <t>42cbcf5f53034b67f926aab284e155ec</t>
  </si>
  <si>
    <t>c9017f70c00a8572737c9f1cdda325e1</t>
  </si>
  <si>
    <t>0369b73b76b40cb95ff9168746896768</t>
  </si>
  <si>
    <t>533aa9666119d578b635c3bdba609070</t>
  </si>
  <si>
    <t>0c2304bdad6b851911bc217300c13102</t>
  </si>
  <si>
    <t>4e13cab9991e5cfbfcdc71acc908495b</t>
  </si>
  <si>
    <t>49490f256a90aff2c2c4e151515fe241</t>
  </si>
  <si>
    <t>7b7b8fe6a7edcce3a60990b689411964</t>
  </si>
  <si>
    <t>5821cfe0ecdefc2fb0734670b67ee796</t>
  </si>
  <si>
    <t>e60f9011ef48d8d02f27f16d2a8175c1</t>
  </si>
  <si>
    <t>4855e26d826415333fb974a0414f395c</t>
  </si>
  <si>
    <t>8dd6c8ced32cca354f48b298d317d706</t>
  </si>
  <si>
    <t>ec37ce1556cbcc5dcdbeecb22a740d0e</t>
  </si>
  <si>
    <t>5c7b65545dfb440271b81f1b22288a63</t>
  </si>
  <si>
    <t>3a9e4c82e369e150f168b93dff9604b2</t>
  </si>
  <si>
    <t>d3a5264ea817ce57b3c026e6c15671cd</t>
  </si>
  <si>
    <t>1e5bef26e8dfbf7d72ab4979d14faea1</t>
  </si>
  <si>
    <t>0ae56f8ea96a4ad55d383a942063b788</t>
  </si>
  <si>
    <t>443463fa02b552acd2481d29586a825b</t>
  </si>
  <si>
    <t>c8c0c749da5056804a5bfcfe44b778e4</t>
  </si>
  <si>
    <t>01308a382d9fc5d88b729cc9183f96a7</t>
  </si>
  <si>
    <t>4d1180e592869543e75486faa4eb9d23</t>
  </si>
  <si>
    <t>be4dfce0bd450fdd57fda1bd637ad712</t>
  </si>
  <si>
    <t>83ec8154edad2158d66dfd9be59d0b44</t>
  </si>
  <si>
    <t>471c96afb06d58297ee23ae23d6e18fd</t>
  </si>
  <si>
    <t>4f91efe6bc8cdfee8fd8a1a486a14f26</t>
  </si>
  <si>
    <t>18bf4a47d5777efe47c421645d19f2f1</t>
  </si>
  <si>
    <t>fab95ca615e1403b9b80a661c156eb30</t>
  </si>
  <si>
    <t>432d533fa8d38230276f5e485d508b6b</t>
  </si>
  <si>
    <t>9703918582c179531c480ef3c37e91d3</t>
  </si>
  <si>
    <t>4e9e9815a54fc4d54e960e96c843c4cb</t>
  </si>
  <si>
    <t>521bdfc40f2f763bd9ccc267fde55653</t>
  </si>
  <si>
    <t>d7cbbf830501a1332d11174fd90af4db</t>
  </si>
  <si>
    <t>9c7660b8dc616c5d3392c0c1c14c2245</t>
  </si>
  <si>
    <t>6c814714356d2058b2b2445291147fea</t>
  </si>
  <si>
    <t>5944b33db07ab2b8d06eecad8d16b370</t>
  </si>
  <si>
    <t>c03243215c4d4070c7ac452513674761</t>
  </si>
  <si>
    <t>c04c97e91c6f493c78a9eb37adf91222</t>
  </si>
  <si>
    <t>6e958d69ccac1ad04342b584042c3db5</t>
  </si>
  <si>
    <t>e6b851f75f784b4d0123f1d217781604</t>
  </si>
  <si>
    <t>be4b74cc626578c5fbed9a26c481d8cb</t>
  </si>
  <si>
    <t>2c7e55694e865b64eebe041d813cb0d8</t>
  </si>
  <si>
    <t>ba3fe3d296f3e7269b66f163d31b3dc3</t>
  </si>
  <si>
    <t>2046e4fc6f92ae6657d213cc0590d2d7</t>
  </si>
  <si>
    <t>1d28bad27dfe46d8dfb0ec541b82b057</t>
  </si>
  <si>
    <t>89409c4207e0074abbdc5a49d7f1fce8</t>
  </si>
  <si>
    <t>d6367279eb84bf8e1e10b10a04bd4292</t>
  </si>
  <si>
    <t>2334ef0991e14b266524960d83804198</t>
  </si>
  <si>
    <t>f52a5875cc4ba00239b7e728fec5994b</t>
  </si>
  <si>
    <t>212ad7bb06e34ce8eff54540c30efdff</t>
  </si>
  <si>
    <t>2bb054c14409adcb28cb8d922e10a383</t>
  </si>
  <si>
    <t>1654b4d90dd364d2796bdbd590189e7d</t>
  </si>
  <si>
    <t>8b1eeb056311220fd13bb7bae8ebe596</t>
  </si>
  <si>
    <t>489d7aef9f2316d6ebde24ae1369d74c</t>
  </si>
  <si>
    <t>df986d86710f8bc5e81d572df899f010</t>
  </si>
  <si>
    <t>4fd76758ca20a054063d174c3cd7f394</t>
  </si>
  <si>
    <t>407fae8977d8785405f9ef63d5d90404</t>
  </si>
  <si>
    <t>9c7c62fda501139382f84dbf8a91e044</t>
  </si>
  <si>
    <t>10fbe18a1f152d7b4c7ab027cb719c9f</t>
  </si>
  <si>
    <t>84adc5c5be445d7eae80dcf4c87a6428</t>
  </si>
  <si>
    <t>2ebf0711a9530f81674979d19b89f179</t>
  </si>
  <si>
    <t>6109540ba50af92a01ce800112504b1e</t>
  </si>
  <si>
    <t>a8f7663d8762e5ccb139236a868ccaf0</t>
  </si>
  <si>
    <t>5963a9ba5d6c9af62cba5a9ac76f263d</t>
  </si>
  <si>
    <t>4441b26d19e25f5cfd65538bc280df52</t>
  </si>
  <si>
    <t>a4a0d1d9972ff92e21678a57d466fde4</t>
  </si>
  <si>
    <t>0a27d42aa8dba19f9cf326cf6620b29a</t>
  </si>
  <si>
    <t>b4ea0b7717d20f0bf18846caba9fe287</t>
  </si>
  <si>
    <t>94cc372d721433c5dcb08a5c499432cb</t>
  </si>
  <si>
    <t>6649b621033ae95a2e9da0dd9c99fa48</t>
  </si>
  <si>
    <t>320669df6e03fc8a691a1a4c61c56a32</t>
  </si>
  <si>
    <t>10bd89509a170e478e62697df43a5984</t>
  </si>
  <si>
    <t>c55b6c80b9a641b3e91d6d261b43039a</t>
  </si>
  <si>
    <t>7f5667890e56de28cb734293df7d2c73</t>
  </si>
  <si>
    <t>7998e8b20a8a78bcc791977fee27fc81</t>
  </si>
  <si>
    <t>8345a83d419160e69c0501b494dadfa6</t>
  </si>
  <si>
    <t>947c56f263c5d3cbaa68d498533c2112</t>
  </si>
  <si>
    <t>47a9f630d492167d7390ff23cf40dab6</t>
  </si>
  <si>
    <t>1dfbda77c4310b8e6f421bd0bd33056c</t>
  </si>
  <si>
    <t>23fd9a01abad0b66ec4a63c66580b708</t>
  </si>
  <si>
    <t>dc238c9533597a8cc2a9738ebde4bfcb</t>
  </si>
  <si>
    <t>e5f0a515e53bfd721fdb162b9b34d220</t>
  </si>
  <si>
    <t>971075aa1ab5b16f6f204a7e33784a9f</t>
  </si>
  <si>
    <t>e71fc4c35a684450f5eff49d2046f880</t>
  </si>
  <si>
    <t>72cd5befa49bb037eaccaaf9a6192cd7</t>
  </si>
  <si>
    <t>3946286620b2e1ed380a77193fb7add7</t>
  </si>
  <si>
    <t>9cf2bd74e4c3eaa1d1eb60c7defe4fb0</t>
  </si>
  <si>
    <t>424ea4fb01d426ad5231b50dfd69d46a</t>
  </si>
  <si>
    <t>6a1daa960984b0d1b4f1b644e9e6917e</t>
  </si>
  <si>
    <t>1318b662052d314d6068302a28af4a25</t>
  </si>
  <si>
    <t>73c4fa58d428d52c2b12e11f3b28e8f5</t>
  </si>
  <si>
    <t>8af69d2baafa5a3a9bc1bcdecec02add</t>
  </si>
  <si>
    <t>860b989a383593396648518c761c64a5</t>
  </si>
  <si>
    <t>50901a6542ade98ecedba98b403134bf</t>
  </si>
  <si>
    <t>75055e7261261adfc923e0e5434455bd</t>
  </si>
  <si>
    <t>7f15033d73520667f4539ac0eaf8dc2c</t>
  </si>
  <si>
    <t>033c253e16760c3b1de8b9c807e10bf7</t>
  </si>
  <si>
    <t>0b47657d6bcf28d3ea29ccea75dec4bc</t>
  </si>
  <si>
    <t>9efc2c41e0a54e7e7dc9412d187de9f5</t>
  </si>
  <si>
    <t>c89b5884687b685381f10c700062f70d</t>
  </si>
  <si>
    <t>2439c71f14c8db4ac5208cc84113cffc</t>
  </si>
  <si>
    <t>611ba5ef155b93d1cc990c1e3dfebe03</t>
  </si>
  <si>
    <t>a8833cd4d827a1bd3e3a22f2709aa7d9</t>
  </si>
  <si>
    <t>b431ca5b3fa29ad7cb53e91a19074f1e</t>
  </si>
  <si>
    <t>039877e2030dcb53763e516363a3da6d</t>
  </si>
  <si>
    <t>41ab32a8ee30c68af11c6e320db4f5d0</t>
  </si>
  <si>
    <t>86a45a4457d64755695c585db7eacc82</t>
  </si>
  <si>
    <t>dfd5e75bc022dc8b7388c4647d9e079f</t>
  </si>
  <si>
    <t>d58fa60483bb741c3b2dd9e9ae46d1ed</t>
  </si>
  <si>
    <t>5d7e1a561176e424a6a1ae6c0525c017</t>
  </si>
  <si>
    <t>0427ab37dcc9343993c00ec5c93b9c8b</t>
  </si>
  <si>
    <t>197410d59aa228e0c9af78e1950d2381</t>
  </si>
  <si>
    <t>0c24bb115003e07539daeb5370faf136</t>
  </si>
  <si>
    <t>9d659b456e19616a1d99808579f45f08</t>
  </si>
  <si>
    <t>1d4a068f9d38b8e9b858ad69cdb2812f</t>
  </si>
  <si>
    <t>017c86c4ff3d405e6521becab0fb3732</t>
  </si>
  <si>
    <t>c5fc512665357271ba15f5e13c850d65</t>
  </si>
  <si>
    <t>f47f3c61cbc520a9617c6377ce8ea77b</t>
  </si>
  <si>
    <t>417ac9043b0b1805c3e5e5e9605fe400</t>
  </si>
  <si>
    <t>1d7ae90599d59350ada989519870b0e6</t>
  </si>
  <si>
    <t>1421d046e2c25a6ebad36a68d9f3be05</t>
  </si>
  <si>
    <t>49024dbba391e7b6d937dfe7b3354b45</t>
  </si>
  <si>
    <t>550b20428c9b32ac84a7a0c575960ce5</t>
  </si>
  <si>
    <t>ced58dadda88ebec98a7fabb0f296401</t>
  </si>
  <si>
    <t>eb968139ca829c6e4192e49baa4a0578</t>
  </si>
  <si>
    <t>da30abd72c78b3be45f80c65fb9eb2ad</t>
  </si>
  <si>
    <t>66e41d667d9caa7d435b1fa754fe5f80</t>
  </si>
  <si>
    <t>617c81b47e4758942128b6bd2319d9c1</t>
  </si>
  <si>
    <t>5ec35e19cfef4c5138b0a8fad6fd8dac</t>
  </si>
  <si>
    <t>80624a3023447d662e79a60e3017649d</t>
  </si>
  <si>
    <t>68b7007a76d2190b9caaadc01b20b157</t>
  </si>
  <si>
    <t>cf4aa1d389db2d82136f8bf8e0fc1731</t>
  </si>
  <si>
    <t>8b159f0c33071ee7811ca65a505be650</t>
  </si>
  <si>
    <t>954674fb3cb3c5ca77dba84adad450de</t>
  </si>
  <si>
    <t>48ad2736ecc89272abbc29dcb09b9209</t>
  </si>
  <si>
    <t>10088cc50a44bc6d611aa97eca64c484</t>
  </si>
  <si>
    <t>6f25a1fecb540574fb02ff4b4f5a12f9</t>
  </si>
  <si>
    <t>4eed1153c6579c3f4d406da8b34fc1d7</t>
  </si>
  <si>
    <t>53d201c136e76d7f5d18104f1c21f342</t>
  </si>
  <si>
    <t>34af18c1d15951df6e45725ac615e068</t>
  </si>
  <si>
    <t>51ec0e93aa36ff91430519184ad6f244</t>
  </si>
  <si>
    <t>a32c2ec84a7c02833994dcbdfe50f689</t>
  </si>
  <si>
    <t>735b35808f01b379a564129d77847dfb</t>
  </si>
  <si>
    <t>7fed4bde9c009db4cbe207aaa5c2fbf9</t>
  </si>
  <si>
    <t>6b3b05f9c7888418f8bdf22ee174e10f</t>
  </si>
  <si>
    <t>c40b0a7144f196988c2d5d13fa8ca93a</t>
  </si>
  <si>
    <t>a89e6866631d78784f00f728cdbe0fa8</t>
  </si>
  <si>
    <t>33c9052ca7a0a2585b6e1bb4a91cf0fc</t>
  </si>
  <si>
    <t>cef65a145c54dbe0f1ea8ad16a331421</t>
  </si>
  <si>
    <t>8c28070c4f66b857f767329e8ce48afc</t>
  </si>
  <si>
    <t>c9de0a5417de8f748230d60884345ccb</t>
  </si>
  <si>
    <t>b6f5a67bcd2f8ec4ff7e5eff7d14554c</t>
  </si>
  <si>
    <t>a49ab7f57366ac88e823ae316a39e6fb</t>
  </si>
  <si>
    <t>560eb60373b30a42bb1d813a47ebae5b</t>
  </si>
  <si>
    <t>a283fe64e2fbe434793656a8e2f25fb3</t>
  </si>
  <si>
    <t>c625dc1fd57f8d818b6718ee5ce9d27e</t>
  </si>
  <si>
    <t>c3c84092ac84582cfd28c3ff246022cb</t>
  </si>
  <si>
    <t>7efa530244b16507ac557be187cedf5b</t>
  </si>
  <si>
    <t>0cc346ec65e459bd61888a572b3b138e</t>
  </si>
  <si>
    <t>4f9b784fbdde0c7a965fcbda042b2b9f</t>
  </si>
  <si>
    <t>1a6203d931bf37e0476a02bea3effe97</t>
  </si>
  <si>
    <t>4564b63cdb72b5d9fb433b93ce5f0132</t>
  </si>
  <si>
    <t>5177f46c78a990212fe8a74ba2e4ee16</t>
  </si>
  <si>
    <t>696ede2b6a499c372fe1d65fa8d56ebd</t>
  </si>
  <si>
    <t>1bdd43a9f880bb095fc0ba4f82753c53</t>
  </si>
  <si>
    <t>56fdf4dfc562e748071e865d034a62b5</t>
  </si>
  <si>
    <t>bf99455b9c632c2cca040bd026057559</t>
  </si>
  <si>
    <t>c7226ffd4a80a6abfd8b4e348e11e7a0</t>
  </si>
  <si>
    <t>795614ab85fa0cbf19bdc16c075a0d2c</t>
  </si>
  <si>
    <t>6dfaf51d9dac5fdcda240b043eb561d5</t>
  </si>
  <si>
    <t>4611b8ff403bea67637c3f1911940668</t>
  </si>
  <si>
    <t>b3999f2198b3a6ddc547b84352c90e9c</t>
  </si>
  <si>
    <t>325ff4fd5d36bfc4a9cd47fc5be2ee48</t>
  </si>
  <si>
    <t>54267af4b3906ad3c872894bf7093993</t>
  </si>
  <si>
    <t>737db06851aa4224553a728773b50123</t>
  </si>
  <si>
    <t>850660ba5cb014184e5cc0e6b3d4c6bb</t>
  </si>
  <si>
    <t>6e36950e15944681218ed134d85575e3</t>
  </si>
  <si>
    <t>10b56f2764c9a07ce26b86162142e1d7</t>
  </si>
  <si>
    <t>4c41d58a8d3340206fb70ffc06e9f718</t>
  </si>
  <si>
    <t>791f78a00e0b81a19ffa063501dee865</t>
  </si>
  <si>
    <t>7cc538b1337957dae283c30ad46def38</t>
  </si>
  <si>
    <t>0b8a492f911a8150392301d2682c0f19</t>
  </si>
  <si>
    <t>e6401fdedbe7b5eb6113a585d1502e73</t>
  </si>
  <si>
    <t>5330f5fa350679fb680ac438824048bd</t>
  </si>
  <si>
    <t>f21b26f488cbceca3df0d6e56972110c</t>
  </si>
  <si>
    <t>d01ff946debcea49b8eac60c3413ddff</t>
  </si>
  <si>
    <t>af28a85a546aa0390db3d31fee2c6db4</t>
  </si>
  <si>
    <t>6197642a2f218aa4cdc6af1ba8f213bf</t>
  </si>
  <si>
    <t>9b9ccfbe805fb9ea06df2000df9d86c9</t>
  </si>
  <si>
    <t>9918961d312bbd91e66cc3d6dd0661e4</t>
  </si>
  <si>
    <t>41d727696cfe79387a8644bba00cd45e</t>
  </si>
  <si>
    <t>2faee87e8295a785ed8bd638907b5852</t>
  </si>
  <si>
    <t>c718e60757f35ef35e0a9040b0a3f2a1</t>
  </si>
  <si>
    <t>5b88f3e86f89a892d7677fffad99c65f</t>
  </si>
  <si>
    <t>b14269d1ed541bba71d224891c0c1d07</t>
  </si>
  <si>
    <t>3d506847947985f1615169e670d9ec3d</t>
  </si>
  <si>
    <t>0f7ed2f93b7fca39a181ccd93607aaa1</t>
  </si>
  <si>
    <t>f4f0db416cc2e7a1fe919311127e9ece</t>
  </si>
  <si>
    <t>1910b507e88a983ce6245c6a8ac53c09</t>
  </si>
  <si>
    <t>3e76e57fbbbb23dc59e6445191203a3f</t>
  </si>
  <si>
    <t>380cbada0c579524d75d048afda52b77</t>
  </si>
  <si>
    <t>f3ef4cfeab43e65e8a071821a2e70522</t>
  </si>
  <si>
    <t>3327d2a42b3c91cf73eaef07f32e80b6</t>
  </si>
  <si>
    <t>cbf58b1eaf9036896b5f53f8769f2b6c</t>
  </si>
  <si>
    <t>1960f728c26175c4b3ccfac49a2679cf</t>
  </si>
  <si>
    <t>60438b39047b64189d7cc0a6f7dd5df8</t>
  </si>
  <si>
    <t>c2fbb52ea85264169ad5109ee7775d06</t>
  </si>
  <si>
    <t>e2d05fe61187d1bc4928a253d09f087e</t>
  </si>
  <si>
    <t>e8a0ec28fc4273aa546f3abb6a3c24d9</t>
  </si>
  <si>
    <t>68af34529bb4ab8575457d9e16801849</t>
  </si>
  <si>
    <t>ae6272b0342a76d5a6ba771b94ac048c</t>
  </si>
  <si>
    <t>5f2397a240ce3565d4d3b82b0db2fc65</t>
  </si>
  <si>
    <t>32df267df52b7749c84e7e6321c1378b</t>
  </si>
  <si>
    <t>b45e759c405f0c30ca3b26dbae3f0424</t>
  </si>
  <si>
    <t>74a190a673b9880b825416fd36a44eb3</t>
  </si>
  <si>
    <t>017326cd529b9126139a294e682c0495</t>
  </si>
  <si>
    <t>97f34946d127e73fb33c3d86ecca344c</t>
  </si>
  <si>
    <t>b7517a0edb64409325721909b041132a</t>
  </si>
  <si>
    <t>9df8f89419b75c9328447be871147cac</t>
  </si>
  <si>
    <t>9cf7f7608bc4393fef791f39b1b179b8</t>
  </si>
  <si>
    <t>255ca2107423f7f52254a5564d6d04ad</t>
  </si>
  <si>
    <t>f25077a39c1aaddc902d97e5832940ae</t>
  </si>
  <si>
    <t>187d2a7a5a7fef62a52fb0721e5ab448</t>
  </si>
  <si>
    <t>bf7f645c0623a3c5d461d251339e5c9b</t>
  </si>
  <si>
    <t>104aaa348cdf955361b5e9d57cda3394</t>
  </si>
  <si>
    <t>9d02fd65cff13e89550c41c900dc347a</t>
  </si>
  <si>
    <t>788e8dcccb8757a5a7f29481ec1d6fc0</t>
  </si>
  <si>
    <t>b3b3f9d84108bc32a2e41264b0497938</t>
  </si>
  <si>
    <t>197b422c8f32c16605c5a4a1b25659b5</t>
  </si>
  <si>
    <t>3d6696255f0c90fc3f3e3f2d6267e8cc</t>
  </si>
  <si>
    <t>495cd6b045fdfa107a9536275bba0509</t>
  </si>
  <si>
    <t>92fe0f14f026db9c6631440f5b5cf0dc</t>
  </si>
  <si>
    <t>8e9f22434774cce976973717448380b4</t>
  </si>
  <si>
    <t>73103ddd969c87aee1a6cfe805b7dbd4</t>
  </si>
  <si>
    <t>116491a3880b172b226b7282823549f3</t>
  </si>
  <si>
    <t>8fde209ba4175cca35703a1095cfeec9</t>
  </si>
  <si>
    <t>3e184e77033653ed680e6a72159e7d69</t>
  </si>
  <si>
    <t>1a4006a93b50abce284841937782b2cf</t>
  </si>
  <si>
    <t>c4d8eae871684a2bddeb72d46fe8a030</t>
  </si>
  <si>
    <t>6c1e751ccd093d6fecc68ea485e32c99</t>
  </si>
  <si>
    <t>073e5e79f59c74ffd24ba6dc6648ce7c</t>
  </si>
  <si>
    <t>83507bf96216e11ddc2e0773263cc2b2</t>
  </si>
  <si>
    <t>166bf93d96d1a0d031c4adf62034ce3f</t>
  </si>
  <si>
    <t>f8327b26a178ba557a59ace3378c2f95</t>
  </si>
  <si>
    <t>e42a68e0a57044cc230ac7c901756c1d</t>
  </si>
  <si>
    <t>c5cb484bd251d37d9cfecf49e8cf38db</t>
  </si>
  <si>
    <t>2dbe0192a67555d8bb72ec22c1fd677a</t>
  </si>
  <si>
    <t>7a9118e1f63540b5093abdba27ab6e07</t>
  </si>
  <si>
    <t>83f9898dfc5a0485fb93dd9f7f8bf482</t>
  </si>
  <si>
    <t>d69b9159a37a710d16b67c5e61e2e219</t>
  </si>
  <si>
    <t>e13963f0c129b9da11f1e4721f423745</t>
  </si>
  <si>
    <t>b1889589a5ee94e527c59f8578b30218</t>
  </si>
  <si>
    <t>a5a0c5ac425e42b153a40f2395a98acb</t>
  </si>
  <si>
    <t>9447b7e2c724174c9af773d5f1b64263</t>
  </si>
  <si>
    <t>456a517146c2c0321b45c98540856387</t>
  </si>
  <si>
    <t>77a2de98440845afecb786997668d516</t>
  </si>
  <si>
    <t>f4435c4b14dcf4635efd9f8ed62290c7</t>
  </si>
  <si>
    <t>502193081905426c7c32d2a78089bb35</t>
  </si>
  <si>
    <t>37a58819258c4653097f0f9ee6b5aa3d</t>
  </si>
  <si>
    <t>74b453162e9ba8058b626bbc825e67b4</t>
  </si>
  <si>
    <t>2436974dd1c97a19bbc99fc38204feea</t>
  </si>
  <si>
    <t>c86af7db552f16a11c2e3308074154ac</t>
  </si>
  <si>
    <t>43f2d164f59b9d81dc49422105116067</t>
  </si>
  <si>
    <t>98bf5944d8892949be852e1e409e1010</t>
  </si>
  <si>
    <t>5138b4394084bfe582a7366ceb0b6770</t>
  </si>
  <si>
    <t>91e1dd5f3d0336288082f26734c6de08</t>
  </si>
  <si>
    <t>d956458b294b3c3210ced019c6cdd236</t>
  </si>
  <si>
    <t>3a7c2a3144427d8921928f3ab3112bf7</t>
  </si>
  <si>
    <t>56531bdc6a5bd4b17cc9210fd9633fa4</t>
  </si>
  <si>
    <t>d626dd0e6150aeaad279e4f4bdfad8ab</t>
  </si>
  <si>
    <t>1acc40b7524b3a02423b562ffbd13ff6</t>
  </si>
  <si>
    <t>702c7c3c2936d1b5a651c1cd184b2e7f</t>
  </si>
  <si>
    <t>c5d566ec3c2d5e81193cec5703b0c71c</t>
  </si>
  <si>
    <t>4fb8803544d0328d810a66b3d9a75c47</t>
  </si>
  <si>
    <t>2b3c3b0699a961dabc0e33f47f9d835a</t>
  </si>
  <si>
    <t>7029a498c4f596f73b35504df9bab02a</t>
  </si>
  <si>
    <t>93de42b079dbd3509c11c6ce85d823c1</t>
  </si>
  <si>
    <t>f7f9aec108283fc34065ced39c301528</t>
  </si>
  <si>
    <t>d0dcbef5a8ea4e3440294882ca3d7cfb</t>
  </si>
  <si>
    <t>db86b46760e47dba2bc98b9558aa20cb</t>
  </si>
  <si>
    <t>96bd45d5e935c252c3aa57552a94af25</t>
  </si>
  <si>
    <t>32a2bacb528ea401c06b17376cad237e</t>
  </si>
  <si>
    <t>9cd4fbcdff1e2235166f1ccd5b4398ea</t>
  </si>
  <si>
    <t>9e06933b93b8ec7f863656f6f08f0417</t>
  </si>
  <si>
    <t>f8e8ce58b493febecbbf3c12b18353dc</t>
  </si>
  <si>
    <t>1292e5b9689d1e616e2034b44e1e701a</t>
  </si>
  <si>
    <t>b4f6990eb781c566de8d91cb6fe6ca5d</t>
  </si>
  <si>
    <t>c66a17731d03038e82f6cbdd325c3fdd</t>
  </si>
  <si>
    <t>cef5d42e943133ca564a6edad3f5f8c8</t>
  </si>
  <si>
    <t>27848a3b8b38339b73bc30ff9deff7a2</t>
  </si>
  <si>
    <t>b1769d94389e6138512b844516977225</t>
  </si>
  <si>
    <t>9b56450adfcd114a0498a60457ebdeff</t>
  </si>
  <si>
    <t>10ccbc807a1cb01c8137c26e0dcfe6d8</t>
  </si>
  <si>
    <t>6784ac07a6aeb1433c961ace509971d0</t>
  </si>
  <si>
    <t>8b1364fb14bc6ba5b3cf81ea852dbd4f</t>
  </si>
  <si>
    <t>b0a5b62f84451f65fd79ef6c0c79738b</t>
  </si>
  <si>
    <t>2f233bb83fcd9c49e2959f96f2463b64</t>
  </si>
  <si>
    <t>dbb5cf0768cb6a85d7de098809a1a907</t>
  </si>
  <si>
    <t>ce91e4af71deaa47491da4eeb35e4535</t>
  </si>
  <si>
    <t>bef333dfc39823e29ac4808457f06dec</t>
  </si>
  <si>
    <t>11a3068dc8264bacd2a731440bb0dc92</t>
  </si>
  <si>
    <t>307ff87c3d21fb547787c584c5c9e957</t>
  </si>
  <si>
    <t>93794ee11802a7bb4f49c8d18f87bbd6</t>
  </si>
  <si>
    <t>35c0435bac5b49fc667bd23a5c49fea1</t>
  </si>
  <si>
    <t>fc6c40a57bca562c8067d1062eb91e6c</t>
  </si>
  <si>
    <t>9c37f52f0de5fb6ee4ee1d8cb7a0b085</t>
  </si>
  <si>
    <t>56753cb5591dcacaf6a4ced19e611f21</t>
  </si>
  <si>
    <t>8fe74e773f8d8198eaf3fd830ee305e5</t>
  </si>
  <si>
    <t>f752167fca2ecaf38964ffaff639b8d8</t>
  </si>
  <si>
    <t>4b10621b1d422c19578583a0030ad7c8</t>
  </si>
  <si>
    <t>5215a2f4c4cb554cb18c8de3b4f06df5</t>
  </si>
  <si>
    <t>49b16bb8d40a3f0e2bba9ba44b65bfd9</t>
  </si>
  <si>
    <t>2cd4bb83e6bedb9b0b038e3350a5d41b</t>
  </si>
  <si>
    <t>f42c61b0473deca6a719dfce6c235d8f</t>
  </si>
  <si>
    <t>c29b6bce1a5651a80b6953f683046957</t>
  </si>
  <si>
    <t>d768001e841bc0bd089acc6f816d0699</t>
  </si>
  <si>
    <t>c6c209418814b5cee2107e6e744bb737</t>
  </si>
  <si>
    <t>dab535b8d9d6a461c471b20b44253c60</t>
  </si>
  <si>
    <t>5087a1fbd11fc3d96dc93b3e11376bda</t>
  </si>
  <si>
    <t>c76fe7111af8d7e72949a0ec852dfde5</t>
  </si>
  <si>
    <t>d69768607bc09f0dbfa0669da46ef6fc</t>
  </si>
  <si>
    <t>414bec0a996ed32f9183ce8a86c40e0f</t>
  </si>
  <si>
    <t>fa028cf21c88b7a84194306e1b37968c</t>
  </si>
  <si>
    <t>c0da43734b3ba823109bb5a29ae4cec9</t>
  </si>
  <si>
    <t>f99f66c4ee12dec951c234ad811b6716</t>
  </si>
  <si>
    <t>f9cfda111d54261aaba42282a9569f7e</t>
  </si>
  <si>
    <t>50907a3f9889b7ea9ce755f67a05fb37</t>
  </si>
  <si>
    <t>8f4a20534264fce22dc1a12a6d8e6158</t>
  </si>
  <si>
    <t>9983a45ec612b9372871ef63ee241b31</t>
  </si>
  <si>
    <t>bfbce620784832da20ffb55cf4bc3607</t>
  </si>
  <si>
    <t>35e1d9679148d95fdb4f567db207ae06</t>
  </si>
  <si>
    <t>d27094ded8d5242d4d2ba9d7e5f176b4</t>
  </si>
  <si>
    <t>6c79b082e5ab45a46ba189931dc646c1</t>
  </si>
  <si>
    <t>6ed1b690afebbb531e2ddc3d7799e260</t>
  </si>
  <si>
    <t>84037c86334bb0dc014f73da6bb04dca</t>
  </si>
  <si>
    <t>39a596c509dd1baf1008133b48dc8040</t>
  </si>
  <si>
    <t>e12612acc5951b13ed502266385b8108</t>
  </si>
  <si>
    <t>9d9f448d935a04af924537c9aae20e2f</t>
  </si>
  <si>
    <t>3c5cacc351984a48a50d065f662789df</t>
  </si>
  <si>
    <t>3cd1c4392e843ee92aa39f89f0d2382b</t>
  </si>
  <si>
    <t>0a7c563b1e75f1d3555ac12218da520e</t>
  </si>
  <si>
    <t>c5c8f54138e6b9a67eeb4b5d186b27d0</t>
  </si>
  <si>
    <t>4d5b1d7451664f7b4d7359d1f4ea0c88</t>
  </si>
  <si>
    <t>66221bae97a54a1d31b0319c30437bdd</t>
  </si>
  <si>
    <t>c40c01024a2299498ce379d3253daec4</t>
  </si>
  <si>
    <t>bf3b50067c565f050a653d29f443ccf8</t>
  </si>
  <si>
    <t>d1b611ebe627df0447e9f3fafc4f14cf</t>
  </si>
  <si>
    <t>7711010121e869ead8a928fa035b48df</t>
  </si>
  <si>
    <t>49897811809958b58faed4230f03e432</t>
  </si>
  <si>
    <t>830c8e7e327466f868edbc4d3071118e</t>
  </si>
  <si>
    <t>030ed9e0b2210f2207c3d0b9638898c3</t>
  </si>
  <si>
    <t>13c8eb07b2dc376126e669fbc4a57f73</t>
  </si>
  <si>
    <t>3b510fa4087ca05a29852aae1bbcd9fa</t>
  </si>
  <si>
    <t>0f46fe677ed856f99805fd8ec9236575</t>
  </si>
  <si>
    <t>aa4b8d815476f638191851b529731a57</t>
  </si>
  <si>
    <t>37bb803fba5c4ed939d68a30b1d0d867</t>
  </si>
  <si>
    <t>2d21fefd587c8429da8c2233d1d12346</t>
  </si>
  <si>
    <t>99ee2d61ce22795acc55825466a1150f</t>
  </si>
  <si>
    <t>44694d5609682428dac3aad206bad13b</t>
  </si>
  <si>
    <t>25dcf1554f13c36b512dfe907acc77d3</t>
  </si>
  <si>
    <t>b2ec3778d61b7fbba65a900aebc41c1a</t>
  </si>
  <si>
    <t>77fec91772e29a92c267237b080fbc82</t>
  </si>
  <si>
    <t>5735438d64589c7672b1b246cc3b2b24</t>
  </si>
  <si>
    <t>876bd8a49af1c7633e997e95654588d9</t>
  </si>
  <si>
    <t>d55b6a81203f5a5ae6f362c483f36ff1</t>
  </si>
  <si>
    <t>b30e79970c7c9cc69f33fe293107d894</t>
  </si>
  <si>
    <t>601c4fff3aeb8b4c5e7b89fde7a6ba34</t>
  </si>
  <si>
    <t>a0c5216bf6f3fb7bcc2200e78618c778</t>
  </si>
  <si>
    <t>b41d773d96c92dc45260232ed8129134</t>
  </si>
  <si>
    <t>f2dfb1d3d8632126dab09d09f52c70b4</t>
  </si>
  <si>
    <t>d4b949cac7611fae5f8dee7eae4f6caf</t>
  </si>
  <si>
    <t>febb75eccd1101d84a2aa5eb87859ce0</t>
  </si>
  <si>
    <t>781875806d0ec961e50faa879b057e97</t>
  </si>
  <si>
    <t>2c5343ac475f639320f822c448fdf93d</t>
  </si>
  <si>
    <t>5adc3ad31cc0aa43aaab7f4e75a9f00d</t>
  </si>
  <si>
    <t>6ea6f37c28354e994795384f82e200d2</t>
  </si>
  <si>
    <t>f93c6b06973fcb6c973f776382a3a2fb</t>
  </si>
  <si>
    <t>02d3da8fbcddd08b35d3a740f584d899</t>
  </si>
  <si>
    <t>87ee3cf48112fd3290871601831017c4</t>
  </si>
  <si>
    <t>ccce275184c5d8f1fea8923c49d9f396</t>
  </si>
  <si>
    <t>991becb4d6456d01dad848301495f0ea</t>
  </si>
  <si>
    <t>b38ae5435c226e04ee0fd19aeb51d00c</t>
  </si>
  <si>
    <t>3f4b1d9d2b6b462288ff6d8ff9e6a5fe</t>
  </si>
  <si>
    <t>eb60df0b3ed1230d4d205e0d190cdd86</t>
  </si>
  <si>
    <t>c60e0a0674f9b469a9cbfd26c549f233</t>
  </si>
  <si>
    <t>1729dfd557d42fb1bd4ebbd02d526800</t>
  </si>
  <si>
    <t>57ce0427b9e3b1b777b3efcf5684452e</t>
  </si>
  <si>
    <t>9bad02571a0355e4a035c155db391fcc</t>
  </si>
  <si>
    <t>57c50209953cb4fb4c0e9b9631f3802c</t>
  </si>
  <si>
    <t>8e3ecc6d79b651cabc3b9403543358dd</t>
  </si>
  <si>
    <t>51d77b425e84359a1f4b46c585879681</t>
  </si>
  <si>
    <t>54430319f44a3febe74012d9ced38a1d</t>
  </si>
  <si>
    <t>05bb87bcfec4c38739c5eb3340247cf1</t>
  </si>
  <si>
    <t>14fab9101cde27b123722210d1a1836f</t>
  </si>
  <si>
    <t>b6f94d0f54cf94a6a70af82a57c7c130</t>
  </si>
  <si>
    <t>f24225f22f15bced3886d8fa30b6cca3</t>
  </si>
  <si>
    <t>e2f925f4bbb3c006b9add15fcf797a78</t>
  </si>
  <si>
    <t>ffc62d6945fd1423539ec6d96326c37c</t>
  </si>
  <si>
    <t>075c4cf9e46f14578f4397e16a2b3f4e</t>
  </si>
  <si>
    <t>5cbf35a46932a51cc63f40aeeb5f2a16</t>
  </si>
  <si>
    <t>d72ed463540d810c634272bb19e3de1a</t>
  </si>
  <si>
    <t>c34fc4c9109e2813107616f91f8c252d</t>
  </si>
  <si>
    <t>9508e33866145631ca76768f61282f2c</t>
  </si>
  <si>
    <t>64d3742f8a1795f31142a0f006484817</t>
  </si>
  <si>
    <t>2c573a074732c9dad456e1e9f9ffc238</t>
  </si>
  <si>
    <t>492a376be4d38d1c868d037cd4e8df1e</t>
  </si>
  <si>
    <t>fc37c234a9b820027243ea2255da90b7</t>
  </si>
  <si>
    <t>064ee9c7b1d8179b19b0ae50d19bdf86</t>
  </si>
  <si>
    <t>81623160a21568ddbc0a8173ebbf1670</t>
  </si>
  <si>
    <t>6ec35d2451cfa0e2e1c8595ec4ad099d</t>
  </si>
  <si>
    <t>125ffbed680fa712eaa4e8460b5449a6</t>
  </si>
  <si>
    <t>836226ba462e8af1f51f9e5c798b228e</t>
  </si>
  <si>
    <t>1ff499dfd246597828e415c43589fb4f</t>
  </si>
  <si>
    <t>324bacc7aab550b824bbd20d352cbff4</t>
  </si>
  <si>
    <t>c071c86446066d4de2ba1551614a08c8</t>
  </si>
  <si>
    <t>6f7fcdd58aa703d420609c5a8a77917c</t>
  </si>
  <si>
    <t>3811144c4ecfaedd25d117c92fe210b0</t>
  </si>
  <si>
    <t>a8c5a574b9a94333c257c08bc2879291</t>
  </si>
  <si>
    <t>48cb245f831df4938c87ddae93da0a32</t>
  </si>
  <si>
    <t>7b76aabbcca9301ca0f8604376a1908b</t>
  </si>
  <si>
    <t>ad52498830facdfb560d81b5620b66ae</t>
  </si>
  <si>
    <t>a0e278e882f1eb24248fe91b3411e42a</t>
  </si>
  <si>
    <t>32842e5dcc326280949f03bf9ae8f784</t>
  </si>
  <si>
    <t>eb429c58556d7816b74e84654a8ea7dc</t>
  </si>
  <si>
    <t>ec0f87b9257fc1cc6276cfc1ce887d69</t>
  </si>
  <si>
    <t>06fb19e620ff0639ab07f26b4f1b1107</t>
  </si>
  <si>
    <t>467df6e5f3be06ac88b2dbcaf92afcc5</t>
  </si>
  <si>
    <t>4031da8c46633e955c265b95ba0d9b24</t>
  </si>
  <si>
    <t>eac5c2290889d8dcdb447d15336568f8</t>
  </si>
  <si>
    <t>965b0629796556420a03de497e780a03</t>
  </si>
  <si>
    <t>a727a09bb3214ae41122b455ab5f4cb1</t>
  </si>
  <si>
    <t>2ae099e72bd2a9b0dd9b67188cda4961</t>
  </si>
  <si>
    <t>40a15ab98098e23765f5fe601366d8a9</t>
  </si>
  <si>
    <t>2b6da6092f93450493beec6d5a778351</t>
  </si>
  <si>
    <t>e6b5c4f9b23ce25d8722f4f8f395db85</t>
  </si>
  <si>
    <t>df3a043824d19c571b85b4b1d8ebd29d</t>
  </si>
  <si>
    <t>62be10fcc6aa7b1ac58ba2fedbb6ff2f</t>
  </si>
  <si>
    <t>8843fd390986d3bb3917f6f2916053f3</t>
  </si>
  <si>
    <t>055bac208ceea65244da625816501e94</t>
  </si>
  <si>
    <t>1cc968d13f0a4655b22c287f7b13debb</t>
  </si>
  <si>
    <t>b3ccc9cda16e771cb1b087a0c29cc07c</t>
  </si>
  <si>
    <t>f1fc635f9e6f3c7c0da596e0e4043d9a</t>
  </si>
  <si>
    <t>c5e212421256cf0dcf335940944bc162</t>
  </si>
  <si>
    <t>f27e4860cdd0eb27a3d1113428a941e0</t>
  </si>
  <si>
    <t>876dcde308d3410fbdb2bfefc5ffea06</t>
  </si>
  <si>
    <t>dd813fde7c3bf5f3b947d7d401d8fba4</t>
  </si>
  <si>
    <t>7fc8ade4c669c685b1e15f30982d3f65</t>
  </si>
  <si>
    <t>d26ae53c9441b24e4286842b32b98637</t>
  </si>
  <si>
    <t>c712da56ef432ac2c0485556cf452be6</t>
  </si>
  <si>
    <t>ee91ec70d1074ec43bfd4fa7bf9abec9</t>
  </si>
  <si>
    <t>cf911f83947bf6be88b36a02b5512288</t>
  </si>
  <si>
    <t>ace213affb48c3db008eee07d97bfb94</t>
  </si>
  <si>
    <t>ffb55afa1e1b9f61c3696cc12f69b6d2</t>
  </si>
  <si>
    <t>2f88d23e18b9c290f92240a327d865e8</t>
  </si>
  <si>
    <t>3683ba5726e741af4b8b02bcaef4e7b3</t>
  </si>
  <si>
    <t>781870bb5979fcc948dcc48da5fb798a</t>
  </si>
  <si>
    <t>a4e42bba44a8f1050a8a57e5ead9a43c</t>
  </si>
  <si>
    <t>3ebe2a87a58cf391399b0bf0cb53c8ae</t>
  </si>
  <si>
    <t>734ec5296d8357fa809ab7ff73b4740e</t>
  </si>
  <si>
    <t>a1d2a5b05d09395f32299a4d270a9a32</t>
  </si>
  <si>
    <t>72abde3bc8e85397733b3f40f0bb3649</t>
  </si>
  <si>
    <t>4d30aee468b68ec5e3fb9f53d4e50eea</t>
  </si>
  <si>
    <t>9c0309e638a30971dfa0572062088e7c</t>
  </si>
  <si>
    <t>dcf5cd105900373d89923a5bc7b34452</t>
  </si>
  <si>
    <t>3039a72740ccf74a6c840aacbef79b0b</t>
  </si>
  <si>
    <t>c24f9ae141fa02c7fa1deea7e1149557</t>
  </si>
  <si>
    <t>aedd87de3760230b3c1e74e37b875a38</t>
  </si>
  <si>
    <t>feaba3ffcd2ff97501696c7f9a42f41c</t>
  </si>
  <si>
    <t>a79cb53cd009ab92e0143b92baa2407b</t>
  </si>
  <si>
    <t>68f049a23ab109c6a0f6989bb9a02994</t>
  </si>
  <si>
    <t>4f8c96e2509b984329044c6682c88ee9</t>
  </si>
  <si>
    <t>deal_category</t>
  </si>
  <si>
    <t>Total Leads</t>
  </si>
  <si>
    <t>Total Deals</t>
  </si>
  <si>
    <t>Total Revenue</t>
  </si>
  <si>
    <t>Total</t>
  </si>
  <si>
    <t>Conversion Rate</t>
  </si>
  <si>
    <t>High Value Deals</t>
  </si>
  <si>
    <t>Stander Deals</t>
  </si>
  <si>
    <t>Grand Total</t>
  </si>
  <si>
    <t xml:space="preserve">High Values </t>
  </si>
  <si>
    <t xml:space="preserve">No Revenue </t>
  </si>
  <si>
    <t xml:space="preserve">Stander </t>
  </si>
  <si>
    <t>Sum of declared_monthly_revenue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</si>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</sst>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6" formatCode="_-* #,##0_-;\-* #,##0_-;_-* &quot;-&quot;??_-;_-@_-"/>
  </numFmts>
  <fonts count="2" x14ac:knownFonts="1">
    <font>
      <sz val="11"/>
      <color theme="1"/>
      <name val="Arial"/>
      <family val="2"/>
      <charset val="178"/>
      <scheme val="minor"/>
    </font>
    <font>
      <sz val="11"/>
      <color theme="1"/>
      <name val="Arial"/>
      <family val="2"/>
      <charset val="178"/>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22" fontId="0" fillId="0" borderId="0" xfId="0" applyNumberFormat="1"/>
    <xf numFmtId="14" fontId="0" fillId="0" borderId="0" xfId="0" applyNumberFormat="1"/>
    <xf numFmtId="0" fontId="0" fillId="0" borderId="0" xfId="0" applyNumberFormat="1"/>
    <xf numFmtId="10" fontId="0" fillId="0" borderId="0" xfId="2" applyNumberFormat="1" applyFont="1"/>
    <xf numFmtId="10" fontId="1" fillId="0" borderId="0" xfId="0" applyNumberFormat="1" applyFont="1"/>
    <xf numFmtId="166" fontId="0" fillId="0" borderId="0" xfId="1" applyNumberFormat="1" applyFont="1"/>
    <xf numFmtId="0" fontId="0" fillId="0" borderId="0" xfId="0" pivotButton="1"/>
    <xf numFmtId="0" fontId="0" fillId="0" borderId="1" xfId="0" applyBorder="1"/>
    <xf numFmtId="0" fontId="0" fillId="0" borderId="1" xfId="0" applyNumberFormat="1" applyBorder="1"/>
  </cellXfs>
  <cellStyles count="3">
    <cellStyle name="Comma" xfId="1" builtinId="3"/>
    <cellStyle name="Normal" xfId="0" builtinId="0"/>
    <cellStyle name="Percent" xfId="2" builtinId="5"/>
  </cellStyles>
  <dxfs count="32">
    <dxf>
      <font>
        <color theme="1"/>
      </font>
      <numFmt numFmtId="1" formatCode="0"/>
      <fill>
        <patternFill>
          <bgColor theme="0" tint="-0.24994659260841701"/>
        </patternFill>
      </fill>
    </dxf>
    <dxf>
      <font>
        <color theme="0" tint="-0.14996795556505021"/>
      </font>
      <fill>
        <patternFill>
          <bgColor theme="0" tint="-0.24994659260841701"/>
        </patternFill>
      </fill>
    </dxf>
    <dxf>
      <font>
        <color rgb="FF9C0006"/>
      </font>
      <fill>
        <patternFill>
          <bgColor rgb="FFFFC7CE"/>
        </patternFill>
      </fill>
    </dxf>
    <dxf>
      <font>
        <color theme="0" tint="-0.14996795556505021"/>
      </font>
      <fill>
        <patternFill>
          <bgColor theme="0" tint="-0.24994659260841701"/>
        </patternFill>
      </fill>
    </dxf>
    <dxf>
      <font>
        <color rgb="FF9C0006"/>
      </font>
      <fill>
        <patternFill>
          <bgColor rgb="FFFFC7CE"/>
        </patternFill>
      </fill>
    </dxf>
    <dxf>
      <font>
        <color rgb="FF9C0006"/>
      </font>
      <fill>
        <patternFill>
          <bgColor rgb="FFFFC7CE"/>
        </patternFill>
      </fill>
    </dxf>
    <dxf>
      <font>
        <color theme="0" tint="-0.14996795556505021"/>
      </font>
      <fill>
        <patternFill>
          <bgColor theme="0" tint="-0.24994659260841701"/>
        </patternFill>
      </fill>
    </dxf>
    <dxf>
      <border>
        <right style="thin">
          <color indexed="64"/>
        </right>
      </border>
    </dxf>
    <dxf>
      <font>
        <color theme="0" tint="-0.14996795556505021"/>
      </font>
      <fill>
        <patternFill>
          <bgColor theme="0" tint="-0.24994659260841701"/>
        </patternFill>
      </fill>
    </dxf>
    <dxf>
      <numFmt numFmtId="166" formatCode="_-* #,##0_-;\-* #,##0_-;_-* &quot;-&quot;??_-;_-@_-"/>
    </dxf>
    <dxf>
      <numFmt numFmtId="166" formatCode="_-* #,##0_-;\-* #,##0_-;_-* &quot;-&quot;??_-;_-@_-"/>
    </dxf>
    <dxf>
      <numFmt numFmtId="14" formatCode="0.0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rial"/>
        <family val="2"/>
        <charset val="178"/>
        <scheme val="minor"/>
      </font>
      <numFmt numFmtId="14" formatCode="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 Category</a:t>
            </a:r>
          </a:p>
        </c:rich>
      </c:tx>
      <c:layout>
        <c:manualLayout>
          <c:xMode val="edge"/>
          <c:yMode val="edge"/>
          <c:x val="0.29158277750492456"/>
          <c:y val="2.9304029304029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0-D0DF-4F9E-9C73-32DB125B4962}"/>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Lit>
              <c:ptCount val="3"/>
              <c:pt idx="0">
                <c:v>High Values </c:v>
              </c:pt>
              <c:pt idx="1">
                <c:v>No Revenue </c:v>
              </c:pt>
              <c:pt idx="2">
                <c:v>Stander </c:v>
              </c:pt>
            </c:strLit>
          </c:cat>
          <c:val>
            <c:numLit>
              <c:formatCode>General</c:formatCode>
              <c:ptCount val="3"/>
              <c:pt idx="0">
                <c:v>66</c:v>
              </c:pt>
              <c:pt idx="1">
                <c:v>797</c:v>
              </c:pt>
              <c:pt idx="2">
                <c:v>7</c:v>
              </c:pt>
            </c:numLit>
          </c:val>
          <c:extLst>
            <c:ext xmlns:c16="http://schemas.microsoft.com/office/drawing/2014/chart" uri="{C3380CC4-5D6E-409C-BE32-E72D297353CC}">
              <c16:uniqueId val="{0000001F-D0DF-4F9E-9C73-32DB125B49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Revenue By Marketing Origin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ar-EG"/>
        </a:p>
      </c:txPr>
    </c:title>
    <c:autoTitleDeleted val="0"/>
    <c:plotArea>
      <c:layout/>
      <c:bar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dLbl>
              <c:idx val="0"/>
              <c:layout>
                <c:manualLayout>
                  <c:x val="-2.7777777777777779E-3"/>
                  <c:y val="-0.115677321156773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AF8-41E8-B5EB-5C56433FCF8E}"/>
                </c:ext>
              </c:extLst>
            </c:dLbl>
            <c:dLbl>
              <c:idx val="1"/>
              <c:layout>
                <c:manualLayout>
                  <c:x val="0"/>
                  <c:y val="-0.109589041095890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F8-41E8-B5EB-5C56433FCF8E}"/>
                </c:ext>
              </c:extLst>
            </c:dLbl>
            <c:dLbl>
              <c:idx val="2"/>
              <c:layout>
                <c:manualLayout>
                  <c:x val="2.8999921464754642E-3"/>
                  <c:y val="-0.429471804897921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F8-41E8-B5EB-5C56433FCF8E}"/>
                </c:ext>
              </c:extLst>
            </c:dLbl>
            <c:dLbl>
              <c:idx val="3"/>
              <c:layout>
                <c:manualLayout>
                  <c:x val="-2.7777777777778798E-3"/>
                  <c:y val="-0.10958904109589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F8-41E8-B5EB-5C56433FCF8E}"/>
                </c:ext>
              </c:extLst>
            </c:dLbl>
            <c:dLbl>
              <c:idx val="5"/>
              <c:layout>
                <c:manualLayout>
                  <c:x val="0"/>
                  <c:y val="-9.13242009132420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F8-41E8-B5EB-5C56433FCF8E}"/>
                </c:ext>
              </c:extLst>
            </c:dLbl>
            <c:dLbl>
              <c:idx val="6"/>
              <c:layout>
                <c:manualLayout>
                  <c:x val="0"/>
                  <c:y val="-8.52359208523592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F8-41E8-B5EB-5C56433FCF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('Marketing Summary'!$A$2,'Marketing Summary'!$A$3,'Marketing Summary'!$A$4,'Marketing Summary'!$A$5,'Marketing Summary'!$A$6,'Marketing Summary'!$A$7,'Marketing Summary'!$A$8)</c:f>
              <c:strCache>
                <c:ptCount val="7"/>
                <c:pt idx="0">
                  <c:v>social</c:v>
                </c:pt>
                <c:pt idx="1">
                  <c:v>paid_search</c:v>
                </c:pt>
                <c:pt idx="2">
                  <c:v>organic_search</c:v>
                </c:pt>
                <c:pt idx="3">
                  <c:v>direct_traffic</c:v>
                </c:pt>
                <c:pt idx="4">
                  <c:v>referral</c:v>
                </c:pt>
                <c:pt idx="5">
                  <c:v>email</c:v>
                </c:pt>
                <c:pt idx="6">
                  <c:v>unknow</c:v>
                </c:pt>
              </c:strCache>
            </c:strRef>
          </c:cat>
          <c:val>
            <c:numRef>
              <c:f>('Marketing Summary'!$D$2,'Marketing Summary'!$D$3,'Marketing Summary'!$D$4,'Marketing Summary'!$D$5,'Marketing Summary'!$D$6,'Marketing Summary'!$D$7,'Marketing Summary'!$D$8)</c:f>
              <c:numCache>
                <c:formatCode>_-* #,##0_-;\-* #,##0_-;_-* "-"??_-;_-@_-</c:formatCode>
                <c:ptCount val="7"/>
                <c:pt idx="0">
                  <c:v>501000</c:v>
                </c:pt>
                <c:pt idx="1">
                  <c:v>9169000</c:v>
                </c:pt>
                <c:pt idx="2">
                  <c:v>51426000</c:v>
                </c:pt>
                <c:pt idx="3">
                  <c:v>60000</c:v>
                </c:pt>
                <c:pt idx="4">
                  <c:v>0</c:v>
                </c:pt>
                <c:pt idx="5">
                  <c:v>15000</c:v>
                </c:pt>
                <c:pt idx="6">
                  <c:v>150000</c:v>
                </c:pt>
              </c:numCache>
            </c:numRef>
          </c:val>
          <c:extLst>
            <c:ext xmlns:c16="http://schemas.microsoft.com/office/drawing/2014/chart" uri="{C3380CC4-5D6E-409C-BE32-E72D297353CC}">
              <c16:uniqueId val="{00000000-6AF8-41E8-B5EB-5C56433FCF8E}"/>
            </c:ext>
          </c:extLst>
        </c:ser>
        <c:dLbls>
          <c:dLblPos val="ctr"/>
          <c:showLegendKey val="0"/>
          <c:showVal val="1"/>
          <c:showCatName val="0"/>
          <c:showSerName val="0"/>
          <c:showPercent val="0"/>
          <c:showBubbleSize val="0"/>
        </c:dLbls>
        <c:gapWidth val="150"/>
        <c:overlap val="100"/>
        <c:axId val="375861272"/>
        <c:axId val="375864152"/>
      </c:barChart>
      <c:catAx>
        <c:axId val="3758612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ar-EG"/>
          </a:p>
        </c:txPr>
        <c:crossAx val="375864152"/>
        <c:crosses val="autoZero"/>
        <c:auto val="1"/>
        <c:lblAlgn val="ctr"/>
        <c:lblOffset val="100"/>
        <c:noMultiLvlLbl val="0"/>
      </c:catAx>
      <c:valAx>
        <c:axId val="375864152"/>
        <c:scaling>
          <c:orientation val="minMax"/>
        </c:scaling>
        <c:delete val="0"/>
        <c:axPos val="l"/>
        <c:majorGridlines>
          <c:spPr>
            <a:ln w="9525" cap="flat" cmpd="sng" algn="ctr">
              <a:solidFill>
                <a:schemeClr val="tx2">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ar-EG"/>
          </a:p>
        </c:txPr>
        <c:crossAx val="375861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ar-E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5</xdr:col>
      <xdr:colOff>104775</xdr:colOff>
      <xdr:row>0</xdr:row>
      <xdr:rowOff>95251</xdr:rowOff>
    </xdr:from>
    <xdr:to>
      <xdr:col>5</xdr:col>
      <xdr:colOff>1514475</xdr:colOff>
      <xdr:row>20</xdr:row>
      <xdr:rowOff>114301</xdr:rowOff>
    </xdr:to>
    <mc:AlternateContent xmlns:mc="http://schemas.openxmlformats.org/markup-compatibility/2006">
      <mc:Choice xmlns:a14="http://schemas.microsoft.com/office/drawing/2010/main" Requires="a14">
        <xdr:graphicFrame macro="">
          <xdr:nvGraphicFramePr>
            <xdr:cNvPr id="3" name="origin">
              <a:extLst>
                <a:ext uri="{FF2B5EF4-FFF2-40B4-BE49-F238E27FC236}">
                  <a16:creationId xmlns:a16="http://schemas.microsoft.com/office/drawing/2014/main" id="{D62B2327-F5E4-2829-040D-E9138C87DF55}"/>
                </a:ext>
              </a:extLst>
            </xdr:cNvPr>
            <xdr:cNvGraphicFramePr/>
          </xdr:nvGraphicFramePr>
          <xdr:xfrm>
            <a:off x="0" y="0"/>
            <a:ext cx="0" cy="0"/>
          </xdr:xfrm>
          <a:graphic>
            <a:graphicData uri="http://schemas.microsoft.com/office/drawing/2010/slicer">
              <sle:slicer xmlns:sle="http://schemas.microsoft.com/office/drawing/2010/slicer" name="origin"/>
            </a:graphicData>
          </a:graphic>
        </xdr:graphicFrame>
      </mc:Choice>
      <mc:Fallback>
        <xdr:sp macro="" textlink="">
          <xdr:nvSpPr>
            <xdr:cNvPr id="0" name=""/>
            <xdr:cNvSpPr>
              <a:spLocks noTextEdit="1"/>
            </xdr:cNvSpPr>
          </xdr:nvSpPr>
          <xdr:spPr>
            <a:xfrm>
              <a:off x="8153400" y="95251"/>
              <a:ext cx="1409700" cy="36385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1057275</xdr:colOff>
      <xdr:row>14</xdr:row>
      <xdr:rowOff>76200</xdr:rowOff>
    </xdr:from>
    <xdr:to>
      <xdr:col>4</xdr:col>
      <xdr:colOff>1352550</xdr:colOff>
      <xdr:row>20</xdr:row>
      <xdr:rowOff>123825</xdr:rowOff>
    </xdr:to>
    <mc:AlternateContent xmlns:mc="http://schemas.openxmlformats.org/markup-compatibility/2006">
      <mc:Choice xmlns:a14="http://schemas.microsoft.com/office/drawing/2010/main" Requires="a14">
        <xdr:graphicFrame macro="">
          <xdr:nvGraphicFramePr>
            <xdr:cNvPr id="4" name="deal_category">
              <a:extLst>
                <a:ext uri="{FF2B5EF4-FFF2-40B4-BE49-F238E27FC236}">
                  <a16:creationId xmlns:a16="http://schemas.microsoft.com/office/drawing/2014/main" id="{72EE305E-AC0F-98ED-F6EC-0B4D8B9C69B3}"/>
                </a:ext>
              </a:extLst>
            </xdr:cNvPr>
            <xdr:cNvGraphicFramePr/>
          </xdr:nvGraphicFramePr>
          <xdr:xfrm>
            <a:off x="0" y="0"/>
            <a:ext cx="0" cy="0"/>
          </xdr:xfrm>
          <a:graphic>
            <a:graphicData uri="http://schemas.microsoft.com/office/drawing/2010/slicer">
              <sle:slicer xmlns:sle="http://schemas.microsoft.com/office/drawing/2010/slicer" name="deal_category"/>
            </a:graphicData>
          </a:graphic>
        </xdr:graphicFrame>
      </mc:Choice>
      <mc:Fallback>
        <xdr:sp macro="" textlink="">
          <xdr:nvSpPr>
            <xdr:cNvPr id="0" name=""/>
            <xdr:cNvSpPr>
              <a:spLocks noTextEdit="1"/>
            </xdr:cNvSpPr>
          </xdr:nvSpPr>
          <xdr:spPr>
            <a:xfrm>
              <a:off x="6381750" y="2609850"/>
              <a:ext cx="1657350" cy="11334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1000126</xdr:colOff>
      <xdr:row>14</xdr:row>
      <xdr:rowOff>47625</xdr:rowOff>
    </xdr:from>
    <xdr:to>
      <xdr:col>3</xdr:col>
      <xdr:colOff>952501</xdr:colOff>
      <xdr:row>29</xdr:row>
      <xdr:rowOff>38100</xdr:rowOff>
    </xdr:to>
    <mc:AlternateContent xmlns:mc="http://schemas.openxmlformats.org/markup-compatibility/2006">
      <mc:Choice xmlns:a14="http://schemas.microsoft.com/office/drawing/2010/main" Requires="a14">
        <xdr:graphicFrame macro="">
          <xdr:nvGraphicFramePr>
            <xdr:cNvPr id="6" name="lead_type">
              <a:extLst>
                <a:ext uri="{FF2B5EF4-FFF2-40B4-BE49-F238E27FC236}">
                  <a16:creationId xmlns:a16="http://schemas.microsoft.com/office/drawing/2014/main" id="{BB889B4D-2547-E003-CEDD-458B93CABF99}"/>
                </a:ext>
              </a:extLst>
            </xdr:cNvPr>
            <xdr:cNvGraphicFramePr/>
          </xdr:nvGraphicFramePr>
          <xdr:xfrm>
            <a:off x="0" y="0"/>
            <a:ext cx="0" cy="0"/>
          </xdr:xfrm>
          <a:graphic>
            <a:graphicData uri="http://schemas.microsoft.com/office/drawing/2010/slicer">
              <sle:slicer xmlns:sle="http://schemas.microsoft.com/office/drawing/2010/slicer" name="lead_type"/>
            </a:graphicData>
          </a:graphic>
        </xdr:graphicFrame>
      </mc:Choice>
      <mc:Fallback>
        <xdr:sp macro="" textlink="">
          <xdr:nvSpPr>
            <xdr:cNvPr id="0" name=""/>
            <xdr:cNvSpPr>
              <a:spLocks noTextEdit="1"/>
            </xdr:cNvSpPr>
          </xdr:nvSpPr>
          <xdr:spPr>
            <a:xfrm>
              <a:off x="4905376" y="2581275"/>
              <a:ext cx="1371600" cy="27051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xdr:colOff>
      <xdr:row>14</xdr:row>
      <xdr:rowOff>9525</xdr:rowOff>
    </xdr:from>
    <xdr:to>
      <xdr:col>2</xdr:col>
      <xdr:colOff>852487</xdr:colOff>
      <xdr:row>28</xdr:row>
      <xdr:rowOff>76200</xdr:rowOff>
    </xdr:to>
    <xdr:graphicFrame macro="">
      <xdr:nvGraphicFramePr>
        <xdr:cNvPr id="9" name="Chart 8">
          <a:extLst>
            <a:ext uri="{FF2B5EF4-FFF2-40B4-BE49-F238E27FC236}">
              <a16:creationId xmlns:a16="http://schemas.microsoft.com/office/drawing/2014/main" id="{038AA994-6CF5-3C54-A2F7-F1916A571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671511</xdr:colOff>
      <xdr:row>9</xdr:row>
      <xdr:rowOff>104774</xdr:rowOff>
    </xdr:from>
    <xdr:to>
      <xdr:col>6</xdr:col>
      <xdr:colOff>19049</xdr:colOff>
      <xdr:row>28</xdr:row>
      <xdr:rowOff>171450</xdr:rowOff>
    </xdr:to>
    <xdr:graphicFrame macro="">
      <xdr:nvGraphicFramePr>
        <xdr:cNvPr id="2" name="Chart 1">
          <a:extLst>
            <a:ext uri="{FF2B5EF4-FFF2-40B4-BE49-F238E27FC236}">
              <a16:creationId xmlns:a16="http://schemas.microsoft.com/office/drawing/2014/main" id="{A0ADDC6F-AD24-4B09-7A76-81AEFF76B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32.653767013886" createdVersion="8" refreshedVersion="8" minRefreshableVersion="3" recordCount="870" xr:uid="{BA143804-0323-48F7-9C0E-04632D64448E}">
  <cacheSource type="worksheet">
    <worksheetSource name="olist_closed_deals_dataset"/>
  </cacheSource>
  <cacheFields count="16">
    <cacheField name="mql_id" numFmtId="0">
      <sharedItems/>
    </cacheField>
    <cacheField name="seller_id" numFmtId="0">
      <sharedItems/>
    </cacheField>
    <cacheField name="sdr_id" numFmtId="0">
      <sharedItems/>
    </cacheField>
    <cacheField name="sr_id" numFmtId="0">
      <sharedItems/>
    </cacheField>
    <cacheField name="won_date" numFmtId="22">
      <sharedItems containsDate="1" containsMixedTypes="1" minDate="2017-12-05T02:00:00" maxDate="2018-11-14T18:04:19" count="825">
        <d v="2018-02-26T19:58:54"/>
        <d v="2018-05-08T20:17:59"/>
        <d v="2018-06-05T17:27:23"/>
        <d v="2018-01-17T13:51:03"/>
        <d v="2018-07-03T20:17:45"/>
        <d v="2018-02-07T18:04:05"/>
        <d v="2018-04-16T18:18:22"/>
        <d v="2018-04-17T17:01:57"/>
        <d v="2018-05-14T18:37:15"/>
        <d v="2018-04-24T03:00:00"/>
        <d v="2018-02-28T19:42:14"/>
        <d v="2018-02-23T13:54:40"/>
        <d v="2018-05-22T13:24:08"/>
        <d v="2018-06-14T14:30:20"/>
        <d v="2018-04-10T03:00:00"/>
        <d v="2018-09-10T14:18:01"/>
        <d v="2018-04-10T19:21:54"/>
        <d v="2018-01-26T17:23:46"/>
        <d v="2018-05-11T19:03:19"/>
        <d v="2018-06-19T14:08:22"/>
        <d v="2018-02-07T13:57:02"/>
        <d v="2018-04-16T13:09:09"/>
        <d v="2018-02-08T17:20:14"/>
        <d v="2018-02-16T12:31:56"/>
        <d v="2018-02-22T12:40:15"/>
        <d v="2018-02-12T13:18:13"/>
        <d v="2018-02-08T20:57:44"/>
        <d v="2018-04-06T20:52:54"/>
        <d v="2018-04-13T12:27:48"/>
        <d v="2018-04-18T18:02:08"/>
        <d v="2018-07-19T18:06:07"/>
        <d v="2018-07-04T15:07:27"/>
        <d v="2018-04-25T03:00:00"/>
        <d v="2018-06-05T17:20:34"/>
        <d v="2018-10-31T16:54:59"/>
        <d v="2018-05-30T14:43:50"/>
        <d v="2018-03-06T12:25:29"/>
        <d v="2018-09-27T12:31:01"/>
        <d v="2018-02-06T15:46:14"/>
        <d v="2018-05-15T18:05:25"/>
        <d v="2018-06-11T12:40:42"/>
        <d v="2018-11-14T18:04:19"/>
        <d v="2018-04-27T14:01:33"/>
        <d v="2018-03-27T19:14:00"/>
        <d v="2018-06-18T13:58:00"/>
        <d v="2018-04-11T03:00:00"/>
        <d v="2018-04-18T16:50:40"/>
        <d v="2018-03-29T17:48:42"/>
        <d v="2018-02-22T13:18:26"/>
        <d v="2018-02-27T20:04:12"/>
        <d v="2018-06-11T12:04:11"/>
        <d v="2018-07-30T14:34:51"/>
        <d v="2018-04-02T14:20:33"/>
        <d v="2018-04-13T12:50:35"/>
        <d v="2018-03-23T19:06:54"/>
        <d v="2018-04-26T03:00:00"/>
        <d v="2018-03-12T13:21:11"/>
        <d v="2018-04-30T21:13:36"/>
        <d v="2018-04-27T13:35:00"/>
        <d v="2018-09-04T14:15:04"/>
        <d v="2018-05-18T18:08:22"/>
        <d v="2018-02-27T19:19:47"/>
        <d v="2018-01-12T16:07:27"/>
        <d v="2018-02-26T12:45:46"/>
        <d v="2018-04-03T03:00:00"/>
        <d v="2018-04-27T16:11:57"/>
        <d v="2018-04-27T20:44:40"/>
        <d v="2018-02-22T21:07:50"/>
        <d v="2018-01-31T21:00:13"/>
        <d v="2018-06-25T19:33:44"/>
        <d v="2018-09-21T18:18:15"/>
        <d v="2018-03-12T13:14:10"/>
        <d v="2018-01-19T16:51:28"/>
        <d v="2018-04-03T17:19:55"/>
        <d v="2018-04-23T14:31:35"/>
        <d v="2018-02-09T15:35:51"/>
        <d v="2018-03-16T14:17:34"/>
        <d v="2018-04-27T16:09:25"/>
        <d v="2018-01-18T11:09:00"/>
        <d v="2018-04-27T21:38:40"/>
        <d v="2018-04-27T21:08:34"/>
        <d v="2018-08-28T17:09:31"/>
        <d v="2018-02-26T20:32:17"/>
        <d v="2018-04-03T18:56:08"/>
        <d v="2018-04-26T16:05:43"/>
        <d v="2018-02-26T20:02:10"/>
        <d v="2018-09-21T18:49:49"/>
        <d v="2018-08-03T17:41:00"/>
        <d v="2018-01-30T16:30:17"/>
        <d v="2018-02-15T17:38:42"/>
        <d v="2018-04-20T03:00:00"/>
        <d v="2018-05-07T16:42:08"/>
        <d v="2018-06-18T12:46:31"/>
        <d v="2018-02-12T18:46:06"/>
        <d v="2018-04-17T19:12:16"/>
        <d v="2018-05-29T20:20:26"/>
        <d v="2018-06-15T19:49:16"/>
        <d v="2018-08-07T19:47:27"/>
        <d v="2018-06-15T21:32:52"/>
        <d v="2018-01-26T20:25:59"/>
        <d v="2018-09-25T11:55:05"/>
        <d v="2018-04-06T17:40:28"/>
        <d v="2018-07-12T21:14:21"/>
        <d v="2018-03-14T12:18:20"/>
        <d v="2018-03-28T22:37:52"/>
        <d v="2018-05-14T16:06:59"/>
        <d v="2018-01-22T13:18:32"/>
        <d v="2018-04-30T03:00:00"/>
        <d v="2018-09-11T19:25:49"/>
        <d v="2018-05-10T19:07:39"/>
        <d v="2018-03-13T14:56:01"/>
        <d v="2018-04-06T17:56:04"/>
        <d v="2018-02-01T12:33:15"/>
        <d v="2018-04-30T20:23:10"/>
        <d v="2018-03-28T18:55:26"/>
        <d v="2018-05-18T12:47:49"/>
        <d v="2018-08-20T13:59:51"/>
        <d v="2018-04-13T20:38:20"/>
        <d v="2018-10-30T18:21:05"/>
        <d v="2018-03-19T03:00:00"/>
        <d v="2018-06-06T17:50:28"/>
        <d v="2018-04-05T15:06:11"/>
        <d v="2018-02-26T17:07:06"/>
        <d v="2018-04-27T14:11:20"/>
        <d v="2018-09-17T12:03:18"/>
        <d v="2018-05-15T20:21:11"/>
        <d v="2018-01-23T17:58:30"/>
        <d v="2018-04-30T13:06:43"/>
        <d v="2018-03-28T16:11:25"/>
        <d v="2018-08-23T12:46:40"/>
        <d v="2018-02-19T17:26:54"/>
        <d v="2018-05-31T21:44:18"/>
        <d v="2018-04-30T20:24:05"/>
        <d v="2018-05-03T03:00:00"/>
        <d v="2018-06-20T18:31:06"/>
        <d v="2018-05-24T22:16:29"/>
        <d v="2018-03-29T20:20:04"/>
        <d v="2018-03-05T18:43:20"/>
        <d v="2018-04-19T22:00:40"/>
        <d v="2018-03-20T14:01:49"/>
        <d v="2018-03-22T13:06:50"/>
        <d v="2018-02-15T16:06:31"/>
        <d v="2018-05-10T19:16:27"/>
        <d v="2018-01-29T17:13:49"/>
        <d v="2018-01-29T20:08:37"/>
        <d v="2018-01-08T19:14:47"/>
        <d v="2018-05-02T17:57:01"/>
        <d v="2018-01-15T19:51:21"/>
        <d v="2018-02-09T13:41:10"/>
        <d v="2018-04-27T13:55:14"/>
        <d v="2018-04-18T20:16:19"/>
        <d v="2018-01-19T17:23:06"/>
        <d v="2018-04-04T13:50:13"/>
        <d v="2018-05-23T21:47:07"/>
        <d v="2018-09-03T19:15:53"/>
        <d v="2018-02-07T13:40:14"/>
        <d v="2018-05-15T18:16:40"/>
        <d v="2018-03-29T16:29:14"/>
        <d v="2018-07-31T22:29:03"/>
        <d v="2018-01-26T18:13:17"/>
        <d v="2018-04-09T17:28:44"/>
        <d v="2018-04-20T13:24:51"/>
        <d v="2018-04-20T19:04:20"/>
        <d v="2018-08-10T13:01:03"/>
        <d v="2018-05-08T12:18:42"/>
        <d v="2018-02-28T03:00:00"/>
        <d v="2018-04-26T20:04:29"/>
        <d v="2018-03-01T14:58:45"/>
        <d v="2018-01-10T18:15:06"/>
        <d v="2018-04-27T03:00:00"/>
        <d v="2018-06-26T12:51:19"/>
        <d v="2018-03-12T18:24:50"/>
        <d v="2018-07-11T14:58:50"/>
        <d v="2018-04-04T21:17:17"/>
        <d v="2018-04-03T18:29:19"/>
        <d v="2018-06-20T12:24:10"/>
        <d v="2018-05-22T21:25:39"/>
        <d v="2018-01-31T13:33:48"/>
        <d v="2018-07-18T20:24:28"/>
        <d v="2018-03-26T19:31:38"/>
        <d v="2018-05-21T20:28:33"/>
        <d v="2018-01-31T02:00:00"/>
        <d v="2018-04-13T13:41:51"/>
        <d v="2018-06-20T18:32:56"/>
        <d v="2018-04-11T14:36:14"/>
        <d v="2018-06-11T14:29:08"/>
        <d v="2018-02-26T20:59:09"/>
        <d v="2018-10-24T19:33:34"/>
        <d v="2018-03-16T19:39:38"/>
        <d v="2018-07-13T20:14:57"/>
        <d v="2018-02-22T13:16:06"/>
        <d v="2018-08-30T22:00:23"/>
        <d v="2018-06-14T18:51:26"/>
        <d v="2018-07-03T12:26:43"/>
        <d v="2018-06-01T16:45:27"/>
        <d v="2018-02-26T16:11:50"/>
        <d v="2018-05-11T03:00:00"/>
        <d v="2018-05-15T19:03:42"/>
        <d v="2018-04-05T19:05:16"/>
        <d v="2018-01-12T18:25:57"/>
        <d v="2018-06-29T20:16:50"/>
        <d v="2018-05-17T21:47:38"/>
        <d v="2018-08-10T16:46:39"/>
        <d v="2018-06-25T18:42:15"/>
        <d v="2018-04-17T14:51:42"/>
        <d v="2018-08-21T21:07:30"/>
        <d v="2018-07-30T20:30:31"/>
        <d v="2018-02-07T20:39:32"/>
        <d v="2018-02-26T16:09:48"/>
        <d v="2018-04-27T14:07:20"/>
        <d v="2018-08-08T16:22:31"/>
        <d v="2018-06-18T13:51:38"/>
        <d v="2018-03-22T21:20:42"/>
        <d v="2018-03-07T22:08:32"/>
        <d v="2018-04-11T20:19:49"/>
        <d v="2018-02-27T17:30:22"/>
        <d v="2018-03-19T18:58:47"/>
        <d v="2018-05-11T14:22:51"/>
        <d v="2018-04-10T18:20:00"/>
        <d v="2018-03-12T21:20:49"/>
        <d v="2018-10-03T12:28:55"/>
        <d v="2018-01-12T02:00:00"/>
        <d v="2018-06-04T13:55:12"/>
        <d v="2018-09-13T03:00:00"/>
        <d v="2018-01-31T16:18:47"/>
        <d v="2018-02-02T13:08:11"/>
        <d v="2018-06-13T16:37:42"/>
        <d v="2018-05-16T17:48:30"/>
        <d v="2018-05-25T16:36:57"/>
        <d v="2018-06-05T21:47:22"/>
        <d v="2018-06-11T12:36:11"/>
        <d v="2018-02-05T18:36:39"/>
        <d v="2018-02-15T18:21:28"/>
        <d v="2018-03-28T16:09:52"/>
        <d v="2018-01-23T12:41:16"/>
        <d v="2018-10-01T12:27:47"/>
        <d v="2018-11-01T15:36:16"/>
        <d v="2018-01-11T17:16:48"/>
        <d v="2018-04-27T14:04:06"/>
        <d v="2018-05-10T20:10:08"/>
        <d v="2018-05-25T21:25:11"/>
        <d v="2018-05-30T22:29:56"/>
        <d v="2018-02-08T19:03:20"/>
        <d v="2018-07-31T20:01:32"/>
        <d v="2018-03-28T19:05:44"/>
        <d v="2018-05-14T19:26:01"/>
        <d v="2018-03-26T20:08:26"/>
        <d v="2018-04-30T20:47:07"/>
        <d v="2018-06-19T19:54:25"/>
        <d v="2018-02-02T11:25:23"/>
        <d v="2018-04-25T18:28:42"/>
        <d v="2018-01-15T17:14:00"/>
        <d v="2018-08-20T13:15:36"/>
        <d v="2018-03-07T14:24:51"/>
        <d v="2018-01-29T20:43:42"/>
        <d v="2018-01-30T18:06:36"/>
        <d v="2018-04-27T12:40:32"/>
        <d v="2018-04-20T19:29:22"/>
        <d v="2018-01-19T02:00:00"/>
        <d v="2018-01-12T13:49:28"/>
        <d v="2018-01-18T02:00:00"/>
        <d v="2018-04-04T20:55:17"/>
        <d v="2018-06-26T17:13:29"/>
        <d v="2018-03-27T03:00:00"/>
        <d v="2018-04-30T13:30:05"/>
        <d v="2018-07-26T17:03:01"/>
        <d v="2018-05-14T19:41:58"/>
        <d v="2018-01-22T17:43:36"/>
        <d v="2018-05-18T13:05:14"/>
        <d v="2018-05-23T21:00:58"/>
        <d v="2018-03-13T15:51:54"/>
        <d v="2018-04-19T14:13:04"/>
        <d v="2018-02-28T19:15:15"/>
        <d v="2018-08-02T17:32:16"/>
        <d v="2018-04-18T20:19:00"/>
        <d v="2018-04-06T14:15:21"/>
        <d v="2018-04-14T03:00:00"/>
        <d v="2018-08-14T13:56:57"/>
        <d v="2018-05-23T13:57:13"/>
        <d v="2018-03-28T22:45:45"/>
        <d v="2018-04-06T21:43:37"/>
        <d v="2018-05-25T18:04:39"/>
        <d v="2018-05-11T12:46:58"/>
        <d v="2018-04-24T14:19:33"/>
        <d v="2018-05-11T19:21:23"/>
        <d v="2018-04-27T13:27:25"/>
        <d v="2018-04-25T21:44:40"/>
        <d v="2018-08-24T03:00:00"/>
        <d v="2018-04-11T16:05:14"/>
        <d v="2018-05-10T17:13:16"/>
        <d v="2018-04-25T17:19:34"/>
        <d v="2018-03-19T20:04:46"/>
        <d v="2018-02-16T18:51:56"/>
        <d v="2018-04-30T17:43:10"/>
        <d v="2018-04-20T14:26:36"/>
        <d v="2018-05-24T20:25:11"/>
        <d v="2018-04-18T19:26:35"/>
        <d v="2018-05-11T20:38:50"/>
        <d v="2018-03-15T15:12:53"/>
        <d v="2018-04-24T17:05:08"/>
        <d v="2018-02-21T12:30:22"/>
        <d v="2018-02-02T20:42:47"/>
        <d v="2018-05-08T17:18:41"/>
        <d v="2018-04-28T03:00:00"/>
        <d v="2018-06-08T12:10:27"/>
        <d v="2018-03-09T17:24:41"/>
        <d v="2018-10-01T12:31:26"/>
        <d v="2018-04-17T17:18:12"/>
        <d v="2018-05-24T16:11:06"/>
        <d v="2018-01-10T19:40:52"/>
        <d v="2018-03-07T03:00:00"/>
        <d v="2018-05-17T12:09:33"/>
        <d v="2018-02-06T02:00:00"/>
        <d v="2018-02-27T19:13:04"/>
        <d v="2018-01-16T02:00:00"/>
        <d v="2018-01-22T17:11:43"/>
        <d v="2018-08-17T14:41:00"/>
        <d v="2018-04-20T12:18:30"/>
        <d v="2018-03-05T20:54:03"/>
        <d v="2018-06-04T18:53:50"/>
        <d v="2018-04-30T16:01:35"/>
        <d v="2018-04-18T16:36:44"/>
        <d v="2018-03-09T14:18:20"/>
        <d v="2018-04-09T18:58:34"/>
        <d v="2018-05-21T17:29:17"/>
        <d v="2018-05-14T19:17:03"/>
        <d v="2018-03-07T17:11:48"/>
        <d v="2018-02-20T17:44:19"/>
        <d v="2018-03-23T17:58:38"/>
        <d v="2018-01-26T12:23:51"/>
        <d v="2018-02-07T18:11:05"/>
        <d v="2018-06-08T19:09:46"/>
        <d v="2018-10-10T01:15:56"/>
        <d v="2018-03-22T19:35:04"/>
        <d v="2018-03-01T12:22:46"/>
        <d v="2018-02-16T20:09:12"/>
        <d v="2018-04-17T18:12:47"/>
        <d v="2018-03-16T14:22:29"/>
        <d v="2018-03-08T03:00:00"/>
        <d v="2018-03-16T13:57:28"/>
        <d v="2018-03-15T19:10:24"/>
        <d v="2018-10-25T17:16:36"/>
        <d v="2018-04-30T20:58:34"/>
        <d v="2018-06-05T13:34:52"/>
        <d v="2018-02-28T22:17:25"/>
        <d v="2018-03-29T12:34:47"/>
        <d v="2018-01-22T13:22:05"/>
        <d v="2018-03-19T18:20:11"/>
        <d v="2018-06-07T13:59:42"/>
        <d v="2018-04-24T14:04:51"/>
        <d v="2018-09-03T03:00:00"/>
        <d v="2018-06-15T14:04:52"/>
        <d v="2018-06-12T19:54:25"/>
        <d v="2018-08-28T21:30:52"/>
        <d v="2018-03-01T17:44:43"/>
        <d v="2018-04-30T21:48:02"/>
        <d v="2018-01-23T11:33:43"/>
        <d v="2018-04-19T18:10:32"/>
        <d v="2018-01-29T11:26:57"/>
        <d v="2018-03-05T12:52:26"/>
        <d v="2018-03-23T19:56:18"/>
        <d v="2018-03-16T20:22:47"/>
        <d v="2018-04-04T17:31:09"/>
        <d v="2018-03-28T03:00:00"/>
        <d v="2018-05-21T14:06:49"/>
        <d v="2018-04-11T22:21:15"/>
        <d v="2018-04-06T03:00:00"/>
        <d v="2018-03-12T17:30:06"/>
        <d v="2018-04-03T20:47:56"/>
        <d v="2018-02-09T18:11:10"/>
        <d v="2018-05-11T21:26:07"/>
        <d v="2018-01-30T11:33:40"/>
        <d v="2018-02-02T13:10:58"/>
        <d v="2018-04-11T15:15:51"/>
        <d v="2018-02-28T17:16:01"/>
        <d v="2018-07-02T13:40:15"/>
        <d v="2018-05-18T20:27:46"/>
        <d v="2018-03-13T17:16:23"/>
        <d v="2018-04-26T13:40:00"/>
        <d v="2018-11-01T11:47:50"/>
        <d v="2018-02-27T13:54:11"/>
        <d v="2018-02-15T17:22:47"/>
        <d v="2018-04-25T22:04:32"/>
        <d v="2018-03-29T18:12:58"/>
        <d v="2018-06-06T13:53:35"/>
        <d v="2018-03-09T20:12:38"/>
        <d v="2018-04-25T16:22:26"/>
        <d v="2018-05-25T15:00:14"/>
        <d v="2018-05-16T13:32:26"/>
        <d v="2018-09-14T14:43:50"/>
        <d v="2018-08-08T21:14:25"/>
        <d v="2018-04-23T19:26:30"/>
        <d v="2018-04-16T18:25:12"/>
        <d v="2018-01-30T11:42:01"/>
        <d v="2018-01-24T15:19:49"/>
        <d v="2018-05-15T21:17:04"/>
        <d v="2018-05-04T03:00:00"/>
        <d v="2018-03-16T19:52:21"/>
        <d v="2018-02-27T17:13:23"/>
        <d v="2018-04-30T19:28:30"/>
        <d v="2018-04-18T14:08:11"/>
        <d v="2018-02-15T14:37:04"/>
        <d v="2018-04-27T16:24:00"/>
        <d v="2018-05-25T22:37:08"/>
        <d v="2018-09-24T20:45:42"/>
        <d v="2018-03-07T13:56:43"/>
        <d v="2018-05-21T19:55:20"/>
        <d v="2018-08-20T21:05:48"/>
        <d v="2018-05-02T14:23:32"/>
        <d v="2018-05-24T16:47:23"/>
        <d v="2018-01-18T20:02:48"/>
        <d v="2018-05-11T17:24:16"/>
        <d v="2018-02-14T11:48:29"/>
        <d v="2018-01-24T17:14:32"/>
        <d v="2018-03-29T18:06:54"/>
        <d v="2018-02-27T12:23:13"/>
        <d v="2018-03-19T17:36:04"/>
        <d v="2018-04-19T17:11:18"/>
        <d v="2018-04-18T19:01:21"/>
        <d v="2018-02-19T20:21:26"/>
        <d v="2018-05-07T18:22:39"/>
        <d v="2018-05-14T20:15:57"/>
        <d v="2018-03-22T15:07:28"/>
        <d v="2018-04-16T16:58:06"/>
        <d v="2018-03-16T14:14:20"/>
        <d v="2018-04-06T16:56:39"/>
        <d v="2018-03-15T12:43:46"/>
        <d v="2018-03-07T19:04:28"/>
        <d v="2018-03-09T12:49:20"/>
        <d v="2018-03-26T20:54:23"/>
        <d v="2018-03-21T16:16:52"/>
        <d v="2018-03-12T13:00:43"/>
        <d v="2018-05-02T17:29:18"/>
        <d v="2018-07-09T03:00:00"/>
        <d v="2018-05-30T13:34:09"/>
        <d v="2018-05-09T16:52:06"/>
        <d v="2018-04-20T20:48:35"/>
        <d v="2018-03-08T15:01:48"/>
        <d v="2018-01-18T11:22:24"/>
        <d v="2018-04-09T18:22:46"/>
        <d v="2018-02-02T16:44:11"/>
        <d v="2018-02-23T12:03:59"/>
        <d v="2018-08-15T19:09:36"/>
        <d v="2018-03-09T03:00:00"/>
        <d v="2018-10-10T16:35:47"/>
        <d v="2018-04-20T20:11:23"/>
        <d v="2018-03-15T17:13:24"/>
        <d v="2018-04-09T21:04:41"/>
        <d v="2018-06-19T21:04:53"/>
        <d v="2018-04-12T12:35:49"/>
        <d v="2018-04-23T20:40:04"/>
        <d v="2018-01-29T12:15:43"/>
        <d v="2018-04-10T19:17:03"/>
        <d v="2018-05-11T17:09:22"/>
        <d v="2018-03-26T12:07:20"/>
        <d v="2018-04-03T20:39:13"/>
        <d v="2018-02-08T17:29:13"/>
        <d v="2018-08-30T22:34:38"/>
        <d v="2018-02-08T17:10:00"/>
        <d v="2018-03-06T11:29:22"/>
        <d v="2018-03-27T17:57:49"/>
        <d v="2018-03-29T17:45:03"/>
        <d v="2018-02-22T13:28:41"/>
        <d v="2018-02-26T14:46:28"/>
        <d v="2018-01-16T12:36:23"/>
        <d v="2018-01-23T18:30:32"/>
        <d v="2018-07-10T15:57:10"/>
        <d v="2018-04-12T21:32:57"/>
        <d v="2018-05-30T17:49:58"/>
        <d v="2018-05-08T17:48:59"/>
        <d v="2018-03-15T21:09:42"/>
        <d v="2018-02-09T15:46:42"/>
        <d v="2018-03-06T13:29:10"/>
        <d v="2018-03-14T12:24:20"/>
        <d v="2018-10-03T18:32:49"/>
        <d v="2018-06-11T19:23:48"/>
        <d v="2018-02-22T18:03:54"/>
        <d v="2018-02-02T11:22:56"/>
        <d v="2018-03-22T13:14:56"/>
        <d v="2018-05-14T13:25:24"/>
        <d v="2018-04-12T14:02:51"/>
        <d v="2018-01-30T17:39:30"/>
        <d v="2018-02-07T15:45:25"/>
        <d v="2018-02-05T20:03:48"/>
        <d v="2018-03-19T20:26:27"/>
        <d v="2018-02-05T18:10:27"/>
        <d v="2018-07-18T18:48:13"/>
        <d v="2018-03-14T16:52:04"/>
        <d v="2018-05-14T13:36:50"/>
        <d v="2018-04-30T18:30:12"/>
        <d v="2018-01-24T11:33:32"/>
        <d v="2018-05-22T12:44:38"/>
        <d v="2018-03-14T12:23:39"/>
        <d v="2018-06-27T15:12:26"/>
        <d v="2018-08-21T12:30:34"/>
        <d v="2018-03-26T20:42:32"/>
        <d v="2018-04-30T14:27:15"/>
        <d v="2018-04-11T13:39:02"/>
        <d v="2018-01-22T15:28:51"/>
        <d v="2018-02-07T11:14:36"/>
        <d v="2018-03-14T19:43:52"/>
        <d v="2018-09-27T17:36:04"/>
        <d v="2018-05-17T12:42:15"/>
        <d v="2018-06-04T12:47:47"/>
        <d v="2018-05-18T19:32:40"/>
        <d v="2018-04-23T21:07:06"/>
        <d v="2018-02-19T19:49:04"/>
        <d v="2018-04-23T13:23:55"/>
        <d v="2018-07-20T18:18:14"/>
        <d v="2018-07-20T20:30:20"/>
        <d v="2018-04-13T03:00:00"/>
        <d v="2018-07-09T12:54:57"/>
        <d v="2018-07-13T11:53:00"/>
        <d v="2018-05-21T17:41:31"/>
        <d v="2018-04-10T19:34:27"/>
        <d v="2018-03-29T17:05:39"/>
        <d v="2018-03-09T13:45:50"/>
        <d v="2018-01-12T12:23:31"/>
        <d v="2018-04-20T16:29:28"/>
        <d v="2018-10-02T21:25:39"/>
        <d v="2018-01-30T12:17:36"/>
        <d v="2018-03-20T13:53:13"/>
        <d v="2018-10-08T17:22:23"/>
        <d v="2018-01-29T10:35:52"/>
        <d v="2018-03-27T21:32:52"/>
        <d v="2018-02-15T12:24:37"/>
        <d v="2018-04-03T12:21:09"/>
        <d v="2018-10-29T16:54:59"/>
        <d v="2018-05-15T13:29:59"/>
        <d v="2018-10-24T11:33:31"/>
        <d v="2018-03-23T19:52:00"/>
        <d v="2018-09-06T16:31:09"/>
        <d v="2018-04-27T20:10:02"/>
        <d v="2018-03-01T19:48:16"/>
        <d v="2018-04-27T12:39:38"/>
        <d v="2018-06-21T12:39:59"/>
        <d v="2018-05-08T13:32:34"/>
        <d v="2018-10-05T12:35:50"/>
        <d v="2018-02-14T17:11:22"/>
        <d v="2018-01-29T02:00:00"/>
        <d v="2018-02-19T21:08:55"/>
        <d v="2018-05-10T18:11:09"/>
        <d v="2018-09-04T14:34:07"/>
        <d v="2018-04-13T21:53:17"/>
        <d v="2018-03-02T16:20:21"/>
        <d v="2018-02-20T19:40:05"/>
        <d v="2018-04-05T14:44:21"/>
        <d v="2018-03-26T21:56:43"/>
        <d v="2018-05-02T17:22:49"/>
        <d v="2018-08-22T13:14:44"/>
        <d v="2018-02-23T20:27:56"/>
        <d v="2018-02-28T16:19:57"/>
        <d v="2018-06-14T15:43:46"/>
        <d v="2018-04-13T18:12:32"/>
        <d v="2018-01-31T16:40:54"/>
        <d v="2018-03-09T20:05:55"/>
        <d v="2018-02-27T20:53:04"/>
        <d v="2018-05-21T21:21:21"/>
        <d v="2018-04-09T12:26:37"/>
        <d v="2018-07-12T19:56:39"/>
        <d v="2018-07-31T13:29:15"/>
        <d v="2017-12-14T11:30:13"/>
        <d v="2018-03-13T12:33:10"/>
        <d v="2018-04-05T13:18:02"/>
        <d v="2018-05-30T16:07:26"/>
        <d v="2018-04-23T16:16:57"/>
        <d v="2018-03-26T16:07:32"/>
        <d v="2018-07-10T11:34:50"/>
        <d v="2018-03-13T21:39:34"/>
        <d v="2018-02-28T21:24:13"/>
        <d v="2018-04-04T18:53:19"/>
        <d v="2018-05-08T20:14:11"/>
        <d v="2018-04-18T20:05:55"/>
        <d v="2018-05-14T12:26:01"/>
        <d v="2018-05-15T20:34:06"/>
        <d v="2018-08-24T11:54:08"/>
        <d v="2018-04-06T16:27:35"/>
        <d v="2018-08-20T17:50:56"/>
        <d v="2018-04-27T16:17:37"/>
        <d v="2018-03-06T18:49:03"/>
        <d v="2018-02-15T14:58:37"/>
        <d v="2018-02-09T17:10:58"/>
        <d v="2018-04-25T19:19:08"/>
        <d v="2018-04-13T11:56:52"/>
        <d v="2018-01-25T15:03:55"/>
        <d v="2018-04-05T18:45:56"/>
        <d v="2018-04-10T14:05:56"/>
        <d v="2018-02-26T18:32:05"/>
        <d v="2018-06-07T14:21:17"/>
        <d v="2018-01-31T20:47:51"/>
        <d v="2018-04-10T22:03:57"/>
        <d v="2018-04-11T19:00:03"/>
        <d v="2018-08-23T21:56:01"/>
        <d v="2018-02-07T19:54:19"/>
        <d v="2018-05-15T20:22:41"/>
        <d v="2018-03-06T13:27:32"/>
        <d v="2018-07-17T17:02:36"/>
        <d v="2018-02-08T20:28:27"/>
        <d v="2018-03-19T12:41:03"/>
        <d v="2018-03-27T14:48:01"/>
        <d v="2018-04-18T19:05:58"/>
        <d v="2018-04-06T19:42:14"/>
        <d v="2018-02-06T16:11:05"/>
        <d v="2018-05-10T19:26:38"/>
        <d v="2018-03-28T21:22:04"/>
        <d v="2018-05-17T17:22:45"/>
        <d v="2018-03-24T03:00:00"/>
        <d v="2018-06-07T13:30:28"/>
        <d v="2018-03-14T12:14:58"/>
        <d v="2018-03-29T13:49:44"/>
        <d v="2018-05-14T19:57:48"/>
        <d v="2018-04-13T16:21:23"/>
        <d v="2018-08-30T12:32:15"/>
        <d v="2018-04-05T15:11:12"/>
        <d v="2018-02-28T18:22:11"/>
        <d v="2018-08-17T19:29:47"/>
        <d v="2018-10-31T19:17:57"/>
        <d v="2018-04-25T16:03:49"/>
        <d v="2018-03-12T16:40:42"/>
        <d v="2018-04-16T12:26:39"/>
        <d v="2018-06-05T18:00:37"/>
        <d v="2018-03-21T13:03:40"/>
        <d v="2018-04-10T18:22:26"/>
        <d v="2018-03-22T13:02:12"/>
        <d v="2018-04-16T14:49:40"/>
        <d v="2018-07-13T19:46:12"/>
        <d v="2018-03-16T16:20:55"/>
        <d v="2018-02-23T11:40:05"/>
        <d v="2018-04-18T16:43:53"/>
        <d v="2018-09-20T17:13:05"/>
        <d v="2018-04-12T03:00:00"/>
        <d v="2018-04-11T17:08:35"/>
        <d v="2018-02-26T13:02:58"/>
        <d v="2018-10-29T14:54:02"/>
        <d v="2018-03-28T13:21:21"/>
        <d v="2018-07-13T21:58:39"/>
        <d v="2018-02-16T11:56:46"/>
        <d v="2018-03-14T17:31:31"/>
        <d v="2018-07-02T17:20:22"/>
        <d v="2018-07-24T19:56:07"/>
        <d v="2018-04-02T13:03:24"/>
        <d v="2018-05-11T16:16:13"/>
        <d v="2017-12-11T18:07:26"/>
        <d v="2018-07-13T17:38:49"/>
        <d v="2018-01-22T02:00:00"/>
        <d v="2018-03-19T20:39:25"/>
        <d v="2018-05-17T03:00:00"/>
        <d v="2018-09-05T14:32:37"/>
        <d v="2018-05-02T13:39:20"/>
        <d v="2018-04-30T12:04:11"/>
        <d v="2018-02-08T13:13:35"/>
        <d v="2018-03-27T19:15:09"/>
        <d v="2018-03-20T20:23:26"/>
        <d v="2018-03-06T19:38:55"/>
        <d v="2018-03-07T19:23:35"/>
        <d v="2018-09-26T11:48:53"/>
        <d v="2018-03-15T20:31:54"/>
        <d v="2018-03-26T17:04:23"/>
        <d v="2018-03-02T21:18:48"/>
        <d v="2018-01-19T19:29:55"/>
        <d v="2018-10-26T17:06:53"/>
        <d v="2018-01-17T12:11:20"/>
        <d v="2018-04-20T19:42:05"/>
        <d v="2018-04-30T21:23:41"/>
        <d v="2018-05-09T13:17:12"/>
        <d v="2018-03-06T18:14:08"/>
        <d v="2018-04-18T12:45:01"/>
        <d v="2018-11-09T20:06:38"/>
        <d v="2018-04-06T12:13:08"/>
        <d v="2018-02-22T21:25:08"/>
        <d v="2018-04-10T19:08:35"/>
        <d v="2018-01-29T15:09:03"/>
        <d v="2018-05-16T15:05:26"/>
        <d v="2018-04-20T20:24:22"/>
        <d v="2018-04-10T18:37:30"/>
        <d v="2018-04-13T17:03:29"/>
        <d v="2018-03-08T18:57:56"/>
        <d v="2018-04-30T18:24:13"/>
        <d v="2018-01-22T19:14:25"/>
        <d v="2018-04-10T14:43:06"/>
        <d v="2018-04-17T13:14:51"/>
        <d v="2018-05-16T20:25:19"/>
        <d v="2018-02-05T15:04:41"/>
        <d v="2018-01-15T13:08:11"/>
        <d v="2018-06-12T18:59:26"/>
        <d v="2018-09-11T13:14:37"/>
        <d v="2018-02-21T14:54:47"/>
        <d v="2018-05-18T17:17:42"/>
        <d v="2018-03-14T20:07:27"/>
        <d v="2018-05-09T16:21:08"/>
        <d v="2018-04-30T20:57:42"/>
        <d v="2018-05-31T21:24:31"/>
        <d v="2018-05-30T16:15:12"/>
        <d v="2018-04-24T20:43:12"/>
        <d v="2018-06-19T12:36:05"/>
        <d v="2018-02-06T13:55:36"/>
        <d v="2018-04-25T19:43:04"/>
        <d v="2018-06-29T18:28:26"/>
        <d v="2018-03-28T16:16:34"/>
        <d v="2018-03-02T12:58:05"/>
        <d v="2018-07-06T17:10:17"/>
        <d v="2018-02-08T13:10:58"/>
        <d v="2018-04-20T12:20:34"/>
        <d v="2018-05-21T20:17:38"/>
        <d v="2018-05-07T16:18:52"/>
        <d v="2018-04-13T14:30:12"/>
        <d v="2018-06-08T12:15:38"/>
        <d v="2018-10-18T16:27:51"/>
        <d v="2018-04-27T14:01:59"/>
        <d v="2018-04-04T18:42:57"/>
        <d v="2018-01-29T12:10:19"/>
        <d v="2018-03-28T18:50:57"/>
        <d v="2018-04-20T18:13:06"/>
        <d v="2018-03-20T17:30:41"/>
        <d v="2018-04-11T12:24:58"/>
        <d v="2018-05-15T17:20:12"/>
        <d v="2018-04-04T19:56:06"/>
        <d v="2018-04-25T21:02:03"/>
        <d v="2018-02-14T11:14:12"/>
        <d v="2018-03-07T14:58:07"/>
        <d v="2018-05-09T14:24:56"/>
        <d v="2018-03-09T17:59:38"/>
        <d v="2018-08-07T17:17:28"/>
        <d v="2018-04-12T13:58:09"/>
        <d v="2018-04-23T20:19:56"/>
        <d v="2018-02-15T11:24:52"/>
        <d v="2018-02-09T15:37:08"/>
        <d v="2018-04-30T16:06:05"/>
        <d v="2018-06-11T21:01:55"/>
        <d v="2018-08-14T14:48:04"/>
        <d v="2018-08-17T03:00:00"/>
        <d v="2018-04-13T20:51:13"/>
        <d v="2018-05-08T21:28:11"/>
        <d v="2018-03-14T14:24:23"/>
        <d v="2018-04-20T17:53:11"/>
        <d v="2018-07-26T16:15:33"/>
        <d v="2018-04-30T18:57:37"/>
        <d v="2018-06-28T12:33:50"/>
        <d v="2018-05-09T21:35:58"/>
        <d v="2018-08-07T12:21:06"/>
        <d v="2018-09-10T18:10:00"/>
        <d v="2018-01-19T11:26:39"/>
        <d v="2018-03-07T12:25:54"/>
        <d v="2018-11-06T19:41:39"/>
        <d v="2018-07-09T18:00:57"/>
        <d v="2018-05-24T19:51:56"/>
        <d v="2018-04-06T16:43:28"/>
        <d v="2018-01-15T18:05:41"/>
        <d v="2018-05-08T17:42:04"/>
        <d v="2018-03-14T17:18:59"/>
        <d v="2018-03-02T13:54:02"/>
        <d v="2018-02-28T17:16:15"/>
        <d v="2018-04-30T21:29:27"/>
        <d v="2018-06-21T12:21:33"/>
        <d v="2018-07-09T14:53:03"/>
        <d v="2018-03-12T18:45:13"/>
        <d v="2018-06-01T02:32:00"/>
        <d v="2018-03-27T13:27:01"/>
        <d v="2018-01-16T13:16:45"/>
        <d v="2018-02-27T17:39:50"/>
        <d v="2018-04-10T12:30:33"/>
        <d v="2018-05-14T14:24:45"/>
        <d v="2018-04-10T17:23:25"/>
        <d v="2018-10-01T17:47:09"/>
        <d v="2018-03-07T19:17:31"/>
        <d v="2018-02-22T16:22:07"/>
        <d v="2018-05-14T18:06:33"/>
        <d v="2018-03-13T18:53:47"/>
        <d v="2018-03-14T03:00:00"/>
        <d v="2018-05-17T18:11:29"/>
        <d v="2018-08-20T14:41:13"/>
        <d v="2018-05-25T17:32:40"/>
        <d v="2018-04-27T12:18:34"/>
        <d v="2018-07-19T21:17:47"/>
        <d v="2018-04-24T20:54:30"/>
        <d v="2018-02-06T20:18:28"/>
        <d v="2018-03-23T21:07:18"/>
        <d v="2018-01-19T13:12:10"/>
        <d v="2018-01-26T16:27:17"/>
        <d v="2018-01-08T02:00:00"/>
        <d v="2018-04-26T19:36:13"/>
        <d v="2018-05-22T12:54:36"/>
        <d v="2018-06-04T00:00:00"/>
        <d v="2018-02-20T12:17:26"/>
        <d v="2018-03-13T20:12:45"/>
        <d v="2018-05-18T20:02:04"/>
        <d v="2018-07-30T14:02:01"/>
        <d v="2018-02-26T14:44:04"/>
        <d v="2018-06-29T17:54:16"/>
        <d v="2018-05-18T12:38:36"/>
        <d v="2018-01-24T12:27:42"/>
        <d v="2018-02-19T19:51:00"/>
        <d v="2018-05-29T18:53:31"/>
        <d v="2018-11-12T19:17:25"/>
        <d v="2018-09-10T20:48:01"/>
        <d v="2018-04-05T16:29:23"/>
        <d v="2018-10-30T11:54:22"/>
        <d v="2018-04-06T16:52:50"/>
        <d v="2018-04-17T17:18:09"/>
        <d v="2018-05-30T03:00:00"/>
        <d v="2018-02-15T11:27:17"/>
        <d v="2018-02-21T13:27:48"/>
        <d v="2018-02-05T12:51:36"/>
        <d v="2018-03-26T14:03:55"/>
        <d v="2018-07-17T20:12:39"/>
        <d v="2018-04-06T19:30:00"/>
        <d v="2018-02-01T17:10:20"/>
        <d v="2018-04-06T19:26:13"/>
        <d v="2018-05-16T19:51:05"/>
        <d v="2018-04-06T20:40:05"/>
        <d v="2018-03-01T21:03:12"/>
        <d v="2018-05-07T21:49:28"/>
        <d v="2017-12-05T02:00:00"/>
        <d v="2018-03-29T19:37:01"/>
        <d v="2018-04-04T20:33:19"/>
        <d v="2018-03-28T22:42:55"/>
        <d v="2018-04-20T12:27:44"/>
        <d v="2018-06-07T21:23:45"/>
        <d v="2018-02-09T12:16:16"/>
        <d v="2018-08-01T20:22:31"/>
        <d v="2018-09-27T18:58:41"/>
        <d v="2018-06-06T20:15:26"/>
        <d v="2018-03-06T15:52:23"/>
        <d v="2018-05-02T13:31:32"/>
        <s v="Unknow"/>
      </sharedItems>
    </cacheField>
    <cacheField name="business_segment" numFmtId="0">
      <sharedItems count="34">
        <s v="pet"/>
        <s v="car_accessories"/>
        <s v="home_appliances"/>
        <s v="food_drink"/>
        <s v="health_beauty"/>
        <s v="computers"/>
        <s v="household_utilities"/>
        <s v="construction_tools_house_garden"/>
        <s v="toys"/>
        <s v="sports_leisure"/>
        <s v="stationery"/>
        <s v="food_supplement"/>
        <s v="home_decor"/>
        <s v="bed_bath_table"/>
        <s v="watches"/>
        <s v="fashion_accessories"/>
        <s v="jewerly"/>
        <s v="party"/>
        <s v="small_appliances"/>
        <s v="audio_video_electronics"/>
        <s v="other"/>
        <s v="bags_backpacks"/>
        <s v="home_office_furniture"/>
        <s v="music_instruments"/>
        <s v="books"/>
        <s v="baby"/>
        <s v="air_conditioning"/>
        <s v="phone_mobile"/>
        <s v="Unknow"/>
        <s v="handcrafted"/>
        <s v="perfume"/>
        <s v="gifts"/>
        <s v="religious"/>
        <s v="games_consoles"/>
      </sharedItems>
    </cacheField>
    <cacheField name="lead_type" numFmtId="0">
      <sharedItems count="9">
        <s v="online_medium"/>
        <s v="industry"/>
        <s v="online_big"/>
        <s v="online_small"/>
        <s v="offline"/>
        <s v="online_top"/>
        <s v="online_beginner"/>
        <s v="other"/>
        <s v="unknow"/>
      </sharedItems>
    </cacheField>
    <cacheField name="lead_behaviour_profile" numFmtId="0">
      <sharedItems/>
    </cacheField>
    <cacheField name="has_company" numFmtId="0">
      <sharedItems/>
    </cacheField>
    <cacheField name="has_gtin" numFmtId="0">
      <sharedItems/>
    </cacheField>
    <cacheField name="average_stock" numFmtId="0">
      <sharedItems/>
    </cacheField>
    <cacheField name="business_type" numFmtId="0">
      <sharedItems/>
    </cacheField>
    <cacheField name="declared_product_catalog_size" numFmtId="0">
      <sharedItems containsSemiMixedTypes="0" containsString="0" containsNumber="1" containsInteger="1" minValue="0" maxValue="2000"/>
    </cacheField>
    <cacheField name="declared_monthly_revenue" numFmtId="0">
      <sharedItems containsMixedTypes="1" containsNumber="1" containsInteger="1" minValue="0" maxValue="50000000" count="28">
        <n v="0"/>
        <n v="100000"/>
        <n v="20000"/>
        <n v="6000"/>
        <n v="180000"/>
        <n v="30000"/>
        <n v="6"/>
        <n v="150000"/>
        <n v="10000"/>
        <n v="25000"/>
        <n v="50000000"/>
        <n v="210000"/>
        <n v="15000"/>
        <n v="250000"/>
        <n v="8000000"/>
        <n v="40000"/>
        <n v="5000"/>
        <n v="4000"/>
        <n v="300000"/>
        <n v="60000"/>
        <n v="1000"/>
        <n v="50000"/>
        <n v="500000"/>
        <n v="130000"/>
        <n v="120000"/>
        <n v="8000"/>
        <n v="200000"/>
        <s v="Unknow"/>
      </sharedItems>
    </cacheField>
    <cacheField name="origin" numFmtId="0">
      <sharedItems count="11">
        <s v="organic_search"/>
        <s v="referral"/>
        <s v="paid_search"/>
        <s v="unknown"/>
        <s v="direct_traffic"/>
        <s v="social"/>
        <s v="email"/>
        <s v="Unknow"/>
        <s v="other"/>
        <s v="other_publicities"/>
        <s v="display"/>
      </sharedItems>
    </cacheField>
    <cacheField name="deal_category" numFmtId="0">
      <sharedItems count="3">
        <s v="No Revenue "/>
        <s v="High Values "/>
        <s v="Stander "/>
      </sharedItems>
    </cacheField>
  </cacheFields>
  <extLst>
    <ext xmlns:x14="http://schemas.microsoft.com/office/spreadsheetml/2009/9/main" uri="{725AE2AE-9491-48be-B2B4-4EB974FC3084}">
      <x14:pivotCacheDefinition pivotCacheId="4009380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0">
  <r>
    <s v="5420aad7fec3549a85876ba1c529bd84"/>
    <s v="2c43fb513632d29b3b58df74816f1b06"/>
    <s v="a8387c01a09e99ce014107505b92388c"/>
    <s v="4ef15afb4b2723d8f3d81e51ec7afefe"/>
    <x v="0"/>
    <x v="0"/>
    <x v="0"/>
    <s v="cat"/>
    <s v="Unknow"/>
    <s v="Unknow"/>
    <s v="Unknow"/>
    <s v="reseller"/>
    <n v="0"/>
    <x v="0"/>
    <x v="0"/>
    <x v="0"/>
  </r>
  <r>
    <s v="a555fb36b9368110ede0f043dfc3b9a0"/>
    <s v="bbb7d7893a450660432ea6652310ebb7"/>
    <s v="09285259593c61296eef10c734121d5b"/>
    <s v="d3d1e91a157ea7f90548eef82f1955e3"/>
    <x v="1"/>
    <x v="1"/>
    <x v="1"/>
    <s v="eagle"/>
    <s v="Unknow"/>
    <s v="Unknow"/>
    <s v="Unknow"/>
    <s v="reseller"/>
    <n v="0"/>
    <x v="0"/>
    <x v="1"/>
    <x v="0"/>
  </r>
  <r>
    <s v="327174d3648a2d047e8940d7d15204ca"/>
    <s v="612170e34b97004b3ba37eae81836b4c"/>
    <s v="b90f87164b5f8c2cfa5c8572834dbe3f"/>
    <s v="6565aa9ce3178a5caf6171827af3a9ba"/>
    <x v="2"/>
    <x v="2"/>
    <x v="2"/>
    <s v="cat"/>
    <s v="Unknow"/>
    <s v="Unknow"/>
    <s v="Unknow"/>
    <s v="reseller"/>
    <n v="0"/>
    <x v="0"/>
    <x v="0"/>
    <x v="0"/>
  </r>
  <r>
    <s v="f5fee8f7da74f4887f5bcae2bafb6dd6"/>
    <s v="21e1781e36faf92725dde4730a88ca0f"/>
    <s v="56bf83c4bb35763a51c2baab501b4c67"/>
    <s v="d3d1e91a157ea7f90548eef82f1955e3"/>
    <x v="3"/>
    <x v="3"/>
    <x v="3"/>
    <s v="Unknow"/>
    <s v="Unknow"/>
    <s v="Unknow"/>
    <s v="Unknow"/>
    <s v="reseller"/>
    <n v="0"/>
    <x v="0"/>
    <x v="2"/>
    <x v="0"/>
  </r>
  <r>
    <s v="ffe640179b554e295c167a2f6be528e0"/>
    <s v="ed8cb7b190ceb6067227478e48cf8dde"/>
    <s v="4b339f9567d060bcea4f5136b9f5949e"/>
    <s v="d3d1e91a157ea7f90548eef82f1955e3"/>
    <x v="4"/>
    <x v="2"/>
    <x v="1"/>
    <s v="wolf"/>
    <s v="Unknow"/>
    <s v="Unknow"/>
    <s v="Unknow"/>
    <s v="manufacturer"/>
    <n v="0"/>
    <x v="0"/>
    <x v="3"/>
    <x v="0"/>
  </r>
  <r>
    <s v="b94fba7670eeb44dce2a0d8eb790e9f5"/>
    <s v="1c742ac33582852aaf3bcfbf5893abcf"/>
    <s v="fdb16d3cbbeb5798f2f66c4096be026d"/>
    <s v="495d4e95a8cf8bbf8b432b612a2aa328"/>
    <x v="5"/>
    <x v="4"/>
    <x v="0"/>
    <s v="Unknow"/>
    <s v="Unknow"/>
    <s v="Unknow"/>
    <s v="Unknow"/>
    <s v="manufacturer"/>
    <n v="0"/>
    <x v="0"/>
    <x v="0"/>
    <x v="0"/>
  </r>
  <r>
    <s v="c3e30ed7ac989117c7e1e719b4ac128f"/>
    <s v="92d7568ad0c5c76fd7d341b2d46f24d6"/>
    <s v="4b339f9567d060bcea4f5136b9f5949e"/>
    <s v="85fc447d336637ba1df43e793199fbc8"/>
    <x v="6"/>
    <x v="5"/>
    <x v="0"/>
    <s v="wolf"/>
    <s v="Unknow"/>
    <s v="Unknow"/>
    <s v="Unknow"/>
    <s v="reseller"/>
    <n v="0"/>
    <x v="0"/>
    <x v="4"/>
    <x v="0"/>
  </r>
  <r>
    <s v="b02c89251106e1fdd9d92744be9f94f2"/>
    <s v="44ed138eca6214d572ce1d813fb0049b"/>
    <s v="34d40cdaf94010a1d05b0d6212f9e909"/>
    <s v="4ef15afb4b2723d8f3d81e51ec7afefe"/>
    <x v="7"/>
    <x v="4"/>
    <x v="4"/>
    <s v="cat"/>
    <s v="Unknow"/>
    <s v="Unknow"/>
    <s v="Unknow"/>
    <s v="manufacturer"/>
    <n v="0"/>
    <x v="0"/>
    <x v="3"/>
    <x v="0"/>
  </r>
  <r>
    <s v="a90a37898cc5f2718385a2fb981caaff"/>
    <s v="0b28859cd04d23edefee9c591fb03cd8"/>
    <s v="f42a2bd194f7802ab052a815c8de65b7"/>
    <s v="6565aa9ce3178a5caf6171827af3a9ba"/>
    <x v="8"/>
    <x v="6"/>
    <x v="4"/>
    <s v="eagle"/>
    <s v="Unknow"/>
    <s v="Unknow"/>
    <s v="Unknow"/>
    <s v="reseller"/>
    <n v="0"/>
    <x v="0"/>
    <x v="5"/>
    <x v="0"/>
  </r>
  <r>
    <s v="0173e8d8b1d94a355b440fb67388f532"/>
    <s v="87d73636a3acf123e842bb890a4db036"/>
    <s v="9d12ef1a7eca3ec58c545c678af7869c"/>
    <s v="9e4d1098a3b0f5da39b0bc48f9876645"/>
    <x v="9"/>
    <x v="6"/>
    <x v="0"/>
    <s v="eagle"/>
    <s v="Unknow"/>
    <s v="Unknow"/>
    <s v="Unknow"/>
    <s v="manufacturer"/>
    <n v="0"/>
    <x v="0"/>
    <x v="2"/>
    <x v="0"/>
  </r>
  <r>
    <s v="4e4e70d504b4c0006c8287dedc99d0fc"/>
    <s v="f7a0d94e966c5665355a182d5b199fcf"/>
    <s v="fdb16d3cbbeb5798f2f66c4096be026d"/>
    <s v="4ef15afb4b2723d8f3d81e51ec7afefe"/>
    <x v="10"/>
    <x v="7"/>
    <x v="0"/>
    <s v="cat"/>
    <s v="Unknow"/>
    <s v="Unknow"/>
    <s v="Unknow"/>
    <s v="reseller"/>
    <n v="0"/>
    <x v="0"/>
    <x v="5"/>
    <x v="0"/>
  </r>
  <r>
    <s v="408a9c4a79800232ac656249af3162eb"/>
    <s v="b566ab0ef88016e00422755e305103c6"/>
    <s v="de63de0d10a6012430098db33c679b0b"/>
    <s v="d3d1e91a157ea7f90548eef82f1955e3"/>
    <x v="11"/>
    <x v="7"/>
    <x v="2"/>
    <s v="cat"/>
    <s v="Unknow"/>
    <s v="Unknow"/>
    <s v="Unknow"/>
    <s v="reseller"/>
    <n v="0"/>
    <x v="0"/>
    <x v="2"/>
    <x v="0"/>
  </r>
  <r>
    <s v="c556184b3fe2087834850b68fa435cee"/>
    <s v="2d2322d842118867781fc737e96d59a1"/>
    <s v="09285259593c61296eef10c734121d5b"/>
    <s v="2695de1affa7750089c0455f8ce27021"/>
    <x v="12"/>
    <x v="6"/>
    <x v="0"/>
    <s v="cat"/>
    <s v="Unknow"/>
    <s v="Unknow"/>
    <s v="Unknow"/>
    <s v="reseller"/>
    <n v="0"/>
    <x v="0"/>
    <x v="4"/>
    <x v="0"/>
  </r>
  <r>
    <s v="67455a0673f5cf26deae5b270c003e83"/>
    <s v="e7012030d0fdd1d3ca504f6de7909c35"/>
    <s v="4b339f9567d060bcea4f5136b9f5949e"/>
    <s v="9ae085775a198122c5586fa830ff7f2b"/>
    <x v="13"/>
    <x v="8"/>
    <x v="2"/>
    <s v="wolf"/>
    <s v="Unknow"/>
    <s v="Unknow"/>
    <s v="Unknow"/>
    <s v="reseller"/>
    <n v="0"/>
    <x v="0"/>
    <x v="4"/>
    <x v="0"/>
  </r>
  <r>
    <s v="ab11f58a6bf7036a656364b0ba68fb74"/>
    <s v="9e7c5f4d7770eab65738cca38f9efccf"/>
    <s v="068066e24f0c643eb1d089c7dd20cd73"/>
    <s v="de63de0d10a6012430098db33c679b0b"/>
    <x v="14"/>
    <x v="9"/>
    <x v="0"/>
    <s v="cat"/>
    <s v="Unknow"/>
    <s v="Unknow"/>
    <s v="Unknow"/>
    <s v="reseller"/>
    <n v="0"/>
    <x v="0"/>
    <x v="2"/>
    <x v="0"/>
  </r>
  <r>
    <s v="bae38661a27f6228ba38c36e766ed769"/>
    <s v="6a6b1614baaaf766293c17d8cb8c5a9d"/>
    <s v="f42a2bd194f7802ab052a815c8de65b7"/>
    <s v="495d4e95a8cf8bbf8b432b612a2aa328"/>
    <x v="15"/>
    <x v="10"/>
    <x v="1"/>
    <s v="cat"/>
    <s v="Unknow"/>
    <s v="Unknow"/>
    <s v="20-50"/>
    <s v="reseller"/>
    <n v="2000"/>
    <x v="1"/>
    <x v="5"/>
    <x v="1"/>
  </r>
  <r>
    <s v="450b97a48568c3118ff397f73abe4e4a"/>
    <s v="df91910b6a03bb2e3358fa6a35e32f6f"/>
    <s v="09285259593c61296eef10c734121d5b"/>
    <s v="060c0a26f19f4d66b42e0d8796688490"/>
    <x v="16"/>
    <x v="3"/>
    <x v="0"/>
    <s v="cat"/>
    <s v="Unknow"/>
    <s v="Unknow"/>
    <s v="Unknow"/>
    <s v="manufacturer"/>
    <n v="0"/>
    <x v="0"/>
    <x v="1"/>
    <x v="0"/>
  </r>
  <r>
    <s v="9878253904482726e741460a99adba86"/>
    <s v="92d46311e4fa7583d14c351fdc881af6"/>
    <s v="de63de0d10a6012430098db33c679b0b"/>
    <s v="4ef15afb4b2723d8f3d81e51ec7afefe"/>
    <x v="17"/>
    <x v="11"/>
    <x v="1"/>
    <s v="Unknow"/>
    <s v="Unknow"/>
    <s v="Unknow"/>
    <s v="Unknow"/>
    <s v="manufacturer"/>
    <n v="0"/>
    <x v="0"/>
    <x v="0"/>
    <x v="0"/>
  </r>
  <r>
    <s v="ed3d878bf23177e7075ce07578841047"/>
    <s v="249f0e9905a6e06ad6c6bea7547ab9f6"/>
    <s v="9d12ef1a7eca3ec58c545c678af7869c"/>
    <s v="fbf4aef3f6915dc0c3c97d6812522f6a"/>
    <x v="18"/>
    <x v="12"/>
    <x v="0"/>
    <s v="cat"/>
    <s v="Unknow"/>
    <s v="Unknow"/>
    <s v="Unknow"/>
    <s v="manufacturer"/>
    <n v="0"/>
    <x v="0"/>
    <x v="0"/>
    <x v="0"/>
  </r>
  <r>
    <s v="119ce5d79e3c006a9e46967bff271cb2"/>
    <s v="b494891378bd8f4560abe576c52deacd"/>
    <s v="b90f87164b5f8c2cfa5c8572834dbe3f"/>
    <s v="4ef15afb4b2723d8f3d81e51ec7afefe"/>
    <x v="19"/>
    <x v="4"/>
    <x v="5"/>
    <s v="cat"/>
    <s v="Unknow"/>
    <s v="Unknow"/>
    <s v="Unknow"/>
    <s v="reseller"/>
    <n v="0"/>
    <x v="0"/>
    <x v="0"/>
    <x v="0"/>
  </r>
  <r>
    <s v="1f4e960dc47c49ab5c2a495e00055f64"/>
    <s v="8c45b4bc4b5c1e2a4e789b4466a39b77"/>
    <s v="56bf83c4bb35763a51c2baab501b4c67"/>
    <s v="c638112b43f1d1b86dcabb0da720c901"/>
    <x v="20"/>
    <x v="13"/>
    <x v="4"/>
    <s v="Unknow"/>
    <s v="Unknow"/>
    <s v="Unknow"/>
    <s v="Unknow"/>
    <s v="reseller"/>
    <n v="0"/>
    <x v="0"/>
    <x v="0"/>
    <x v="0"/>
  </r>
  <r>
    <s v="05d287893f5f083739da863da2c4b6f8"/>
    <s v="49f6ca9231352dedda1ad1176ce70531"/>
    <s v="9e4d1098a3b0f5da39b0bc48f9876645"/>
    <s v="060c0a26f19f4d66b42e0d8796688490"/>
    <x v="21"/>
    <x v="4"/>
    <x v="3"/>
    <s v="cat"/>
    <s v="Unknow"/>
    <s v="Unknow"/>
    <s v="Unknow"/>
    <s v="reseller"/>
    <n v="0"/>
    <x v="0"/>
    <x v="5"/>
    <x v="0"/>
  </r>
  <r>
    <s v="0b97be8b4b408a3a0780a32e0a143a7f"/>
    <s v="7d13fca15225358621be4086e1eb0964"/>
    <s v="56bf83c4bb35763a51c2baab501b4c67"/>
    <s v="9ae085775a198122c5586fa830ff7f2b"/>
    <x v="22"/>
    <x v="14"/>
    <x v="2"/>
    <s v="Unknow"/>
    <s v="Unknow"/>
    <s v="Unknow"/>
    <s v="Unknow"/>
    <s v="reseller"/>
    <n v="0"/>
    <x v="0"/>
    <x v="3"/>
    <x v="0"/>
  </r>
  <r>
    <s v="2552a7b886c1710f36be92ac29b1362d"/>
    <s v="efa89b428cbc422ba9313b4fc6feafc7"/>
    <s v="56bf83c4bb35763a51c2baab501b4c67"/>
    <s v="d3d1e91a157ea7f90548eef82f1955e3"/>
    <x v="23"/>
    <x v="15"/>
    <x v="6"/>
    <s v="Unknow"/>
    <s v="Unknow"/>
    <s v="Unknow"/>
    <s v="Unknow"/>
    <s v="manufacturer"/>
    <n v="0"/>
    <x v="0"/>
    <x v="3"/>
    <x v="0"/>
  </r>
  <r>
    <s v="59c0665c39a2bb9c8776d66f4e8b8f66"/>
    <s v="cb3666965a560e723403683bd378a5f7"/>
    <s v="fdb16d3cbbeb5798f2f66c4096be026d"/>
    <s v="4ef15afb4b2723d8f3d81e51ec7afefe"/>
    <x v="24"/>
    <x v="16"/>
    <x v="0"/>
    <s v="Unknow"/>
    <s v="Unknow"/>
    <s v="Unknow"/>
    <s v="Unknow"/>
    <s v="manufacturer"/>
    <n v="0"/>
    <x v="0"/>
    <x v="4"/>
    <x v="0"/>
  </r>
  <r>
    <s v="4151b0029636a1c55afcce9283ac7902"/>
    <s v="e819bcfade7b5d88a27325eb6cfd62c5"/>
    <s v="068066e24f0c643eb1d089c7dd20cd73"/>
    <s v="9ae085775a198122c5586fa830ff7f2b"/>
    <x v="25"/>
    <x v="12"/>
    <x v="1"/>
    <s v="Unknow"/>
    <s v="Unknow"/>
    <s v="Unknow"/>
    <s v="Unknow"/>
    <s v="manufacturer"/>
    <n v="0"/>
    <x v="0"/>
    <x v="0"/>
    <x v="0"/>
  </r>
  <r>
    <s v="fc4166d1b1e192f650ee2d807b54c943"/>
    <s v="70c27847eca8195c983ed7e798c56743"/>
    <s v="fdb16d3cbbeb5798f2f66c4096be026d"/>
    <s v="4ef15afb4b2723d8f3d81e51ec7afefe"/>
    <x v="26"/>
    <x v="0"/>
    <x v="3"/>
    <s v="Unknow"/>
    <s v="Unknow"/>
    <s v="Unknow"/>
    <s v="Unknow"/>
    <s v="reseller"/>
    <n v="0"/>
    <x v="0"/>
    <x v="5"/>
    <x v="0"/>
  </r>
  <r>
    <s v="85e43237b3fb87d881c757f44f1b0357"/>
    <s v="556a6409838156ea299c9d1f9e2dde43"/>
    <s v="4b339f9567d060bcea4f5136b9f5949e"/>
    <s v="fbf4aef3f6915dc0c3c97d6812522f6a"/>
    <x v="27"/>
    <x v="6"/>
    <x v="1"/>
    <s v="shark"/>
    <s v="Unknow"/>
    <s v="Unknow"/>
    <s v="Unknow"/>
    <s v="reseller"/>
    <n v="0"/>
    <x v="0"/>
    <x v="2"/>
    <x v="0"/>
  </r>
  <r>
    <s v="9ce2e101957dc53e3e89cc8e1599aa60"/>
    <s v="a4fc6eadaff1576af888509a53420f6a"/>
    <s v="09285259593c61296eef10c734121d5b"/>
    <s v="6565aa9ce3178a5caf6171827af3a9ba"/>
    <x v="28"/>
    <x v="5"/>
    <x v="6"/>
    <s v="cat"/>
    <s v="Unknow"/>
    <s v="Unknow"/>
    <s v="Unknow"/>
    <s v="reseller"/>
    <n v="0"/>
    <x v="0"/>
    <x v="2"/>
    <x v="0"/>
  </r>
  <r>
    <s v="9a6b65aedf8177783035f3a53ca21ed1"/>
    <s v="0975b0dd18febd1008391fa53dff0891"/>
    <s v="370c9f455f93a9a96cbe9bea48e70033"/>
    <s v="85fc447d336637ba1df43e793199fbc8"/>
    <x v="29"/>
    <x v="17"/>
    <x v="0"/>
    <s v="eagle"/>
    <s v="Unknow"/>
    <s v="Unknow"/>
    <s v="Unknow"/>
    <s v="manufacturer"/>
    <n v="0"/>
    <x v="0"/>
    <x v="0"/>
    <x v="0"/>
  </r>
  <r>
    <s v="4bb1ec1ff58ad39558e8468054bfc469"/>
    <s v="4fae87d32467e18eb46e4a76a0a0b9ce"/>
    <s v="9d12ef1a7eca3ec58c545c678af7869c"/>
    <s v="a8387c01a09e99ce014107505b92388c"/>
    <x v="30"/>
    <x v="18"/>
    <x v="0"/>
    <s v="cat"/>
    <b v="1"/>
    <b v="1"/>
    <s v="20-50"/>
    <s v="reseller"/>
    <n v="0"/>
    <x v="0"/>
    <x v="0"/>
    <x v="0"/>
  </r>
  <r>
    <s v="c34eb63cd098bf4be03d53462d7ecba2"/>
    <s v="3525be8392a4fa3274c459bcfee41eef"/>
    <s v="4b339f9567d060bcea4f5136b9f5949e"/>
    <s v="de63de0d10a6012430098db33c679b0b"/>
    <x v="31"/>
    <x v="11"/>
    <x v="3"/>
    <s v="cat"/>
    <s v="Unknow"/>
    <s v="Unknow"/>
    <s v="Unknow"/>
    <s v="reseller"/>
    <n v="0"/>
    <x v="0"/>
    <x v="3"/>
    <x v="0"/>
  </r>
  <r>
    <s v="e428d5580f729d23e6070e43c492e424"/>
    <s v="8b181ee5518df84f18f4e1a43fe07923"/>
    <s v="09285259593c61296eef10c734121d5b"/>
    <s v="de63de0d10a6012430098db33c679b0b"/>
    <x v="32"/>
    <x v="4"/>
    <x v="0"/>
    <s v="shark"/>
    <s v="Unknow"/>
    <s v="Unknow"/>
    <s v="Unknow"/>
    <s v="reseller"/>
    <n v="0"/>
    <x v="0"/>
    <x v="3"/>
    <x v="0"/>
  </r>
  <r>
    <s v="e3c91316d8f28b18d96869aebbb7c3ec"/>
    <s v="d594982fd877af63ace38ea1fca27c76"/>
    <s v="09285259593c61296eef10c734121d5b"/>
    <s v="fbf4aef3f6915dc0c3c97d6812522f6a"/>
    <x v="33"/>
    <x v="19"/>
    <x v="1"/>
    <s v="wolf"/>
    <s v="Unknow"/>
    <s v="Unknow"/>
    <s v="Unknow"/>
    <s v="reseller"/>
    <n v="0"/>
    <x v="0"/>
    <x v="0"/>
    <x v="0"/>
  </r>
  <r>
    <s v="72e81de94dfc0373b006ca75e9c851a1"/>
    <s v="2f1e89e231b096f4ff1f55dfe8607a7b"/>
    <s v="e7dff61b78bebffa71678e126ce669ad"/>
    <s v="068066e24f0c643eb1d089c7dd20cd73"/>
    <x v="34"/>
    <x v="5"/>
    <x v="0"/>
    <s v="cat"/>
    <b v="1"/>
    <s v="Unknow"/>
    <s v="1-5"/>
    <s v="reseller"/>
    <n v="80"/>
    <x v="0"/>
    <x v="2"/>
    <x v="0"/>
  </r>
  <r>
    <s v="1cbfa9c878ef8692c1ae21e4cfa11000"/>
    <s v="90269579385b838ce9bd577dcec278a4"/>
    <s v="34d40cdaf94010a1d05b0d6212f9e909"/>
    <s v="85fc447d336637ba1df43e793199fbc8"/>
    <x v="35"/>
    <x v="0"/>
    <x v="1"/>
    <s v="cat"/>
    <s v="Unknow"/>
    <s v="Unknow"/>
    <s v="Unknow"/>
    <s v="manufacturer"/>
    <n v="0"/>
    <x v="0"/>
    <x v="2"/>
    <x v="0"/>
  </r>
  <r>
    <s v="b055fc7de322786cd9ddc996cb6e72ff"/>
    <s v="398cb257329ef7af7f1943a8974a3cbc"/>
    <s v="a8387c01a09e99ce014107505b92388c"/>
    <s v="9ae085775a198122c5586fa830ff7f2b"/>
    <x v="36"/>
    <x v="3"/>
    <x v="0"/>
    <s v="cat"/>
    <s v="Unknow"/>
    <s v="Unknow"/>
    <s v="Unknow"/>
    <s v="manufacturer"/>
    <n v="0"/>
    <x v="0"/>
    <x v="0"/>
    <x v="0"/>
  </r>
  <r>
    <s v="a8d2884db49e0769ad4a0b8dce2e143c"/>
    <s v="d65f74c704563bcb8baa915fbf8cfa1e"/>
    <s v="6aa3b86a83d784b05f0e37e26b20860d"/>
    <s v="de63de0d10a6012430098db33c679b0b"/>
    <x v="37"/>
    <x v="4"/>
    <x v="0"/>
    <s v="cat"/>
    <s v="Unknow"/>
    <b v="0"/>
    <s v="Unknow"/>
    <s v="reseller"/>
    <n v="15"/>
    <x v="2"/>
    <x v="3"/>
    <x v="1"/>
  </r>
  <r>
    <s v="d955b97b28c2966211c9de2fe22fefbd"/>
    <s v="26e2c91ef821e1ff8985f408788fe35b"/>
    <s v="4b339f9567d060bcea4f5136b9f5949e"/>
    <s v="6565aa9ce3178a5caf6171827af3a9ba"/>
    <x v="38"/>
    <x v="13"/>
    <x v="6"/>
    <s v="Unknow"/>
    <s v="Unknow"/>
    <s v="Unknow"/>
    <s v="Unknow"/>
    <s v="manufacturer"/>
    <n v="0"/>
    <x v="0"/>
    <x v="4"/>
    <x v="0"/>
  </r>
  <r>
    <s v="1d7cc0f1d0b54eac3609c5222246595b"/>
    <s v="dedcab67899479e4ea5dcc4eba47f587"/>
    <s v="56bf83c4bb35763a51c2baab501b4c67"/>
    <s v="d3d1e91a157ea7f90548eef82f1955e3"/>
    <x v="39"/>
    <x v="1"/>
    <x v="0"/>
    <s v="Unknow"/>
    <s v="Unknow"/>
    <s v="Unknow"/>
    <s v="Unknow"/>
    <s v="reseller"/>
    <n v="0"/>
    <x v="0"/>
    <x v="3"/>
    <x v="0"/>
  </r>
  <r>
    <s v="78f9eb91b8c7b3b3967fab18283ec614"/>
    <s v="ca4b77513ac2040591b0d8fae6958380"/>
    <s v="370c9f455f93a9a96cbe9bea48e70033"/>
    <s v="a8387c01a09e99ce014107505b92388c"/>
    <x v="40"/>
    <x v="4"/>
    <x v="0"/>
    <s v="cat"/>
    <s v="Unknow"/>
    <s v="Unknow"/>
    <s v="Unknow"/>
    <s v="reseller"/>
    <n v="0"/>
    <x v="0"/>
    <x v="5"/>
    <x v="0"/>
  </r>
  <r>
    <s v="20fcec0873b39b4df3df34140d77d6e7"/>
    <s v="cee3c487c56d29554a22d112af618301"/>
    <s v="084b6fbb10729ed4da8c3d3f5a3ae7c9"/>
    <s v="0a0fb2b07d841f84fb6714e35c723075"/>
    <x v="41"/>
    <x v="20"/>
    <x v="7"/>
    <s v="cat"/>
    <b v="0"/>
    <b v="0"/>
    <s v="1-5"/>
    <s v="other"/>
    <n v="120"/>
    <x v="3"/>
    <x v="0"/>
    <x v="2"/>
  </r>
  <r>
    <s v="0a1643cb73c25878cc845d5594059afe"/>
    <s v="ae9d6bb89361dff26edbccc7e1c2911d"/>
    <s v="068066e24f0c643eb1d089c7dd20cd73"/>
    <s v="2695de1affa7750089c0455f8ce27021"/>
    <x v="42"/>
    <x v="15"/>
    <x v="6"/>
    <s v="cat"/>
    <s v="Unknow"/>
    <s v="Unknow"/>
    <s v="Unknow"/>
    <s v="manufacturer"/>
    <n v="0"/>
    <x v="0"/>
    <x v="0"/>
    <x v="0"/>
  </r>
  <r>
    <s v="92c7eacf759c266a7663d63876d84223"/>
    <s v="da3eab58892c04039f4cd5ecb09ae260"/>
    <s v="9d12ef1a7eca3ec58c545c678af7869c"/>
    <s v="c638112b43f1d1b86dcabb0da720c901"/>
    <x v="43"/>
    <x v="12"/>
    <x v="4"/>
    <s v="eagle"/>
    <s v="Unknow"/>
    <s v="Unknow"/>
    <s v="Unknow"/>
    <s v="manufacturer"/>
    <n v="0"/>
    <x v="0"/>
    <x v="3"/>
    <x v="0"/>
  </r>
  <r>
    <s v="f72a53e19c3310188cedd074226312c9"/>
    <s v="6e4a902d1054e4e17aa6eab87fac1c75"/>
    <s v="34d40cdaf94010a1d05b0d6212f9e909"/>
    <s v="2695de1affa7750089c0455f8ce27021"/>
    <x v="44"/>
    <x v="19"/>
    <x v="4"/>
    <s v="wolf"/>
    <s v="Unknow"/>
    <s v="Unknow"/>
    <s v="Unknow"/>
    <s v="reseller"/>
    <n v="0"/>
    <x v="0"/>
    <x v="4"/>
    <x v="0"/>
  </r>
  <r>
    <s v="d25814a309be54d1d2279a4ff921ea28"/>
    <s v="2d42ebcda99fd55f6f4bc2f1ca035d50"/>
    <s v="4b339f9567d060bcea4f5136b9f5949e"/>
    <s v="9e4d1098a3b0f5da39b0bc48f9876645"/>
    <x v="45"/>
    <x v="12"/>
    <x v="2"/>
    <s v="cat"/>
    <s v="Unknow"/>
    <s v="Unknow"/>
    <s v="Unknow"/>
    <s v="reseller"/>
    <n v="0"/>
    <x v="0"/>
    <x v="5"/>
    <x v="0"/>
  </r>
  <r>
    <s v="e3ed7cb7b47e4079cb9fef895846b3e2"/>
    <s v="04843805947f0fc584fc1969b6e50fe7"/>
    <s v="9d12ef1a7eca3ec58c545c678af7869c"/>
    <s v="fbf4aef3f6915dc0c3c97d6812522f6a"/>
    <x v="46"/>
    <x v="12"/>
    <x v="2"/>
    <s v="cat"/>
    <s v="Unknow"/>
    <s v="Unknow"/>
    <s v="Unknow"/>
    <s v="manufacturer"/>
    <n v="0"/>
    <x v="0"/>
    <x v="5"/>
    <x v="0"/>
  </r>
  <r>
    <s v="413e4eb37de01f40522e28ecdc268639"/>
    <s v="d9d057968270cdb30c14cba606d5dc90"/>
    <s v="4b339f9567d060bcea4f5136b9f5949e"/>
    <s v="495d4e95a8cf8bbf8b432b612a2aa328"/>
    <x v="47"/>
    <x v="1"/>
    <x v="0"/>
    <s v="Unknow"/>
    <s v="Unknow"/>
    <s v="Unknow"/>
    <s v="Unknow"/>
    <s v="reseller"/>
    <n v="0"/>
    <x v="0"/>
    <x v="3"/>
    <x v="0"/>
  </r>
  <r>
    <s v="c1e598764329cc9c377ef1d029be8ceb"/>
    <s v="d4dcd3a31f5f19aea2f258a568517a4f"/>
    <s v="fdb16d3cbbeb5798f2f66c4096be026d"/>
    <s v="060c0a26f19f4d66b42e0d8796688490"/>
    <x v="48"/>
    <x v="3"/>
    <x v="1"/>
    <s v="Unknow"/>
    <s v="Unknow"/>
    <s v="Unknow"/>
    <s v="Unknow"/>
    <s v="manufacturer"/>
    <n v="0"/>
    <x v="0"/>
    <x v="0"/>
    <x v="0"/>
  </r>
  <r>
    <s v="9cca8d684240e24dd459f2d439fae30c"/>
    <s v="28760737b4b82d4479ddff8db5e9f71f"/>
    <s v="9e4d1098a3b0f5da39b0bc48f9876645"/>
    <s v="4ef15afb4b2723d8f3d81e51ec7afefe"/>
    <x v="49"/>
    <x v="0"/>
    <x v="0"/>
    <s v="cat"/>
    <s v="Unknow"/>
    <s v="Unknow"/>
    <s v="Unknow"/>
    <s v="manufacturer"/>
    <n v="0"/>
    <x v="0"/>
    <x v="3"/>
    <x v="0"/>
  </r>
  <r>
    <s v="0d99b130d767e50e22b528261ffe5550"/>
    <s v="0dccb6973ef48a00fbcccfe907181ab0"/>
    <s v="34d40cdaf94010a1d05b0d6212f9e909"/>
    <s v="a8387c01a09e99ce014107505b92388c"/>
    <x v="50"/>
    <x v="11"/>
    <x v="6"/>
    <s v="cat"/>
    <s v="Unknow"/>
    <s v="Unknow"/>
    <s v="Unknow"/>
    <s v="reseller"/>
    <n v="0"/>
    <x v="0"/>
    <x v="0"/>
    <x v="0"/>
  </r>
  <r>
    <s v="7c9ac4388867d4cc3f1cf9c05ad7e944"/>
    <s v="751e274377499a8503fd6243ad9c56f6"/>
    <s v="9749123c950bf8363ace42cb1c2d0815"/>
    <s v="4ef15afb4b2723d8f3d81e51ec7afefe"/>
    <x v="51"/>
    <x v="19"/>
    <x v="2"/>
    <s v="cat"/>
    <s v="Unknow"/>
    <s v="Unknow"/>
    <s v="Unknow"/>
    <s v="reseller"/>
    <n v="0"/>
    <x v="0"/>
    <x v="2"/>
    <x v="0"/>
  </r>
  <r>
    <s v="2c5d0b35798bffadf8f67ef0af84d183"/>
    <s v="93a55b2252867fd7df54c78cbd5c6d95"/>
    <s v="56bf83c4bb35763a51c2baab501b4c67"/>
    <s v="fbf4aef3f6915dc0c3c97d6812522f6a"/>
    <x v="52"/>
    <x v="7"/>
    <x v="4"/>
    <s v="cat"/>
    <s v="Unknow"/>
    <s v="Unknow"/>
    <s v="Unknow"/>
    <s v="reseller"/>
    <n v="0"/>
    <x v="0"/>
    <x v="3"/>
    <x v="0"/>
  </r>
  <r>
    <s v="e5860ae00103b3869a25d940345bf0fd"/>
    <s v="1185ae3e5ac0463c854dad54fc8fc9e1"/>
    <s v="34d40cdaf94010a1d05b0d6212f9e909"/>
    <s v="495d4e95a8cf8bbf8b432b612a2aa328"/>
    <x v="53"/>
    <x v="21"/>
    <x v="1"/>
    <s v="cat"/>
    <s v="Unknow"/>
    <s v="Unknow"/>
    <s v="Unknow"/>
    <s v="manufacturer"/>
    <n v="0"/>
    <x v="0"/>
    <x v="3"/>
    <x v="0"/>
  </r>
  <r>
    <s v="014c073ef65e4a7ef73acd61cf606164"/>
    <s v="2646baaf662d4d92ac48f047e35db92d"/>
    <s v="9d12ef1a7eca3ec58c545c678af7869c"/>
    <s v="4ef15afb4b2723d8f3d81e51ec7afefe"/>
    <x v="54"/>
    <x v="7"/>
    <x v="0"/>
    <s v="eagle"/>
    <s v="Unknow"/>
    <s v="Unknow"/>
    <s v="Unknow"/>
    <s v="reseller"/>
    <n v="0"/>
    <x v="0"/>
    <x v="3"/>
    <x v="0"/>
  </r>
  <r>
    <s v="3a91a097116d6c8b32d41e0c81dd1e9c"/>
    <s v="e433f5fd4050e3352b5d83522b7fe24b"/>
    <s v="a8387c01a09e99ce014107505b92388c"/>
    <s v="9e4d1098a3b0f5da39b0bc48f9876645"/>
    <x v="55"/>
    <x v="7"/>
    <x v="0"/>
    <s v="cat"/>
    <s v="Unknow"/>
    <s v="Unknow"/>
    <s v="Unknow"/>
    <s v="manufacturer"/>
    <n v="0"/>
    <x v="0"/>
    <x v="0"/>
    <x v="0"/>
  </r>
  <r>
    <s v="1030d227d3fe9ed0555666c4ffd14ab1"/>
    <s v="5cc5fe3c6e303fb7656ee7b0ca21ed58"/>
    <s v="9e4d1098a3b0f5da39b0bc48f9876645"/>
    <s v="6565aa9ce3178a5caf6171827af3a9ba"/>
    <x v="56"/>
    <x v="16"/>
    <x v="3"/>
    <s v="cat"/>
    <s v="Unknow"/>
    <s v="Unknow"/>
    <s v="Unknow"/>
    <s v="reseller"/>
    <n v="0"/>
    <x v="0"/>
    <x v="5"/>
    <x v="0"/>
  </r>
  <r>
    <s v="1c69de363482d0cbc9b6da97cb49757a"/>
    <s v="dc64d75cc406bb0697be983831430e60"/>
    <s v="f42a2bd194f7802ab052a815c8de65b7"/>
    <s v="85fc447d336637ba1df43e793199fbc8"/>
    <x v="57"/>
    <x v="19"/>
    <x v="3"/>
    <s v="cat"/>
    <s v="Unknow"/>
    <s v="Unknow"/>
    <s v="Unknow"/>
    <s v="reseller"/>
    <n v="0"/>
    <x v="0"/>
    <x v="0"/>
    <x v="0"/>
  </r>
  <r>
    <s v="415ae4e297c08fd8790a5b1e1ba8482e"/>
    <s v="08d1c9478fb0d7d7fcac9c0da4e82fc7"/>
    <s v="4b339f9567d060bcea4f5136b9f5949e"/>
    <s v="de63de0d10a6012430098db33c679b0b"/>
    <x v="58"/>
    <x v="12"/>
    <x v="0"/>
    <s v="wolf"/>
    <s v="Unknow"/>
    <s v="Unknow"/>
    <s v="Unknow"/>
    <s v="manufacturer"/>
    <n v="0"/>
    <x v="0"/>
    <x v="2"/>
    <x v="0"/>
  </r>
  <r>
    <s v="a55b94066766f2d29fc22a3bb52d78f6"/>
    <s v="5181ea7b0d346ed14c5c07f0ff22b2b4"/>
    <s v="fdb16d3cbbeb5798f2f66c4096be026d"/>
    <s v="4ef15afb4b2723d8f3d81e51ec7afefe"/>
    <x v="59"/>
    <x v="8"/>
    <x v="2"/>
    <s v="cat"/>
    <s v="Unknow"/>
    <s v="Unknow"/>
    <s v="5-20"/>
    <s v="reseller"/>
    <n v="1000"/>
    <x v="4"/>
    <x v="2"/>
    <x v="1"/>
  </r>
  <r>
    <s v="f5da97d441cd42b0b26c10145b71a923"/>
    <s v="ee2fbacc2fc3794e656cc4d933d59ce7"/>
    <s v="9d12ef1a7eca3ec58c545c678af7869c"/>
    <s v="fbf4aef3f6915dc0c3c97d6812522f6a"/>
    <x v="60"/>
    <x v="18"/>
    <x v="2"/>
    <s v="cat"/>
    <s v="Unknow"/>
    <s v="Unknow"/>
    <s v="Unknow"/>
    <s v="reseller"/>
    <n v="0"/>
    <x v="0"/>
    <x v="3"/>
    <x v="0"/>
  </r>
  <r>
    <s v="682e8ae60182137d74d90ada9e0947d8"/>
    <s v="7fc87cc3e89b3d1d5cabdca32f8485aa"/>
    <s v="a8387c01a09e99ce014107505b92388c"/>
    <s v="4ef15afb4b2723d8f3d81e51ec7afefe"/>
    <x v="61"/>
    <x v="22"/>
    <x v="4"/>
    <s v="cat"/>
    <s v="Unknow"/>
    <s v="Unknow"/>
    <s v="Unknow"/>
    <s v="manufacturer"/>
    <n v="0"/>
    <x v="0"/>
    <x v="2"/>
    <x v="0"/>
  </r>
  <r>
    <s v="77abef21c838da55e14ffc88016ce91f"/>
    <s v="eba08391609dfda5c016fdd264f9383b"/>
    <s v="068066e24f0c643eb1d089c7dd20cd73"/>
    <s v="6565aa9ce3178a5caf6171827af3a9ba"/>
    <x v="62"/>
    <x v="12"/>
    <x v="0"/>
    <s v="Unknow"/>
    <s v="Unknow"/>
    <s v="Unknow"/>
    <s v="Unknow"/>
    <s v="reseller"/>
    <n v="0"/>
    <x v="0"/>
    <x v="0"/>
    <x v="0"/>
  </r>
  <r>
    <s v="46d9834fa62209a6504b2aabe46d7bfb"/>
    <s v="8b3317388df29d5fa94360a486ad3356"/>
    <s v="56bf83c4bb35763a51c2baab501b4c67"/>
    <s v="6565aa9ce3178a5caf6171827af3a9ba"/>
    <x v="63"/>
    <x v="1"/>
    <x v="0"/>
    <s v="cat"/>
    <s v="Unknow"/>
    <s v="Unknow"/>
    <s v="Unknow"/>
    <s v="reseller"/>
    <n v="0"/>
    <x v="0"/>
    <x v="0"/>
    <x v="0"/>
  </r>
  <r>
    <s v="009ff90f082aaa9fcd6e14caf65c7cc6"/>
    <s v="134285d1f41da5c13a756ee8142c8a4e"/>
    <s v="a8387c01a09e99ce014107505b92388c"/>
    <s v="9e4d1098a3b0f5da39b0bc48f9876645"/>
    <x v="64"/>
    <x v="1"/>
    <x v="2"/>
    <s v="cat"/>
    <s v="Unknow"/>
    <s v="Unknow"/>
    <s v="Unknow"/>
    <s v="reseller"/>
    <n v="0"/>
    <x v="0"/>
    <x v="2"/>
    <x v="0"/>
  </r>
  <r>
    <s v="29b97ecc5839e61efb7bdc25e979d8c6"/>
    <s v="e9e446d01bd10a97a8ffcfc4a3a20cb2"/>
    <s v="09285259593c61296eef10c734121d5b"/>
    <s v="d3d1e91a157ea7f90548eef82f1955e3"/>
    <x v="65"/>
    <x v="4"/>
    <x v="0"/>
    <s v="cat"/>
    <s v="Unknow"/>
    <s v="Unknow"/>
    <s v="Unknow"/>
    <s v="reseller"/>
    <n v="0"/>
    <x v="0"/>
    <x v="5"/>
    <x v="0"/>
  </r>
  <r>
    <s v="8d6be534a8bdd08e11efe57c6ce3dd21"/>
    <s v="6061155addc1e54b4cfb51c1c2a32ad8"/>
    <s v="a8387c01a09e99ce014107505b92388c"/>
    <s v="2695de1affa7750089c0455f8ce27021"/>
    <x v="66"/>
    <x v="0"/>
    <x v="3"/>
    <s v="cat"/>
    <s v="Unknow"/>
    <s v="Unknow"/>
    <s v="Unknow"/>
    <s v="reseller"/>
    <n v="0"/>
    <x v="0"/>
    <x v="0"/>
    <x v="0"/>
  </r>
  <r>
    <s v="4979feabd6097fb6100fd36c3c32aae0"/>
    <s v="bba8d0c234a52b87b3957037a215d1a4"/>
    <s v="56bf83c4bb35763a51c2baab501b4c67"/>
    <s v="c638112b43f1d1b86dcabb0da720c901"/>
    <x v="67"/>
    <x v="12"/>
    <x v="3"/>
    <s v="cat"/>
    <s v="Unknow"/>
    <s v="Unknow"/>
    <s v="Unknow"/>
    <s v="manufacturer"/>
    <n v="0"/>
    <x v="0"/>
    <x v="4"/>
    <x v="0"/>
  </r>
  <r>
    <s v="5985e72b3752e4749926885db1b45be4"/>
    <s v="044668ccd5316b12a7cf0d54a156e3e9"/>
    <s v="56bf83c4bb35763a51c2baab501b4c67"/>
    <s v="4ef15afb4b2723d8f3d81e51ec7afefe"/>
    <x v="68"/>
    <x v="3"/>
    <x v="4"/>
    <s v="Unknow"/>
    <s v="Unknow"/>
    <s v="Unknow"/>
    <s v="Unknow"/>
    <s v="reseller"/>
    <n v="0"/>
    <x v="0"/>
    <x v="3"/>
    <x v="0"/>
  </r>
  <r>
    <s v="048bb2f901e2c6f99bc9d26b78b47129"/>
    <s v="fc813dd7e04b8a1c9c10e8e9c10cd5f9"/>
    <s v="0a0fb2b07d841f84fb6714e35c723075"/>
    <s v="4ef15afb4b2723d8f3d81e51ec7afefe"/>
    <x v="69"/>
    <x v="23"/>
    <x v="1"/>
    <s v="cat"/>
    <s v="Unknow"/>
    <s v="Unknow"/>
    <s v="Unknow"/>
    <s v="reseller"/>
    <n v="0"/>
    <x v="0"/>
    <x v="2"/>
    <x v="0"/>
  </r>
  <r>
    <s v="58caf27a48e7930aefd5437298d64a70"/>
    <s v="922f6795c9e65f2485d4e63af76586ff"/>
    <s v="45749fb708130f78d0db07d8d80f030b"/>
    <s v="34d40cdaf94010a1d05b0d6212f9e909"/>
    <x v="70"/>
    <x v="13"/>
    <x v="0"/>
    <s v="cat, wolf"/>
    <b v="1"/>
    <b v="1"/>
    <s v="5-20"/>
    <s v="reseller"/>
    <n v="50"/>
    <x v="5"/>
    <x v="2"/>
    <x v="1"/>
  </r>
  <r>
    <s v="2b094148a9d10109b903715267c4dd14"/>
    <s v="224167f6e956da2f71c0e8dbdaa8bbf0"/>
    <s v="56bf83c4bb35763a51c2baab501b4c67"/>
    <s v="4ef15afb4b2723d8f3d81e51ec7afefe"/>
    <x v="71"/>
    <x v="5"/>
    <x v="4"/>
    <s v="eagle"/>
    <s v="Unknow"/>
    <s v="Unknow"/>
    <s v="Unknow"/>
    <s v="reseller"/>
    <n v="0"/>
    <x v="0"/>
    <x v="3"/>
    <x v="0"/>
  </r>
  <r>
    <s v="e5f15cc640c8a7408103dd190ced966c"/>
    <s v="30a81d8cf85fb2ada1b1b094c9583a95"/>
    <s v="068066e24f0c643eb1d089c7dd20cd73"/>
    <s v="4ef15afb4b2723d8f3d81e51ec7afefe"/>
    <x v="72"/>
    <x v="0"/>
    <x v="5"/>
    <s v="Unknow"/>
    <s v="Unknow"/>
    <s v="Unknow"/>
    <s v="Unknow"/>
    <s v="reseller"/>
    <n v="0"/>
    <x v="0"/>
    <x v="3"/>
    <x v="0"/>
  </r>
  <r>
    <s v="a15880813bd2f137e9f6922cbb7255bf"/>
    <s v="7e417525a6ce49b708fd384e580fe3c4"/>
    <s v="a8387c01a09e99ce014107505b92388c"/>
    <s v="6565aa9ce3178a5caf6171827af3a9ba"/>
    <x v="73"/>
    <x v="12"/>
    <x v="0"/>
    <s v="cat"/>
    <s v="Unknow"/>
    <s v="Unknow"/>
    <s v="Unknow"/>
    <s v="manufacturer"/>
    <n v="0"/>
    <x v="0"/>
    <x v="2"/>
    <x v="0"/>
  </r>
  <r>
    <s v="3bcc8997df233ab581f30dd65f14698c"/>
    <s v="b6cac2bb2d83cae903e336e6a993c795"/>
    <s v="34d40cdaf94010a1d05b0d6212f9e909"/>
    <s v="de63de0d10a6012430098db33c679b0b"/>
    <x v="74"/>
    <x v="1"/>
    <x v="2"/>
    <s v="cat"/>
    <s v="Unknow"/>
    <s v="Unknow"/>
    <s v="Unknow"/>
    <s v="reseller"/>
    <n v="0"/>
    <x v="0"/>
    <x v="3"/>
    <x v="0"/>
  </r>
  <r>
    <s v="afac78e614dac1a1470030ea55c08eef"/>
    <s v="0ddefe3c7a032b91f4e25b9c3a08fca1"/>
    <s v="de63de0d10a6012430098db33c679b0b"/>
    <s v="6565aa9ce3178a5caf6171827af3a9ba"/>
    <x v="75"/>
    <x v="6"/>
    <x v="3"/>
    <s v="cat"/>
    <s v="Unknow"/>
    <s v="Unknow"/>
    <s v="Unknow"/>
    <s v="reseller"/>
    <n v="0"/>
    <x v="0"/>
    <x v="2"/>
    <x v="0"/>
  </r>
  <r>
    <s v="d0b2ef3bdc9ed0fce3d672ec52dc9c00"/>
    <s v="45dfe11016c782d99a19f93dd34c300d"/>
    <s v="a8387c01a09e99ce014107505b92388c"/>
    <s v="060c0a26f19f4d66b42e0d8796688490"/>
    <x v="76"/>
    <x v="1"/>
    <x v="0"/>
    <s v="cat"/>
    <s v="Unknow"/>
    <s v="Unknow"/>
    <s v="Unknow"/>
    <s v="reseller"/>
    <n v="0"/>
    <x v="0"/>
    <x v="3"/>
    <x v="0"/>
  </r>
  <r>
    <s v="496515dec2a1c280f145f6ccb34851fb"/>
    <s v="6f835fd4be26989b1b064399da346143"/>
    <s v="09285259593c61296eef10c734121d5b"/>
    <s v="d3d1e91a157ea7f90548eef82f1955e3"/>
    <x v="77"/>
    <x v="19"/>
    <x v="0"/>
    <s v="wolf"/>
    <s v="Unknow"/>
    <s v="Unknow"/>
    <s v="Unknow"/>
    <s v="reseller"/>
    <n v="0"/>
    <x v="0"/>
    <x v="3"/>
    <x v="0"/>
  </r>
  <r>
    <s v="17c77fd570aa86b74387fae66d9d4edd"/>
    <s v="3e35a8bb43569389d3cebef0ce820f69"/>
    <s v="de63de0d10a6012430098db33c679b0b"/>
    <s v="4ef15afb4b2723d8f3d81e51ec7afefe"/>
    <x v="78"/>
    <x v="3"/>
    <x v="1"/>
    <s v="Unknow"/>
    <s v="Unknow"/>
    <s v="Unknow"/>
    <s v="Unknow"/>
    <s v="reseller"/>
    <n v="0"/>
    <x v="0"/>
    <x v="3"/>
    <x v="0"/>
  </r>
  <r>
    <s v="cc4ec90b270b9f1de8dc2d8864425252"/>
    <s v="a7d0f8dd44f57ef6de7f7f02e3d82630"/>
    <s v="b90f87164b5f8c2cfa5c8572834dbe3f"/>
    <s v="85fc447d336637ba1df43e793199fbc8"/>
    <x v="79"/>
    <x v="4"/>
    <x v="0"/>
    <s v="cat"/>
    <s v="Unknow"/>
    <s v="Unknow"/>
    <s v="Unknow"/>
    <s v="reseller"/>
    <n v="0"/>
    <x v="0"/>
    <x v="6"/>
    <x v="0"/>
  </r>
  <r>
    <s v="f0b314f185b80cf35d986e298db53fe3"/>
    <s v="a663d9c3797e90eac99ff60939416a56"/>
    <s v="34d40cdaf94010a1d05b0d6212f9e909"/>
    <s v="060c0a26f19f4d66b42e0d8796688490"/>
    <x v="80"/>
    <x v="5"/>
    <x v="6"/>
    <s v="cat"/>
    <s v="Unknow"/>
    <s v="Unknow"/>
    <s v="Unknow"/>
    <s v="reseller"/>
    <n v="0"/>
    <x v="0"/>
    <x v="3"/>
    <x v="0"/>
  </r>
  <r>
    <s v="902a621ebb8a96c516d34a58334eb0ee"/>
    <s v="2aef4c8187ab057d6f1b7e0e636aa481"/>
    <s v="e7dff61b78bebffa71678e126ce669ad"/>
    <s v="a8387c01a09e99ce014107505b92388c"/>
    <x v="81"/>
    <x v="7"/>
    <x v="6"/>
    <s v="Unknow"/>
    <s v="Unknow"/>
    <s v="Unknow"/>
    <s v="Unknow"/>
    <s v="reseller"/>
    <n v="4"/>
    <x v="6"/>
    <x v="3"/>
    <x v="2"/>
  </r>
  <r>
    <s v="a1ad46372861ecf61fdab04c7bf5082e"/>
    <s v="8e3338430e8b66d28aa88fa892a00063"/>
    <s v="9e4d1098a3b0f5da39b0bc48f9876645"/>
    <s v="fbf4aef3f6915dc0c3c97d6812522f6a"/>
    <x v="82"/>
    <x v="12"/>
    <x v="3"/>
    <s v="cat"/>
    <s v="Unknow"/>
    <s v="Unknow"/>
    <s v="Unknow"/>
    <s v="reseller"/>
    <n v="0"/>
    <x v="0"/>
    <x v="3"/>
    <x v="0"/>
  </r>
  <r>
    <s v="7893b5468710641ad87f8b4aa1b8777d"/>
    <s v="3084dcdea01fe4f2d556540e6b2e873d"/>
    <s v="068066e24f0c643eb1d089c7dd20cd73"/>
    <s v="060c0a26f19f4d66b42e0d8796688490"/>
    <x v="83"/>
    <x v="7"/>
    <x v="1"/>
    <s v="cat"/>
    <s v="Unknow"/>
    <s v="Unknow"/>
    <s v="Unknow"/>
    <s v="reseller"/>
    <n v="0"/>
    <x v="0"/>
    <x v="0"/>
    <x v="0"/>
  </r>
  <r>
    <s v="a82596c6fd3ed643b18a2a942eb6ddc9"/>
    <s v="a213f1bd6458f4a158f3746cb2514559"/>
    <s v="de63de0d10a6012430098db33c679b0b"/>
    <s v="d3d1e91a157ea7f90548eef82f1955e3"/>
    <x v="84"/>
    <x v="5"/>
    <x v="6"/>
    <s v="Unknow"/>
    <s v="Unknow"/>
    <s v="Unknow"/>
    <s v="Unknow"/>
    <s v="reseller"/>
    <n v="0"/>
    <x v="0"/>
    <x v="2"/>
    <x v="0"/>
  </r>
  <r>
    <s v="36f6d5bde803873f6bffe9949f258935"/>
    <s v="a56e351445e5863fc8960640ba9190c7"/>
    <s v="9e4d1098a3b0f5da39b0bc48f9876645"/>
    <s v="495d4e95a8cf8bbf8b432b612a2aa328"/>
    <x v="85"/>
    <x v="12"/>
    <x v="3"/>
    <s v="cat"/>
    <s v="Unknow"/>
    <s v="Unknow"/>
    <s v="Unknow"/>
    <s v="reseller"/>
    <n v="0"/>
    <x v="0"/>
    <x v="4"/>
    <x v="0"/>
  </r>
  <r>
    <s v="4ddc45a9de1065695a90e87be37471c0"/>
    <s v="9d590e1df0faffd9ceaa1f0f0ea9af2f"/>
    <s v="e7dff61b78bebffa71678e126ce669ad"/>
    <s v="2695de1affa7750089c0455f8ce27021"/>
    <x v="86"/>
    <x v="19"/>
    <x v="0"/>
    <s v="wolf"/>
    <b v="1"/>
    <b v="1"/>
    <s v="5-20"/>
    <s v="reseller"/>
    <n v="50"/>
    <x v="0"/>
    <x v="0"/>
    <x v="0"/>
  </r>
  <r>
    <s v="d2c1295f655a2d436edda96084211820"/>
    <s v="f49987b20beada69981c57899ffd1095"/>
    <s v="9d12ef1a7eca3ec58c545c678af7869c"/>
    <s v="56bf83c4bb35763a51c2baab501b4c67"/>
    <x v="87"/>
    <x v="22"/>
    <x v="0"/>
    <s v="wolf"/>
    <s v="Unknow"/>
    <s v="Unknow"/>
    <s v="Unknow"/>
    <s v="reseller"/>
    <n v="0"/>
    <x v="0"/>
    <x v="6"/>
    <x v="0"/>
  </r>
  <r>
    <s v="1cfef7cfd8d26b1ecb8b0eccca6366ca"/>
    <s v="5cb4a72356883c59790dc8309cddea2f"/>
    <s v="068066e24f0c643eb1d089c7dd20cd73"/>
    <s v="9ae085775a198122c5586fa830ff7f2b"/>
    <x v="88"/>
    <x v="12"/>
    <x v="0"/>
    <s v="Unknow"/>
    <s v="Unknow"/>
    <s v="Unknow"/>
    <s v="Unknow"/>
    <s v="manufacturer"/>
    <n v="0"/>
    <x v="0"/>
    <x v="3"/>
    <x v="0"/>
  </r>
  <r>
    <s v="2708ccf204c47df56b5469327e900581"/>
    <s v="fcdd820084f17e9982427971e4e9d47f"/>
    <s v="de63de0d10a6012430098db33c679b0b"/>
    <s v="4ef15afb4b2723d8f3d81e51ec7afefe"/>
    <x v="89"/>
    <x v="6"/>
    <x v="2"/>
    <s v="Unknow"/>
    <s v="Unknow"/>
    <s v="Unknow"/>
    <s v="Unknow"/>
    <s v="manufacturer"/>
    <n v="0"/>
    <x v="0"/>
    <x v="3"/>
    <x v="0"/>
  </r>
  <r>
    <s v="44ebc4e28c99d8aeaead73b4b70cc5e9"/>
    <s v="131fcb0a0c9a47bba4474aacff0f14b7"/>
    <s v="370c9f455f93a9a96cbe9bea48e70033"/>
    <s v="9e4d1098a3b0f5da39b0bc48f9876645"/>
    <x v="90"/>
    <x v="2"/>
    <x v="0"/>
    <s v="cat"/>
    <s v="Unknow"/>
    <s v="Unknow"/>
    <s v="Unknow"/>
    <s v="reseller"/>
    <n v="0"/>
    <x v="0"/>
    <x v="2"/>
    <x v="0"/>
  </r>
  <r>
    <s v="62e44187d92348c552952aa4bf152e90"/>
    <s v="3d5d0dc7073a299e31fa718ce1bc00b6"/>
    <s v="09285259593c61296eef10c734121d5b"/>
    <s v="4ef15afb4b2723d8f3d81e51ec7afefe"/>
    <x v="91"/>
    <x v="4"/>
    <x v="0"/>
    <s v="cat"/>
    <s v="Unknow"/>
    <s v="Unknow"/>
    <s v="Unknow"/>
    <s v="reseller"/>
    <n v="0"/>
    <x v="0"/>
    <x v="2"/>
    <x v="0"/>
  </r>
  <r>
    <s v="5931bbfb35cc483290f5dd6a9fda8ee5"/>
    <s v="0db0dce302e414422ed38aabd133ae04"/>
    <s v="4b339f9567d060bcea4f5136b9f5949e"/>
    <s v="2695de1affa7750089c0455f8ce27021"/>
    <x v="92"/>
    <x v="11"/>
    <x v="1"/>
    <s v="wolf"/>
    <s v="Unknow"/>
    <s v="Unknow"/>
    <s v="Unknow"/>
    <s v="manufacturer"/>
    <n v="0"/>
    <x v="0"/>
    <x v="5"/>
    <x v="0"/>
  </r>
  <r>
    <s v="0f2ad81c100f7a6c7475bd26ceb76cbf"/>
    <s v="3492e68f37fd1df87f4f2f2ea247f445"/>
    <s v="9e4d1098a3b0f5da39b0bc48f9876645"/>
    <s v="6565aa9ce3178a5caf6171827af3a9ba"/>
    <x v="93"/>
    <x v="1"/>
    <x v="0"/>
    <s v="cat"/>
    <s v="Unknow"/>
    <s v="Unknow"/>
    <s v="Unknow"/>
    <s v="reseller"/>
    <n v="0"/>
    <x v="0"/>
    <x v="0"/>
    <x v="0"/>
  </r>
  <r>
    <s v="cfccca319397a5ea2bb11bd90b0d925d"/>
    <s v="ba143b05f0110f0dc71ad71b4466ce92"/>
    <s v="370c9f455f93a9a96cbe9bea48e70033"/>
    <s v="9e4d1098a3b0f5da39b0bc48f9876645"/>
    <x v="94"/>
    <x v="24"/>
    <x v="2"/>
    <s v="cat"/>
    <s v="Unknow"/>
    <s v="Unknow"/>
    <s v="Unknow"/>
    <s v="reseller"/>
    <n v="0"/>
    <x v="0"/>
    <x v="2"/>
    <x v="0"/>
  </r>
  <r>
    <s v="7281f75a3496aa1e3643f44cd5773a65"/>
    <s v="309405cfad0d11cd1ec6bb5d02c70c6b"/>
    <s v="4b339f9567d060bcea4f5136b9f5949e"/>
    <s v="495d4e95a8cf8bbf8b432b612a2aa328"/>
    <x v="95"/>
    <x v="7"/>
    <x v="2"/>
    <s v="cat"/>
    <s v="Unknow"/>
    <s v="Unknow"/>
    <s v="Unknow"/>
    <s v="manufacturer"/>
    <n v="0"/>
    <x v="0"/>
    <x v="3"/>
    <x v="0"/>
  </r>
  <r>
    <s v="1fcceea4a8f4e128f39d1fe92d66a0d9"/>
    <s v="e52d2f15bba4aff8a1e2bd12b40fdfbc"/>
    <s v="f42a2bd194f7802ab052a815c8de65b7"/>
    <s v="4ef15afb4b2723d8f3d81e51ec7afefe"/>
    <x v="96"/>
    <x v="6"/>
    <x v="8"/>
    <s v="cat"/>
    <s v="Unknow"/>
    <s v="Unknow"/>
    <s v="Unknow"/>
    <s v="reseller"/>
    <n v="0"/>
    <x v="0"/>
    <x v="3"/>
    <x v="0"/>
  </r>
  <r>
    <s v="1e2a84cd1c6fcd7b7a07f49f1cf7f6cc"/>
    <s v="f4009c6b30765309a251c26bc458e0e5"/>
    <s v="e7dff61b78bebffa71678e126ce669ad"/>
    <s v="9ae085775a198122c5586fa830ff7f2b"/>
    <x v="97"/>
    <x v="10"/>
    <x v="1"/>
    <s v="eagle, wolf"/>
    <b v="1"/>
    <b v="1"/>
    <s v="200+"/>
    <s v="reseller"/>
    <n v="0"/>
    <x v="0"/>
    <x v="0"/>
    <x v="0"/>
  </r>
  <r>
    <s v="1ab8d42d9e4a6b86010ac0a10c58fa86"/>
    <s v="11fb6f6d341adbe19e81733701704635"/>
    <s v="f42a2bd194f7802ab052a815c8de65b7"/>
    <s v="9ae085775a198122c5586fa830ff7f2b"/>
    <x v="98"/>
    <x v="12"/>
    <x v="0"/>
    <s v="wolf"/>
    <s v="Unknow"/>
    <s v="Unknow"/>
    <s v="Unknow"/>
    <s v="reseller"/>
    <n v="0"/>
    <x v="0"/>
    <x v="2"/>
    <x v="0"/>
  </r>
  <r>
    <s v="b5372c821691eff5fb470f33af079a64"/>
    <s v="42fac6337d0f14ecdc18a82bfe6dd076"/>
    <s v="4b339f9567d060bcea4f5136b9f5949e"/>
    <s v="fbf4aef3f6915dc0c3c97d6812522f6a"/>
    <x v="99"/>
    <x v="6"/>
    <x v="1"/>
    <s v="Unknow"/>
    <s v="Unknow"/>
    <s v="Unknow"/>
    <s v="Unknow"/>
    <s v="reseller"/>
    <n v="0"/>
    <x v="0"/>
    <x v="4"/>
    <x v="0"/>
  </r>
  <r>
    <s v="165d6a6256273a3430fa4891413ac2f0"/>
    <s v="e0cfd7ece071eb006b1670ea64d0904e"/>
    <s v="f42a2bd194f7802ab052a815c8de65b7"/>
    <s v="9d12ef1a7eca3ec58c545c678af7869c"/>
    <x v="100"/>
    <x v="7"/>
    <x v="4"/>
    <s v="cat"/>
    <s v="Unknow"/>
    <s v="Unknow"/>
    <s v="Unknow"/>
    <s v="reseller"/>
    <n v="400"/>
    <x v="1"/>
    <x v="0"/>
    <x v="1"/>
  </r>
  <r>
    <s v="de1dbe3b8d524c96d50c30f2467c4bc6"/>
    <s v="841fba8f46ab4edd1bb086f53735000e"/>
    <s v="4b339f9567d060bcea4f5136b9f5949e"/>
    <s v="85fc447d336637ba1df43e793199fbc8"/>
    <x v="101"/>
    <x v="1"/>
    <x v="5"/>
    <s v="cat"/>
    <s v="Unknow"/>
    <s v="Unknow"/>
    <s v="Unknow"/>
    <s v="reseller"/>
    <n v="0"/>
    <x v="0"/>
    <x v="0"/>
    <x v="0"/>
  </r>
  <r>
    <s v="4e6e15ac583426150b75fc9b2951c7b1"/>
    <s v="a333655afd62d4ef51f55ac7c58abb34"/>
    <s v="4b339f9567d060bcea4f5136b9f5949e"/>
    <s v="4b339f9567d060bcea4f5136b9f5949e"/>
    <x v="102"/>
    <x v="1"/>
    <x v="2"/>
    <s v="wolf"/>
    <s v="Unknow"/>
    <s v="Unknow"/>
    <s v="Unknow"/>
    <s v="reseller"/>
    <n v="0"/>
    <x v="0"/>
    <x v="2"/>
    <x v="0"/>
  </r>
  <r>
    <s v="080261e4427a081fc6e637b654f590ee"/>
    <s v="ade45994b717ccee333492330fbf037b"/>
    <s v="068066e24f0c643eb1d089c7dd20cd73"/>
    <s v="85fc447d336637ba1df43e793199fbc8"/>
    <x v="103"/>
    <x v="19"/>
    <x v="2"/>
    <s v="cat"/>
    <s v="Unknow"/>
    <s v="Unknow"/>
    <s v="Unknow"/>
    <s v="reseller"/>
    <n v="0"/>
    <x v="0"/>
    <x v="5"/>
    <x v="0"/>
  </r>
  <r>
    <s v="f9c43d70a22ac65ce5fa816a4c34f8f0"/>
    <s v="784fca1939f4ad6c73be249a80b17d18"/>
    <s v="9e4d1098a3b0f5da39b0bc48f9876645"/>
    <s v="85fc447d336637ba1df43e793199fbc8"/>
    <x v="104"/>
    <x v="25"/>
    <x v="3"/>
    <s v="wolf"/>
    <s v="Unknow"/>
    <s v="Unknow"/>
    <s v="Unknow"/>
    <s v="manufacturer"/>
    <n v="0"/>
    <x v="0"/>
    <x v="2"/>
    <x v="0"/>
  </r>
  <r>
    <s v="42e452a93e736373dd9281c113eff2b7"/>
    <s v="da6a60cc8cc724fe51be021ff8be779c"/>
    <s v="0a0fb2b07d841f84fb6714e35c723075"/>
    <s v="495d4e95a8cf8bbf8b432b612a2aa328"/>
    <x v="105"/>
    <x v="24"/>
    <x v="2"/>
    <s v="cat"/>
    <s v="Unknow"/>
    <s v="Unknow"/>
    <s v="Unknow"/>
    <s v="reseller"/>
    <n v="0"/>
    <x v="0"/>
    <x v="0"/>
    <x v="0"/>
  </r>
  <r>
    <s v="67c34b9630469b3c13b7982316ffe7a1"/>
    <s v="6e985a12b7b98f0a15b7bf90cc882f61"/>
    <s v="56bf83c4bb35763a51c2baab501b4c67"/>
    <s v="c638112b43f1d1b86dcabb0da720c901"/>
    <x v="106"/>
    <x v="22"/>
    <x v="1"/>
    <s v="Unknow"/>
    <s v="Unknow"/>
    <s v="Unknow"/>
    <s v="Unknow"/>
    <s v="reseller"/>
    <n v="0"/>
    <x v="0"/>
    <x v="7"/>
    <x v="0"/>
  </r>
  <r>
    <s v="bde34e7721e5a33091503ba45b3f8ea5"/>
    <s v="a69aa24cec11168e7e39a3fbc727e925"/>
    <s v="4b339f9567d060bcea4f5136b9f5949e"/>
    <s v="495d4e95a8cf8bbf8b432b612a2aa328"/>
    <x v="107"/>
    <x v="4"/>
    <x v="2"/>
    <s v="cat"/>
    <s v="Unknow"/>
    <s v="Unknow"/>
    <s v="Unknow"/>
    <s v="reseller"/>
    <n v="0"/>
    <x v="0"/>
    <x v="0"/>
    <x v="0"/>
  </r>
  <r>
    <s v="1124225a47b3f07185073f3df3b449bf"/>
    <s v="faf3ee2764599d114d7e8f25d4c19845"/>
    <s v="9749123c950bf8363ace42cb1c2d0815"/>
    <s v="2695de1affa7750089c0455f8ce27021"/>
    <x v="108"/>
    <x v="12"/>
    <x v="2"/>
    <s v="wolf"/>
    <s v="Unknow"/>
    <s v="Unknow"/>
    <s v="Unknow"/>
    <s v="reseller"/>
    <n v="800"/>
    <x v="1"/>
    <x v="5"/>
    <x v="1"/>
  </r>
  <r>
    <s v="ac68bc93ecc07d7daec8ce924ca09b0c"/>
    <s v="6025c79c035c3d772133b8b8238463b2"/>
    <s v="b90f87164b5f8c2cfa5c8572834dbe3f"/>
    <s v="56bf83c4bb35763a51c2baab501b4c67"/>
    <x v="109"/>
    <x v="1"/>
    <x v="0"/>
    <s v="wolf"/>
    <s v="Unknow"/>
    <s v="Unknow"/>
    <s v="Unknow"/>
    <s v="reseller"/>
    <n v="0"/>
    <x v="0"/>
    <x v="3"/>
    <x v="0"/>
  </r>
  <r>
    <s v="cd46a0224c83d17b825ebc226df3479c"/>
    <s v="e1643dff33666ca629e3644c02738179"/>
    <s v="9e4d1098a3b0f5da39b0bc48f9876645"/>
    <s v="9ae085775a198122c5586fa830ff7f2b"/>
    <x v="110"/>
    <x v="6"/>
    <x v="4"/>
    <s v="eagle"/>
    <s v="Unknow"/>
    <s v="Unknow"/>
    <s v="Unknow"/>
    <s v="reseller"/>
    <n v="0"/>
    <x v="0"/>
    <x v="2"/>
    <x v="0"/>
  </r>
  <r>
    <s v="3cc3bc10218cf509ba24613cda41d940"/>
    <s v="cc63f0dd2acba93ffed4fe9f8e0321fa"/>
    <s v="0a0fb2b07d841f84fb6714e35c723075"/>
    <s v="9e4d1098a3b0f5da39b0bc48f9876645"/>
    <x v="9"/>
    <x v="22"/>
    <x v="6"/>
    <s v="eagle"/>
    <s v="Unknow"/>
    <s v="Unknow"/>
    <s v="Unknow"/>
    <s v="reseller"/>
    <n v="0"/>
    <x v="0"/>
    <x v="5"/>
    <x v="0"/>
  </r>
  <r>
    <s v="b223756da60ed5012d1d302bc9f50f6e"/>
    <s v="bb2afe2061d53c6968aa0cffa233a8ec"/>
    <s v="9e4d1098a3b0f5da39b0bc48f9876645"/>
    <s v="85fc447d336637ba1df43e793199fbc8"/>
    <x v="111"/>
    <x v="9"/>
    <x v="0"/>
    <s v="cat"/>
    <s v="Unknow"/>
    <s v="Unknow"/>
    <s v="Unknow"/>
    <s v="reseller"/>
    <n v="0"/>
    <x v="0"/>
    <x v="0"/>
    <x v="0"/>
  </r>
  <r>
    <s v="4144092976e61a9c32e1c7b205d85452"/>
    <s v="ba56ae8ab7eb61b0c3f064f9661eb15c"/>
    <s v="4b339f9567d060bcea4f5136b9f5949e"/>
    <s v="9ae085775a198122c5586fa830ff7f2b"/>
    <x v="112"/>
    <x v="24"/>
    <x v="0"/>
    <s v="Unknow"/>
    <s v="Unknow"/>
    <s v="Unknow"/>
    <s v="Unknow"/>
    <s v="manufacturer"/>
    <n v="0"/>
    <x v="0"/>
    <x v="0"/>
    <x v="0"/>
  </r>
  <r>
    <s v="b30be338efa14f74a40949dbafd02b57"/>
    <s v="c8cc60ffd415254af5d9b9f34f32c369"/>
    <s v="068066e24f0c643eb1d089c7dd20cd73"/>
    <s v="fbf4aef3f6915dc0c3c97d6812522f6a"/>
    <x v="113"/>
    <x v="0"/>
    <x v="0"/>
    <s v="cat"/>
    <s v="Unknow"/>
    <s v="Unknow"/>
    <s v="Unknow"/>
    <s v="reseller"/>
    <n v="0"/>
    <x v="0"/>
    <x v="5"/>
    <x v="0"/>
  </r>
  <r>
    <s v="7c68935a1dfb1fc8fb714797e7cbf805"/>
    <s v="6267923376872bb45a1c804aed0f1e73"/>
    <s v="56bf83c4bb35763a51c2baab501b4c67"/>
    <s v="c638112b43f1d1b86dcabb0da720c901"/>
    <x v="114"/>
    <x v="6"/>
    <x v="1"/>
    <s v="eagle"/>
    <s v="Unknow"/>
    <s v="Unknow"/>
    <s v="Unknow"/>
    <s v="manufacturer"/>
    <n v="0"/>
    <x v="0"/>
    <x v="3"/>
    <x v="0"/>
  </r>
  <r>
    <s v="8551ef0d517bfc756cb31e0477ac4adc"/>
    <s v="c1849d4d32d7a6cecd5aa471809d3135"/>
    <s v="b90f87164b5f8c2cfa5c8572834dbe3f"/>
    <s v="4ef15afb4b2723d8f3d81e51ec7afefe"/>
    <x v="115"/>
    <x v="17"/>
    <x v="4"/>
    <s v="cat"/>
    <s v="Unknow"/>
    <s v="Unknow"/>
    <s v="Unknow"/>
    <s v="manufacturer"/>
    <n v="0"/>
    <x v="0"/>
    <x v="2"/>
    <x v="0"/>
  </r>
  <r>
    <s v="fc0a87e43ede1f423412583293815598"/>
    <s v="90c523952c5622d268addb6d93a7212f"/>
    <s v="f42a2bd194f7802ab052a815c8de65b7"/>
    <s v="d3d1e91a157ea7f90548eef82f1955e3"/>
    <x v="116"/>
    <x v="19"/>
    <x v="6"/>
    <s v="cat"/>
    <b v="1"/>
    <b v="1"/>
    <s v="Unknow"/>
    <s v="reseller"/>
    <n v="5"/>
    <x v="0"/>
    <x v="1"/>
    <x v="0"/>
  </r>
  <r>
    <s v="57648ec099f2451be828fb2e27d8f46a"/>
    <s v="0ab97fdbae52ec0e877efdf9b310528e"/>
    <s v="370c9f455f93a9a96cbe9bea48e70033"/>
    <s v="4ef15afb4b2723d8f3d81e51ec7afefe"/>
    <x v="117"/>
    <x v="3"/>
    <x v="0"/>
    <s v="cat"/>
    <s v="Unknow"/>
    <s v="Unknow"/>
    <s v="Unknow"/>
    <s v="reseller"/>
    <n v="0"/>
    <x v="0"/>
    <x v="5"/>
    <x v="0"/>
  </r>
  <r>
    <s v="d768d7e09a6f9ff4146a1659635cf304"/>
    <s v="f233b575e585413f12fe2f847d922447"/>
    <s v="282f16e20d50cb18d05182e80f6b9dd6"/>
    <s v="d3d1e91a157ea7f90548eef82f1955e3"/>
    <x v="118"/>
    <x v="6"/>
    <x v="2"/>
    <s v="wolf"/>
    <b v="1"/>
    <b v="0"/>
    <s v="1-5"/>
    <s v="reseller"/>
    <n v="100"/>
    <x v="7"/>
    <x v="3"/>
    <x v="1"/>
  </r>
  <r>
    <s v="cdb36ea731ecf2d69881eaff7220b10e"/>
    <s v="7d2af2d0dc5a86742cda2e5da38c1ac7"/>
    <s v="9e4d1098a3b0f5da39b0bc48f9876645"/>
    <s v="c638112b43f1d1b86dcabb0da720c901"/>
    <x v="119"/>
    <x v="19"/>
    <x v="0"/>
    <s v="Unknow"/>
    <s v="Unknow"/>
    <s v="Unknow"/>
    <s v="Unknow"/>
    <s v="reseller"/>
    <n v="0"/>
    <x v="0"/>
    <x v="2"/>
    <x v="0"/>
  </r>
  <r>
    <s v="06bc22c1b089be523e97524b67084ca0"/>
    <s v="71729348559edea55a3e7a2bc2a2986d"/>
    <s v="4b339f9567d060bcea4f5136b9f5949e"/>
    <s v="fbf4aef3f6915dc0c3c97d6812522f6a"/>
    <x v="120"/>
    <x v="4"/>
    <x v="0"/>
    <s v="cat"/>
    <s v="Unknow"/>
    <s v="Unknow"/>
    <s v="Unknow"/>
    <s v="manufacturer"/>
    <n v="0"/>
    <x v="0"/>
    <x v="3"/>
    <x v="0"/>
  </r>
  <r>
    <s v="d6e0ddfc5b05597877a7d5036789a3a1"/>
    <s v="4125d9385a25e82d2f72d3a0fd55bc3f"/>
    <s v="a8387c01a09e99ce014107505b92388c"/>
    <s v="9e4d1098a3b0f5da39b0bc48f9876645"/>
    <x v="121"/>
    <x v="12"/>
    <x v="0"/>
    <s v="cat"/>
    <s v="Unknow"/>
    <s v="Unknow"/>
    <s v="Unknow"/>
    <s v="reseller"/>
    <n v="0"/>
    <x v="0"/>
    <x v="4"/>
    <x v="0"/>
  </r>
  <r>
    <s v="66744053f818d4032f5ba881340db020"/>
    <s v="5f5a58930c3c35f3b5af264f34fb8c85"/>
    <s v="4b339f9567d060bcea4f5136b9f5949e"/>
    <s v="495d4e95a8cf8bbf8b432b612a2aa328"/>
    <x v="122"/>
    <x v="26"/>
    <x v="0"/>
    <s v="wolf"/>
    <s v="Unknow"/>
    <s v="Unknow"/>
    <s v="Unknow"/>
    <s v="reseller"/>
    <n v="0"/>
    <x v="0"/>
    <x v="0"/>
    <x v="0"/>
  </r>
  <r>
    <s v="6dcca2f79e4a4672f7c91f58385b4582"/>
    <s v="94eead2f1cdacbf7ba5c5a0bdbe4cf1f"/>
    <s v="f42a2bd194f7802ab052a815c8de65b7"/>
    <s v="de63de0d10a6012430098db33c679b0b"/>
    <x v="123"/>
    <x v="6"/>
    <x v="4"/>
    <s v="wolf"/>
    <s v="Unknow"/>
    <s v="Unknow"/>
    <s v="Unknow"/>
    <s v="reseller"/>
    <n v="0"/>
    <x v="0"/>
    <x v="2"/>
    <x v="0"/>
  </r>
  <r>
    <s v="e73083572cc595460842f5090da94662"/>
    <s v="facd538cb53fa082bffaeee65521020a"/>
    <s v="370c9f455f93a9a96cbe9bea48e70033"/>
    <s v="34d40cdaf94010a1d05b0d6212f9e909"/>
    <x v="124"/>
    <x v="1"/>
    <x v="4"/>
    <s v="eagle"/>
    <s v="Unknow"/>
    <s v="Unknow"/>
    <s v="1-5"/>
    <s v="reseller"/>
    <n v="50"/>
    <x v="8"/>
    <x v="2"/>
    <x v="1"/>
  </r>
  <r>
    <s v="6fba9ab96aa12c4c9d01e74b66a74485"/>
    <s v="09c34a8e333be37851747c27525a4e53"/>
    <s v="9d12ef1a7eca3ec58c545c678af7869c"/>
    <s v="068066e24f0c643eb1d089c7dd20cd73"/>
    <x v="125"/>
    <x v="0"/>
    <x v="3"/>
    <s v="eagle"/>
    <s v="Unknow"/>
    <s v="Unknow"/>
    <s v="Unknow"/>
    <s v="reseller"/>
    <n v="0"/>
    <x v="0"/>
    <x v="0"/>
    <x v="0"/>
  </r>
  <r>
    <s v="fa027edbceb48e6657770c2985172201"/>
    <s v="8fbd63429be6d3e5e6d1a709b6464802"/>
    <s v="fdb16d3cbbeb5798f2f66c4096be026d"/>
    <s v="9ae085775a198122c5586fa830ff7f2b"/>
    <x v="126"/>
    <x v="1"/>
    <x v="1"/>
    <s v="Unknow"/>
    <s v="Unknow"/>
    <s v="Unknow"/>
    <s v="Unknow"/>
    <s v="reseller"/>
    <n v="0"/>
    <x v="0"/>
    <x v="0"/>
    <x v="0"/>
  </r>
  <r>
    <s v="83d5aac46c097426773520489cda201c"/>
    <s v="a28120fc27b206d3bc355b57040baf7a"/>
    <s v="a8387c01a09e99ce014107505b92388c"/>
    <s v="9e4d1098a3b0f5da39b0bc48f9876645"/>
    <x v="127"/>
    <x v="19"/>
    <x v="1"/>
    <s v="cat"/>
    <s v="Unknow"/>
    <s v="Unknow"/>
    <s v="Unknow"/>
    <s v="reseller"/>
    <n v="0"/>
    <x v="0"/>
    <x v="2"/>
    <x v="0"/>
  </r>
  <r>
    <s v="a562fd35af2738ce6d88f785ef4eb134"/>
    <s v="b16d3dadc47d4eb18be3d88bad0775ce"/>
    <s v="a8387c01a09e99ce014107505b92388c"/>
    <s v="fbf4aef3f6915dc0c3c97d6812522f6a"/>
    <x v="128"/>
    <x v="9"/>
    <x v="0"/>
    <s v="cat"/>
    <s v="Unknow"/>
    <s v="Unknow"/>
    <s v="Unknow"/>
    <s v="manufacturer"/>
    <n v="0"/>
    <x v="0"/>
    <x v="2"/>
    <x v="0"/>
  </r>
  <r>
    <s v="288ba9abad93ef50e6a76089ae84aab3"/>
    <s v="a8fee0ab6206634206f782c32e41a2a4"/>
    <s v="e7dff61b78bebffa71678e126ce669ad"/>
    <s v="4b339f9567d060bcea4f5136b9f5949e"/>
    <x v="129"/>
    <x v="4"/>
    <x v="0"/>
    <s v="cat"/>
    <b v="1"/>
    <b v="1"/>
    <s v="50-200"/>
    <s v="reseller"/>
    <n v="300"/>
    <x v="9"/>
    <x v="0"/>
    <x v="1"/>
  </r>
  <r>
    <s v="ab1417ecaf41d8fb741fade9be0b8ab1"/>
    <s v="dd5450b022b2d00a2145a66331e1aef6"/>
    <s v="9e4d1098a3b0f5da39b0bc48f9876645"/>
    <s v="495d4e95a8cf8bbf8b432b612a2aa328"/>
    <x v="130"/>
    <x v="6"/>
    <x v="0"/>
    <s v="wolf"/>
    <s v="Unknow"/>
    <s v="Unknow"/>
    <s v="Unknow"/>
    <s v="reseller"/>
    <n v="0"/>
    <x v="0"/>
    <x v="5"/>
    <x v="0"/>
  </r>
  <r>
    <s v="d6137197f40a5b7916e5e9cbbbab739e"/>
    <s v="f887581ec486ee8eec9ed933310848e0"/>
    <s v="09285259593c61296eef10c734121d5b"/>
    <s v="de63de0d10a6012430098db33c679b0b"/>
    <x v="131"/>
    <x v="1"/>
    <x v="0"/>
    <s v="cat"/>
    <s v="Unknow"/>
    <s v="Unknow"/>
    <s v="Unknow"/>
    <s v="reseller"/>
    <n v="0"/>
    <x v="0"/>
    <x v="0"/>
    <x v="0"/>
  </r>
  <r>
    <s v="bd0027406f48f714d12dc1de747133cf"/>
    <s v="f89e46b812b06f22508f89873565ce6c"/>
    <s v="56bf83c4bb35763a51c2baab501b4c67"/>
    <s v="56bf83c4bb35763a51c2baab501b4c67"/>
    <x v="132"/>
    <x v="11"/>
    <x v="4"/>
    <s v="Unknow"/>
    <s v="Unknow"/>
    <s v="Unknow"/>
    <s v="Unknow"/>
    <s v="reseller"/>
    <n v="0"/>
    <x v="0"/>
    <x v="0"/>
    <x v="0"/>
  </r>
  <r>
    <s v="9b6edcffd428da99ae60cc01049a8403"/>
    <s v="845e8036c3f7bf62099352f5ed910240"/>
    <s v="34d40cdaf94010a1d05b0d6212f9e909"/>
    <s v="4ef15afb4b2723d8f3d81e51ec7afefe"/>
    <x v="133"/>
    <x v="13"/>
    <x v="2"/>
    <s v="cat"/>
    <s v="Unknow"/>
    <s v="Unknow"/>
    <s v="Unknow"/>
    <s v="reseller"/>
    <n v="0"/>
    <x v="0"/>
    <x v="3"/>
    <x v="0"/>
  </r>
  <r>
    <s v="d6140c51d9f0507b9a747e63e335be7d"/>
    <s v="ce9d7ae0d0fe0a747bc46cf3f089cfaa"/>
    <s v="0a0fb2b07d841f84fb6714e35c723075"/>
    <s v="495d4e95a8cf8bbf8b432b612a2aa328"/>
    <x v="134"/>
    <x v="19"/>
    <x v="1"/>
    <s v="cat"/>
    <s v="Unknow"/>
    <s v="Unknow"/>
    <s v="Unknow"/>
    <s v="reseller"/>
    <n v="0"/>
    <x v="0"/>
    <x v="0"/>
    <x v="0"/>
  </r>
  <r>
    <s v="7f12bc8cffb170e083ea5c5296272b97"/>
    <s v="f049a72cf58fd31b11f8919cade515e7"/>
    <s v="4b339f9567d060bcea4f5136b9f5949e"/>
    <s v="2695de1affa7750089c0455f8ce27021"/>
    <x v="135"/>
    <x v="19"/>
    <x v="6"/>
    <s v="cat"/>
    <s v="Unknow"/>
    <s v="Unknow"/>
    <s v="Unknow"/>
    <s v="reseller"/>
    <n v="0"/>
    <x v="0"/>
    <x v="2"/>
    <x v="0"/>
  </r>
  <r>
    <s v="d9734d3817f40bb704b7cc4984ec39b0"/>
    <s v="117cfc326c6d50da67ca858ff5c0c852"/>
    <s v="4b339f9567d060bcea4f5136b9f5949e"/>
    <s v="d3d1e91a157ea7f90548eef82f1955e3"/>
    <x v="136"/>
    <x v="6"/>
    <x v="0"/>
    <s v="wolf"/>
    <s v="Unknow"/>
    <s v="Unknow"/>
    <s v="Unknow"/>
    <s v="reseller"/>
    <n v="0"/>
    <x v="0"/>
    <x v="0"/>
    <x v="0"/>
  </r>
  <r>
    <s v="8f24f9bb371471be344cdb6fbcd99688"/>
    <s v="c6d5704d1ed91beed0114bcd9d3367bb"/>
    <s v="de63de0d10a6012430098db33c679b0b"/>
    <s v="d3d1e91a157ea7f90548eef82f1955e3"/>
    <x v="137"/>
    <x v="12"/>
    <x v="6"/>
    <s v="Unknow"/>
    <s v="Unknow"/>
    <s v="Unknow"/>
    <s v="Unknow"/>
    <s v="manufacturer"/>
    <n v="0"/>
    <x v="0"/>
    <x v="0"/>
    <x v="0"/>
  </r>
  <r>
    <s v="1bd7d4eac464cde6f86349cbe0d61385"/>
    <s v="049197f741ca0cde891420fc72fba3e5"/>
    <s v="56bf83c4bb35763a51c2baab501b4c67"/>
    <s v="2695de1affa7750089c0455f8ce27021"/>
    <x v="138"/>
    <x v="0"/>
    <x v="4"/>
    <s v="cat"/>
    <s v="Unknow"/>
    <s v="Unknow"/>
    <s v="Unknow"/>
    <s v="reseller"/>
    <n v="0"/>
    <x v="0"/>
    <x v="0"/>
    <x v="0"/>
  </r>
  <r>
    <s v="a85d745228d0257adc11fd790a31cee5"/>
    <s v="116e5ef667d05e59c8b95acd02670ff3"/>
    <s v="fdb16d3cbbeb5798f2f66c4096be026d"/>
    <s v="4ef15afb4b2723d8f3d81e51ec7afefe"/>
    <x v="139"/>
    <x v="4"/>
    <x v="3"/>
    <s v="cat"/>
    <s v="Unknow"/>
    <s v="Unknow"/>
    <s v="Unknow"/>
    <s v="reseller"/>
    <n v="0"/>
    <x v="0"/>
    <x v="5"/>
    <x v="0"/>
  </r>
  <r>
    <s v="bc18cd01dacdd62719e6b4d59248c5e1"/>
    <s v="f1fdf2d13186575751aa25876536d85c"/>
    <s v="9e4d1098a3b0f5da39b0bc48f9876645"/>
    <s v="2695de1affa7750089c0455f8ce27021"/>
    <x v="140"/>
    <x v="9"/>
    <x v="2"/>
    <s v="eagle"/>
    <s v="Unknow"/>
    <s v="Unknow"/>
    <s v="Unknow"/>
    <s v="reseller"/>
    <n v="0"/>
    <x v="0"/>
    <x v="0"/>
    <x v="0"/>
  </r>
  <r>
    <s v="d1d35acfd20d413bbda1eae8e208f0b5"/>
    <s v="b64d51f0435e884e8de603b1655155ae"/>
    <s v="068066e24f0c643eb1d089c7dd20cd73"/>
    <s v="9ae085775a198122c5586fa830ff7f2b"/>
    <x v="141"/>
    <x v="6"/>
    <x v="0"/>
    <s v="Unknow"/>
    <s v="Unknow"/>
    <s v="Unknow"/>
    <s v="Unknow"/>
    <s v="reseller"/>
    <n v="0"/>
    <x v="0"/>
    <x v="2"/>
    <x v="0"/>
  </r>
  <r>
    <s v="48a8b46e7ea342b913b50c7087f78162"/>
    <s v="56e361f411e38dcef17cdc2a3d99628b"/>
    <s v="9d12ef1a7eca3ec58c545c678af7869c"/>
    <s v="4ef15afb4b2723d8f3d81e51ec7afefe"/>
    <x v="142"/>
    <x v="19"/>
    <x v="1"/>
    <s v="cat"/>
    <s v="Unknow"/>
    <s v="Unknow"/>
    <s v="Unknow"/>
    <s v="manufacturer"/>
    <n v="0"/>
    <x v="0"/>
    <x v="0"/>
    <x v="0"/>
  </r>
  <r>
    <s v="30c5ba4650eee4a5550cdfa16fb4f195"/>
    <s v="cac876b37d3abcd6bd76caca30277996"/>
    <s v="de63de0d10a6012430098db33c679b0b"/>
    <s v="d3d1e91a157ea7f90548eef82f1955e3"/>
    <x v="143"/>
    <x v="12"/>
    <x v="2"/>
    <s v="Unknow"/>
    <s v="Unknow"/>
    <s v="Unknow"/>
    <s v="Unknow"/>
    <s v="reseller"/>
    <n v="0"/>
    <x v="0"/>
    <x v="2"/>
    <x v="0"/>
  </r>
  <r>
    <s v="60a7799873854c9ccd549ec39c8efddf"/>
    <s v="a414555ce331b8c8aea4a9cb8395194d"/>
    <s v="4b339f9567d060bcea4f5136b9f5949e"/>
    <s v="2695de1affa7750089c0455f8ce27021"/>
    <x v="144"/>
    <x v="2"/>
    <x v="0"/>
    <s v="Unknow"/>
    <s v="Unknow"/>
    <s v="Unknow"/>
    <s v="Unknow"/>
    <s v="reseller"/>
    <n v="0"/>
    <x v="0"/>
    <x v="0"/>
    <x v="0"/>
  </r>
  <r>
    <s v="428a96d781ccb96d757bbf82f8242d95"/>
    <s v="c54679b132454625907c773d273d4126"/>
    <s v="068066e24f0c643eb1d089c7dd20cd73"/>
    <s v="4ef15afb4b2723d8f3d81e51ec7afefe"/>
    <x v="145"/>
    <x v="4"/>
    <x v="0"/>
    <s v="Unknow"/>
    <s v="Unknow"/>
    <s v="Unknow"/>
    <s v="Unknow"/>
    <s v="manufacturer"/>
    <n v="0"/>
    <x v="0"/>
    <x v="2"/>
    <x v="0"/>
  </r>
  <r>
    <s v="21c55cb2ff8f7ce34b89f7cc8cf71d9f"/>
    <s v="4a82168aaef173cbb6e46ae88728f919"/>
    <s v="9d12ef1a7eca3ec58c545c678af7869c"/>
    <s v="a8387c01a09e99ce014107505b92388c"/>
    <x v="146"/>
    <x v="4"/>
    <x v="2"/>
    <s v="wolf"/>
    <s v="Unknow"/>
    <s v="Unknow"/>
    <s v="Unknow"/>
    <s v="reseller"/>
    <n v="0"/>
    <x v="0"/>
    <x v="2"/>
    <x v="0"/>
  </r>
  <r>
    <s v="4952d2ac78b534c78d7a21c60a236e4c"/>
    <s v="41b9c7bfadf5f42b93b7bfbae1b84494"/>
    <s v="56bf83c4bb35763a51c2baab501b4c67"/>
    <s v="fbf4aef3f6915dc0c3c97d6812522f6a"/>
    <x v="147"/>
    <x v="19"/>
    <x v="3"/>
    <s v="Unknow"/>
    <s v="Unknow"/>
    <s v="Unknow"/>
    <s v="Unknow"/>
    <s v="reseller"/>
    <n v="0"/>
    <x v="0"/>
    <x v="3"/>
    <x v="0"/>
  </r>
  <r>
    <s v="d90b1c32b55f731e8a2072bfad782fdd"/>
    <s v="d8d9567d0bfb0bc7eb845a205ba42657"/>
    <s v="4b339f9567d060bcea4f5136b9f5949e"/>
    <s v="d3d1e91a157ea7f90548eef82f1955e3"/>
    <x v="148"/>
    <x v="24"/>
    <x v="0"/>
    <s v="wolf"/>
    <s v="Unknow"/>
    <s v="Unknow"/>
    <s v="Unknow"/>
    <s v="reseller"/>
    <n v="0"/>
    <x v="0"/>
    <x v="2"/>
    <x v="0"/>
  </r>
  <r>
    <s v="6dfdc6a7e91f5d20a16c956c33974ca5"/>
    <s v="3ab971ce71839580d2ae5b4e40fe8044"/>
    <s v="a8387c01a09e99ce014107505b92388c"/>
    <s v="2695de1affa7750089c0455f8ce27021"/>
    <x v="149"/>
    <x v="12"/>
    <x v="2"/>
    <s v="cat"/>
    <s v="Unknow"/>
    <s v="Unknow"/>
    <s v="Unknow"/>
    <s v="reseller"/>
    <n v="0"/>
    <x v="0"/>
    <x v="0"/>
    <x v="0"/>
  </r>
  <r>
    <s v="ffdd99e05df27c02a2fb1669d49e0c76"/>
    <s v="02f623a8eb246f3c5f7c2f96462654e6"/>
    <s v="370c9f455f93a9a96cbe9bea48e70033"/>
    <s v="56bf83c4bb35763a51c2baab501b4c67"/>
    <x v="150"/>
    <x v="9"/>
    <x v="0"/>
    <s v="eagle"/>
    <s v="Unknow"/>
    <s v="Unknow"/>
    <s v="Unknow"/>
    <s v="reseller"/>
    <n v="0"/>
    <x v="0"/>
    <x v="0"/>
    <x v="0"/>
  </r>
  <r>
    <s v="e73b38ff519142fdc3723ddf4a3a5825"/>
    <s v="11a559e252a8d167a8ccea7abcf357f3"/>
    <s v="fdb16d3cbbeb5798f2f66c4096be026d"/>
    <s v="fbf4aef3f6915dc0c3c97d6812522f6a"/>
    <x v="151"/>
    <x v="7"/>
    <x v="0"/>
    <s v="Unknow"/>
    <s v="Unknow"/>
    <s v="Unknow"/>
    <s v="Unknow"/>
    <s v="manufacturer"/>
    <n v="0"/>
    <x v="0"/>
    <x v="3"/>
    <x v="0"/>
  </r>
  <r>
    <s v="eea8870139b7780b13870d4299006da2"/>
    <s v="cec13d4723ba59aae2a6663b99129a49"/>
    <s v="09285259593c61296eef10c734121d5b"/>
    <s v="6565aa9ce3178a5caf6171827af3a9ba"/>
    <x v="152"/>
    <x v="1"/>
    <x v="0"/>
    <s v="cat"/>
    <s v="Unknow"/>
    <s v="Unknow"/>
    <s v="Unknow"/>
    <s v="reseller"/>
    <n v="0"/>
    <x v="0"/>
    <x v="0"/>
    <x v="0"/>
  </r>
  <r>
    <s v="271a299f0893b2173e77162c5c768b89"/>
    <s v="0ca9bd8db4679bc89692acdfcd96b6c4"/>
    <s v="4b339f9567d060bcea4f5136b9f5949e"/>
    <s v="de63de0d10a6012430098db33c679b0b"/>
    <x v="153"/>
    <x v="4"/>
    <x v="2"/>
    <s v="cat"/>
    <s v="Unknow"/>
    <s v="Unknow"/>
    <s v="Unknow"/>
    <s v="reseller"/>
    <n v="0"/>
    <x v="0"/>
    <x v="2"/>
    <x v="0"/>
  </r>
  <r>
    <s v="1b061b1cec6b5898e5326992d9461610"/>
    <s v="351cc0833086e30c04f3b0a15dbc3e93"/>
    <s v="9d12ef1a7eca3ec58c545c678af7869c"/>
    <s v="de63de0d10a6012430098db33c679b0b"/>
    <x v="154"/>
    <x v="6"/>
    <x v="2"/>
    <s v="cat"/>
    <s v="Unknow"/>
    <s v="Unknow"/>
    <s v="5-20"/>
    <s v="reseller"/>
    <n v="1000"/>
    <x v="0"/>
    <x v="0"/>
    <x v="0"/>
  </r>
  <r>
    <s v="c028b7dd285d13e19ff7a4cabf8bf700"/>
    <s v="6aa3928696eab49a19a466e665a649fd"/>
    <s v="068066e24f0c643eb1d089c7dd20cd73"/>
    <s v="9ae085775a198122c5586fa830ff7f2b"/>
    <x v="155"/>
    <x v="4"/>
    <x v="0"/>
    <s v="Unknow"/>
    <s v="Unknow"/>
    <s v="Unknow"/>
    <s v="Unknow"/>
    <s v="reseller"/>
    <n v="0"/>
    <x v="0"/>
    <x v="3"/>
    <x v="0"/>
  </r>
  <r>
    <s v="90513943523077ad07582e989457ccec"/>
    <s v="539ed9e19811677513447759be5eccfc"/>
    <s v="34d40cdaf94010a1d05b0d6212f9e909"/>
    <s v="068066e24f0c643eb1d089c7dd20cd73"/>
    <x v="156"/>
    <x v="12"/>
    <x v="1"/>
    <s v="cat"/>
    <s v="Unknow"/>
    <s v="Unknow"/>
    <s v="Unknow"/>
    <s v="reseller"/>
    <n v="0"/>
    <x v="0"/>
    <x v="0"/>
    <x v="0"/>
  </r>
  <r>
    <s v="080cc5a4ec71a747e260e274bdb13b64"/>
    <s v="d7827b2af99326a03b0ed9c7a24db0d3"/>
    <s v="9e4d1098a3b0f5da39b0bc48f9876645"/>
    <s v="6565aa9ce3178a5caf6171827af3a9ba"/>
    <x v="157"/>
    <x v="7"/>
    <x v="2"/>
    <s v="cat"/>
    <s v="Unknow"/>
    <s v="Unknow"/>
    <s v="Unknow"/>
    <s v="reseller"/>
    <n v="0"/>
    <x v="0"/>
    <x v="2"/>
    <x v="0"/>
  </r>
  <r>
    <s v="3f2a136272ab1bc4ee09e0695becffd1"/>
    <s v="6c6d00f0561125a66cffac53cfe3f913"/>
    <s v="f42a2bd194f7802ab052a815c8de65b7"/>
    <s v="85fc447d336637ba1df43e793199fbc8"/>
    <x v="158"/>
    <x v="3"/>
    <x v="6"/>
    <s v="wolf"/>
    <s v="Unknow"/>
    <s v="Unknow"/>
    <s v="Unknow"/>
    <s v="manufacturer"/>
    <n v="0"/>
    <x v="0"/>
    <x v="5"/>
    <x v="0"/>
  </r>
  <r>
    <s v="a4fa73f413400524fef474c93faa5e02"/>
    <s v="bd4431c1a8dfa744b59e1e2a8bc99b9e"/>
    <s v="56bf83c4bb35763a51c2baab501b4c67"/>
    <s v="495d4e95a8cf8bbf8b432b612a2aa328"/>
    <x v="159"/>
    <x v="4"/>
    <x v="4"/>
    <s v="Unknow"/>
    <s v="Unknow"/>
    <s v="Unknow"/>
    <s v="Unknow"/>
    <s v="reseller"/>
    <n v="0"/>
    <x v="0"/>
    <x v="2"/>
    <x v="0"/>
  </r>
  <r>
    <s v="bd503b6e91ef50d1c4c169476158e8eb"/>
    <s v="4a1917ef994878940e1fb03eeb787ad7"/>
    <s v="9d12ef1a7eca3ec58c545c678af7869c"/>
    <s v="4ef15afb4b2723d8f3d81e51ec7afefe"/>
    <x v="160"/>
    <x v="27"/>
    <x v="1"/>
    <s v="eagle"/>
    <s v="Unknow"/>
    <s v="Unknow"/>
    <s v="Unknow"/>
    <s v="reseller"/>
    <n v="0"/>
    <x v="0"/>
    <x v="5"/>
    <x v="0"/>
  </r>
  <r>
    <s v="f6127362ba4727c54d742b7ab1ae7c1c"/>
    <s v="c0aff2da32c17759d30b22fb0af6649d"/>
    <s v="4b339f9567d060bcea4f5136b9f5949e"/>
    <s v="6565aa9ce3178a5caf6171827af3a9ba"/>
    <x v="161"/>
    <x v="23"/>
    <x v="0"/>
    <s v="wolf"/>
    <s v="Unknow"/>
    <s v="Unknow"/>
    <s v="Unknow"/>
    <s v="reseller"/>
    <n v="0"/>
    <x v="0"/>
    <x v="2"/>
    <x v="0"/>
  </r>
  <r>
    <s v="2448225d3dfa0dc52632c746aa76b66e"/>
    <s v="cb6c9f5888a7a090c75beaf615925792"/>
    <s v="a8387c01a09e99ce014107505b92388c"/>
    <s v="4ef15afb4b2723d8f3d81e51ec7afefe"/>
    <x v="162"/>
    <x v="7"/>
    <x v="0"/>
    <s v="eagle"/>
    <s v="Unknow"/>
    <s v="Unknow"/>
    <s v="Unknow"/>
    <s v="reseller"/>
    <n v="0"/>
    <x v="0"/>
    <x v="3"/>
    <x v="0"/>
  </r>
  <r>
    <s v="f49a02e0f135ae9f2bcf60f55bcd0174"/>
    <s v="f212a20c700f5a7c3d4de5ef38e02c42"/>
    <s v="370c9f455f93a9a96cbe9bea48e70033"/>
    <s v="d3d1e91a157ea7f90548eef82f1955e3"/>
    <x v="163"/>
    <x v="19"/>
    <x v="0"/>
    <s v="cat"/>
    <b v="1"/>
    <b v="1"/>
    <s v="50-200"/>
    <s v="reseller"/>
    <n v="0"/>
    <x v="0"/>
    <x v="0"/>
    <x v="0"/>
  </r>
  <r>
    <s v="c36d210f50e7ef3103da68ab61efd093"/>
    <s v="59cea8e446d3834393058e7e0666b6fb"/>
    <s v="9d12ef1a7eca3ec58c545c678af7869c"/>
    <s v="d3d1e91a157ea7f90548eef82f1955e3"/>
    <x v="164"/>
    <x v="18"/>
    <x v="2"/>
    <s v="eagle"/>
    <s v="Unknow"/>
    <s v="Unknow"/>
    <s v="Unknow"/>
    <s v="reseller"/>
    <n v="0"/>
    <x v="0"/>
    <x v="3"/>
    <x v="0"/>
  </r>
  <r>
    <s v="384b5bdbe32117213b87f8f5e0604be4"/>
    <s v="2cb98e27ce1c18abdb42209b34c382a7"/>
    <s v="a8387c01a09e99ce014107505b92388c"/>
    <s v="9ae085775a198122c5586fa830ff7f2b"/>
    <x v="165"/>
    <x v="1"/>
    <x v="6"/>
    <s v="cat"/>
    <s v="Unknow"/>
    <s v="Unknow"/>
    <s v="Unknow"/>
    <s v="reseller"/>
    <n v="0"/>
    <x v="0"/>
    <x v="3"/>
    <x v="0"/>
  </r>
  <r>
    <s v="6c465ed53d17739467c95fe414d8e056"/>
    <s v="3289d8c3eef4873f91ce0b1343c0dd58"/>
    <s v="a8387c01a09e99ce014107505b92388c"/>
    <s v="4ef15afb4b2723d8f3d81e51ec7afefe"/>
    <x v="166"/>
    <x v="9"/>
    <x v="3"/>
    <s v="cat"/>
    <s v="Unknow"/>
    <s v="Unknow"/>
    <s v="Unknow"/>
    <s v="manufacturer"/>
    <n v="0"/>
    <x v="0"/>
    <x v="1"/>
    <x v="0"/>
  </r>
  <r>
    <s v="f74b25a7dc1504cf5a3b964a990266ff"/>
    <s v="55c26bcb609f480eb7868594245febb5"/>
    <s v="56bf83c4bb35763a51c2baab501b4c67"/>
    <s v="d3d1e91a157ea7f90548eef82f1955e3"/>
    <x v="167"/>
    <x v="25"/>
    <x v="2"/>
    <s v="cat"/>
    <s v="Unknow"/>
    <s v="Unknow"/>
    <s v="Unknow"/>
    <s v="reseller"/>
    <n v="0"/>
    <x v="0"/>
    <x v="0"/>
    <x v="0"/>
  </r>
  <r>
    <s v="57e65b6fc1f2e47c402deeee25bba1aa"/>
    <s v="5c3460cd3e8a984382ae254e7dd20d9f"/>
    <s v="f6c6ab65a1c732f154b371401448be6d"/>
    <s v="495d4e95a8cf8bbf8b432b612a2aa328"/>
    <x v="168"/>
    <x v="25"/>
    <x v="3"/>
    <s v="Unknow"/>
    <s v="Unknow"/>
    <s v="Unknow"/>
    <s v="Unknow"/>
    <s v="reseller"/>
    <n v="0"/>
    <x v="0"/>
    <x v="5"/>
    <x v="0"/>
  </r>
  <r>
    <s v="107fce5988735e531cae0da812db9a62"/>
    <s v="e979bb42fb660609fe056a6bea03761f"/>
    <s v="09285259593c61296eef10c734121d5b"/>
    <s v="d3d1e91a157ea7f90548eef82f1955e3"/>
    <x v="169"/>
    <x v="16"/>
    <x v="3"/>
    <s v="cat"/>
    <s v="Unknow"/>
    <s v="Unknow"/>
    <s v="Unknow"/>
    <s v="reseller"/>
    <n v="0"/>
    <x v="0"/>
    <x v="8"/>
    <x v="0"/>
  </r>
  <r>
    <s v="e903c166f2335f821f495e4419b4821b"/>
    <s v="bcafb8538edd43b166274b25c60b7458"/>
    <s v="34d40cdaf94010a1d05b0d6212f9e909"/>
    <s v="495d4e95a8cf8bbf8b432b612a2aa328"/>
    <x v="170"/>
    <x v="19"/>
    <x v="2"/>
    <s v="cat"/>
    <s v="Unknow"/>
    <s v="Unknow"/>
    <s v="Unknow"/>
    <s v="reseller"/>
    <n v="0"/>
    <x v="0"/>
    <x v="0"/>
    <x v="0"/>
  </r>
  <r>
    <s v="e430deb739cc669ad740c421931bc8f8"/>
    <s v="0e72c1a751b496722a6cb1f10653b62a"/>
    <s v="4b339f9567d060bcea4f5136b9f5949e"/>
    <s v="c638112b43f1d1b86dcabb0da720c901"/>
    <x v="171"/>
    <x v="24"/>
    <x v="1"/>
    <s v="wolf"/>
    <s v="Unknow"/>
    <s v="Unknow"/>
    <s v="Unknow"/>
    <s v="reseller"/>
    <n v="0"/>
    <x v="0"/>
    <x v="4"/>
    <x v="0"/>
  </r>
  <r>
    <s v="2b736f73615495dbfc8c911ef6378747"/>
    <s v="abcb0f101902cd0ca5bfddc35ddab560"/>
    <s v="9d12ef1a7eca3ec58c545c678af7869c"/>
    <s v="068066e24f0c643eb1d089c7dd20cd73"/>
    <x v="172"/>
    <x v="12"/>
    <x v="0"/>
    <s v="Unknow"/>
    <s v="Unknow"/>
    <s v="Unknow"/>
    <s v="Unknow"/>
    <s v="manufacturer"/>
    <n v="0"/>
    <x v="0"/>
    <x v="1"/>
    <x v="0"/>
  </r>
  <r>
    <s v="cd9e8a4a222eb86428130d42fc684ca5"/>
    <s v="ae7ab174effdead6c241e547e4ca13f0"/>
    <s v="4b339f9567d060bcea4f5136b9f5949e"/>
    <s v="6565aa9ce3178a5caf6171827af3a9ba"/>
    <x v="173"/>
    <x v="6"/>
    <x v="0"/>
    <s v="cat"/>
    <s v="Unknow"/>
    <s v="Unknow"/>
    <s v="Unknow"/>
    <s v="manufacturer"/>
    <n v="0"/>
    <x v="0"/>
    <x v="0"/>
    <x v="0"/>
  </r>
  <r>
    <s v="d8de81eff6dfe582a05bc6981879f01a"/>
    <s v="f85612e1b253b37d88329fdc16e8f32f"/>
    <s v="9d12ef1a7eca3ec58c545c678af7869c"/>
    <s v="495d4e95a8cf8bbf8b432b612a2aa328"/>
    <x v="174"/>
    <x v="0"/>
    <x v="2"/>
    <s v="cat"/>
    <s v="Unknow"/>
    <s v="Unknow"/>
    <s v="Unknow"/>
    <s v="reseller"/>
    <n v="0"/>
    <x v="0"/>
    <x v="3"/>
    <x v="0"/>
  </r>
  <r>
    <s v="aadd608980d2f5f7ee3942cc912eef00"/>
    <s v="1d953075c2f0dd990bacf27b83b330f1"/>
    <s v="4b339f9567d060bcea4f5136b9f5949e"/>
    <s v="4ef15afb4b2723d8f3d81e51ec7afefe"/>
    <x v="175"/>
    <x v="5"/>
    <x v="0"/>
    <s v="cat, wolf"/>
    <s v="Unknow"/>
    <s v="Unknow"/>
    <s v="Unknow"/>
    <s v="reseller"/>
    <n v="0"/>
    <x v="0"/>
    <x v="0"/>
    <x v="0"/>
  </r>
  <r>
    <s v="d88a45e680327e0b22a34020d8f78252"/>
    <s v="9261d76c62caaf0b24677c2ceb7f8f20"/>
    <s v="0a0fb2b07d841f84fb6714e35c723075"/>
    <s v="de63de0d10a6012430098db33c679b0b"/>
    <x v="176"/>
    <x v="6"/>
    <x v="1"/>
    <s v="cat"/>
    <s v="Unknow"/>
    <s v="Unknow"/>
    <s v="Unknow"/>
    <s v="reseller"/>
    <n v="0"/>
    <x v="0"/>
    <x v="3"/>
    <x v="0"/>
  </r>
  <r>
    <s v="a552e1db6a1c7dbac243c72a8d3140bb"/>
    <s v="def312fb44a52de894acf688498ce1fc"/>
    <s v="56bf83c4bb35763a51c2baab501b4c67"/>
    <s v="9ae085775a198122c5586fa830ff7f2b"/>
    <x v="177"/>
    <x v="12"/>
    <x v="0"/>
    <s v="Unknow"/>
    <s v="Unknow"/>
    <s v="Unknow"/>
    <s v="Unknow"/>
    <s v="manufacturer"/>
    <n v="0"/>
    <x v="0"/>
    <x v="0"/>
    <x v="0"/>
  </r>
  <r>
    <s v="e2e57ded5b59a2058dd5855564c6b5ea"/>
    <s v="160851d3ece7aa1a510f8d1a4bb8a8af"/>
    <s v="b90f87164b5f8c2cfa5c8572834dbe3f"/>
    <s v="4b339f9567d060bcea4f5136b9f5949e"/>
    <x v="178"/>
    <x v="7"/>
    <x v="1"/>
    <s v="cat"/>
    <b v="1"/>
    <b v="1"/>
    <s v="200+"/>
    <s v="manufacturer"/>
    <n v="0"/>
    <x v="0"/>
    <x v="3"/>
    <x v="0"/>
  </r>
  <r>
    <s v="098d6dd896e6740f88282b48495d47ef"/>
    <s v="c004e5ea15737026cecaee0447e00b75"/>
    <s v="9e4d1098a3b0f5da39b0bc48f9876645"/>
    <s v="85fc447d336637ba1df43e793199fbc8"/>
    <x v="179"/>
    <x v="7"/>
    <x v="4"/>
    <s v="shark"/>
    <s v="Unknow"/>
    <s v="Unknow"/>
    <s v="Unknow"/>
    <s v="reseller"/>
    <n v="0"/>
    <x v="0"/>
    <x v="2"/>
    <x v="0"/>
  </r>
  <r>
    <s v="d0b16c2b9e945575082a7e81f6f933b0"/>
    <s v="7ff588a03c2aeae4fbd23f9ae64b760d"/>
    <s v="370c9f455f93a9a96cbe9bea48e70033"/>
    <s v="de63de0d10a6012430098db33c679b0b"/>
    <x v="180"/>
    <x v="1"/>
    <x v="2"/>
    <s v="cat"/>
    <s v="Unknow"/>
    <s v="Unknow"/>
    <s v="Unknow"/>
    <s v="reseller"/>
    <n v="0"/>
    <x v="0"/>
    <x v="2"/>
    <x v="0"/>
  </r>
  <r>
    <s v="512182619d12ae0863827b7e5ab97f19"/>
    <s v="880ce4951cf857ab1d9e0b75c1d856f4"/>
    <s v="de63de0d10a6012430098db33c679b0b"/>
    <s v="9ae085775a198122c5586fa830ff7f2b"/>
    <x v="181"/>
    <x v="1"/>
    <x v="1"/>
    <s v="Unknow"/>
    <s v="Unknow"/>
    <s v="Unknow"/>
    <s v="Unknow"/>
    <s v="reseller"/>
    <n v="0"/>
    <x v="0"/>
    <x v="0"/>
    <x v="0"/>
  </r>
  <r>
    <s v="0951c34dc17cf35be31bb59fa96435df"/>
    <s v="9e6967d3cf386d284251784b18ccb485"/>
    <s v="a8387c01a09e99ce014107505b92388c"/>
    <s v="56bf83c4bb35763a51c2baab501b4c67"/>
    <x v="182"/>
    <x v="7"/>
    <x v="2"/>
    <s v="cat"/>
    <s v="Unknow"/>
    <s v="Unknow"/>
    <s v="Unknow"/>
    <s v="reseller"/>
    <n v="0"/>
    <x v="0"/>
    <x v="0"/>
    <x v="0"/>
  </r>
  <r>
    <s v="8292c2c5afbab7549123a2640e22044a"/>
    <s v="e9c2dc0dd4ac38448289be644ac94f42"/>
    <s v="0a0fb2b07d841f84fb6714e35c723075"/>
    <s v="de63de0d10a6012430098db33c679b0b"/>
    <x v="183"/>
    <x v="9"/>
    <x v="0"/>
    <s v="shark"/>
    <s v="Unknow"/>
    <s v="Unknow"/>
    <s v="Unknow"/>
    <s v="reseller"/>
    <n v="0"/>
    <x v="0"/>
    <x v="4"/>
    <x v="0"/>
  </r>
  <r>
    <s v="7270ec1d67725ee992193adf9e9f2637"/>
    <s v="964ff64dc05b13811c6d0f41e0aa5f6b"/>
    <s v="4b339f9567d060bcea4f5136b9f5949e"/>
    <s v="85fc447d336637ba1df43e793199fbc8"/>
    <x v="184"/>
    <x v="12"/>
    <x v="2"/>
    <s v="shark"/>
    <s v="Unknow"/>
    <s v="Unknow"/>
    <s v="Unknow"/>
    <s v="manufacturer"/>
    <n v="0"/>
    <x v="0"/>
    <x v="3"/>
    <x v="0"/>
  </r>
  <r>
    <s v="a93dc621a446eb77129989e557dd50d0"/>
    <s v="ec5b3cd9d6bf0a880edfda73562a7cea"/>
    <s v="9d12ef1a7eca3ec58c545c678af7869c"/>
    <s v="2695de1affa7750089c0455f8ce27021"/>
    <x v="185"/>
    <x v="28"/>
    <x v="1"/>
    <s v="Unknow"/>
    <s v="Unknow"/>
    <s v="Unknow"/>
    <s v="Unknow"/>
    <s v="reseller"/>
    <n v="0"/>
    <x v="0"/>
    <x v="3"/>
    <x v="0"/>
  </r>
  <r>
    <s v="e911087c91c63c9d3e7ee83e372d10f7"/>
    <s v="1997c740529040d6a2244d2e818acb50"/>
    <s v="4b339f9567d060bcea4f5136b9f5949e"/>
    <s v="9ae085775a198122c5586fa830ff7f2b"/>
    <x v="186"/>
    <x v="19"/>
    <x v="2"/>
    <s v="wolf"/>
    <s v="Unknow"/>
    <s v="Unknow"/>
    <s v="Unknow"/>
    <s v="reseller"/>
    <n v="0"/>
    <x v="0"/>
    <x v="5"/>
    <x v="0"/>
  </r>
  <r>
    <s v="6a10f542e6f79265c34a405dbc928e37"/>
    <s v="6fcc97197c64771f3c18aea3aa9d3913"/>
    <s v="2b63542749aa9caf15f21816da1db341"/>
    <s v="4ef15afb4b2723d8f3d81e51ec7afefe"/>
    <x v="187"/>
    <x v="7"/>
    <x v="1"/>
    <s v="cat"/>
    <s v="Unknow"/>
    <s v="Unknow"/>
    <s v="Unknow"/>
    <s v="manufacturer"/>
    <n v="10"/>
    <x v="10"/>
    <x v="0"/>
    <x v="1"/>
  </r>
  <r>
    <s v="4de20dd98d2ca78fd643bdc4f0a6359b"/>
    <s v="1cbdc7cf130a41fd13a3c2a7d2fcfda7"/>
    <s v="9e4d1098a3b0f5da39b0bc48f9876645"/>
    <s v="6565aa9ce3178a5caf6171827af3a9ba"/>
    <x v="188"/>
    <x v="13"/>
    <x v="4"/>
    <s v="eagle"/>
    <s v="Unknow"/>
    <s v="Unknow"/>
    <s v="Unknow"/>
    <s v="reseller"/>
    <n v="0"/>
    <x v="0"/>
    <x v="3"/>
    <x v="0"/>
  </r>
  <r>
    <s v="4a907eba6a8d0223e39ee7d45672e26b"/>
    <s v="75fe775fe1a7ad296e77ea7e66b35ac3"/>
    <s v="9d12ef1a7eca3ec58c545c678af7869c"/>
    <s v="56bf83c4bb35763a51c2baab501b4c67"/>
    <x v="189"/>
    <x v="12"/>
    <x v="4"/>
    <s v="cat"/>
    <s v="Unknow"/>
    <s v="Unknow"/>
    <s v="Unknow"/>
    <s v="reseller"/>
    <n v="0"/>
    <x v="0"/>
    <x v="0"/>
    <x v="0"/>
  </r>
  <r>
    <s v="1e8e96e5a2857a7645534e99f20928b7"/>
    <s v="9e545d0501bd685bba148d9f631093f1"/>
    <s v="de63de0d10a6012430098db33c679b0b"/>
    <s v="060c0a26f19f4d66b42e0d8796688490"/>
    <x v="190"/>
    <x v="7"/>
    <x v="2"/>
    <s v="Unknow"/>
    <s v="Unknow"/>
    <s v="Unknow"/>
    <s v="Unknow"/>
    <s v="reseller"/>
    <n v="0"/>
    <x v="0"/>
    <x v="4"/>
    <x v="0"/>
  </r>
  <r>
    <s v="8cfebc3e119ed2fe0dd172eb59b0a595"/>
    <s v="40105cb0aec41563d24ccc7b90ae7083"/>
    <s v="370c9f455f93a9a96cbe9bea48e70033"/>
    <s v="85fc447d336637ba1df43e793199fbc8"/>
    <x v="191"/>
    <x v="12"/>
    <x v="1"/>
    <s v="cat"/>
    <b v="1"/>
    <b v="1"/>
    <s v="200+"/>
    <s v="manufacturer"/>
    <n v="40"/>
    <x v="1"/>
    <x v="2"/>
    <x v="1"/>
  </r>
  <r>
    <s v="bf3e0df27b04abb4c107ab4df9955b29"/>
    <s v="b1116e9a35b2fa91eb4a0af8e73cdc3a"/>
    <s v="9d12ef1a7eca3ec58c545c678af7869c"/>
    <s v="d3d1e91a157ea7f90548eef82f1955e3"/>
    <x v="192"/>
    <x v="18"/>
    <x v="1"/>
    <s v="eagle, wolf"/>
    <s v="Unknow"/>
    <s v="Unknow"/>
    <s v="Unknow"/>
    <s v="manufacturer"/>
    <n v="0"/>
    <x v="0"/>
    <x v="2"/>
    <x v="0"/>
  </r>
  <r>
    <s v="853beae72ddb4f7a9b8c7c50dc0127e2"/>
    <s v="17595577347283c0140226df762e2e6b"/>
    <s v="9d12ef1a7eca3ec58c545c678af7869c"/>
    <s v="068066e24f0c643eb1d089c7dd20cd73"/>
    <x v="193"/>
    <x v="13"/>
    <x v="0"/>
    <s v="cat"/>
    <s v="Unknow"/>
    <s v="Unknow"/>
    <s v="Unknow"/>
    <s v="reseller"/>
    <n v="0"/>
    <x v="0"/>
    <x v="3"/>
    <x v="0"/>
  </r>
  <r>
    <s v="3c803c1d8fef5385ca87aa1f8952338e"/>
    <s v="271b8923c6a549e02d3c9fd1f8c0422b"/>
    <s v="f42a2bd194f7802ab052a815c8de65b7"/>
    <s v="85fc447d336637ba1df43e793199fbc8"/>
    <x v="194"/>
    <x v="6"/>
    <x v="4"/>
    <s v="cat"/>
    <s v="Unknow"/>
    <s v="Unknow"/>
    <s v="Unknow"/>
    <s v="reseller"/>
    <n v="0"/>
    <x v="0"/>
    <x v="3"/>
    <x v="0"/>
  </r>
  <r>
    <s v="3b9c2023b5da0ffe9aa0a39285c836c6"/>
    <s v="d7cb3f744255259a4ded02cb354f5bcf"/>
    <s v="de63de0d10a6012430098db33c679b0b"/>
    <s v="9ae085775a198122c5586fa830ff7f2b"/>
    <x v="195"/>
    <x v="12"/>
    <x v="0"/>
    <s v="Unknow"/>
    <s v="Unknow"/>
    <s v="Unknow"/>
    <s v="Unknow"/>
    <s v="manufacturer"/>
    <n v="0"/>
    <x v="0"/>
    <x v="9"/>
    <x v="0"/>
  </r>
  <r>
    <s v="fe1fa775d818957a76304c35e1939355"/>
    <s v="618b0524377e106190c0c91cacdb4b78"/>
    <s v="09285259593c61296eef10c734121d5b"/>
    <s v="2695de1affa7750089c0455f8ce27021"/>
    <x v="196"/>
    <x v="1"/>
    <x v="0"/>
    <s v="cat"/>
    <s v="Unknow"/>
    <s v="Unknow"/>
    <s v="Unknow"/>
    <s v="reseller"/>
    <n v="0"/>
    <x v="0"/>
    <x v="0"/>
    <x v="0"/>
  </r>
  <r>
    <s v="5641240ccf2611004c76234f4afb8f90"/>
    <s v="231e2c768bf979ec59ff743f16a442ce"/>
    <s v="fdb16d3cbbeb5798f2f66c4096be026d"/>
    <s v="9ae085775a198122c5586fa830ff7f2b"/>
    <x v="197"/>
    <x v="19"/>
    <x v="1"/>
    <s v="Unknow"/>
    <s v="Unknow"/>
    <s v="Unknow"/>
    <s v="Unknow"/>
    <s v="reseller"/>
    <n v="0"/>
    <x v="0"/>
    <x v="3"/>
    <x v="0"/>
  </r>
  <r>
    <s v="3cab34e6c6a51d1f2ca8e76908c62368"/>
    <s v="44717f64ec2a457979cf83c429077666"/>
    <s v="a8387c01a09e99ce014107505b92388c"/>
    <s v="2695de1affa7750089c0455f8ce27021"/>
    <x v="198"/>
    <x v="29"/>
    <x v="0"/>
    <s v="cat"/>
    <s v="Unknow"/>
    <s v="Unknow"/>
    <s v="Unknow"/>
    <s v="reseller"/>
    <n v="0"/>
    <x v="0"/>
    <x v="4"/>
    <x v="0"/>
  </r>
  <r>
    <s v="bfaf03e3d41e25b94457fadfbc4521eb"/>
    <s v="b0289c0c1f9f84008e7b4dbf795c4676"/>
    <s v="56bf83c4bb35763a51c2baab501b4c67"/>
    <s v="fbf4aef3f6915dc0c3c97d6812522f6a"/>
    <x v="199"/>
    <x v="23"/>
    <x v="3"/>
    <s v="Unknow"/>
    <s v="Unknow"/>
    <s v="Unknow"/>
    <s v="Unknow"/>
    <s v="reseller"/>
    <n v="0"/>
    <x v="0"/>
    <x v="0"/>
    <x v="0"/>
  </r>
  <r>
    <s v="e2e3fb19cb1f4edf8c601bab9adbad86"/>
    <s v="31be790e64fc99f8ff48ec2bd18a3104"/>
    <s v="09285259593c61296eef10c734121d5b"/>
    <s v="a8387c01a09e99ce014107505b92388c"/>
    <x v="200"/>
    <x v="6"/>
    <x v="6"/>
    <s v="eagle"/>
    <s v="Unknow"/>
    <s v="Unknow"/>
    <s v="Unknow"/>
    <s v="reseller"/>
    <n v="0"/>
    <x v="0"/>
    <x v="5"/>
    <x v="0"/>
  </r>
  <r>
    <s v="9675f0018d103531e073a3da2945df41"/>
    <s v="b0ec35adb04cfa85d3e0ff3f79c186a3"/>
    <s v="4b339f9567d060bcea4f5136b9f5949e"/>
    <s v="4ef15afb4b2723d8f3d81e51ec7afefe"/>
    <x v="201"/>
    <x v="22"/>
    <x v="1"/>
    <s v="eagle"/>
    <s v="Unknow"/>
    <s v="Unknow"/>
    <s v="Unknow"/>
    <s v="manufacturer"/>
    <n v="0"/>
    <x v="0"/>
    <x v="3"/>
    <x v="0"/>
  </r>
  <r>
    <s v="3172362312fcf09d96f02125f66b74f5"/>
    <s v="fa7cc273072520346449b9e89329768a"/>
    <s v="0a0fb2b07d841f84fb6714e35c723075"/>
    <s v="34d40cdaf94010a1d05b0d6212f9e909"/>
    <x v="202"/>
    <x v="19"/>
    <x v="6"/>
    <s v="cat"/>
    <b v="1"/>
    <b v="1"/>
    <s v="200+"/>
    <s v="reseller"/>
    <n v="0"/>
    <x v="0"/>
    <x v="2"/>
    <x v="0"/>
  </r>
  <r>
    <s v="0de705dc7d8026cc9b2128b775e4c35e"/>
    <s v="120476eb7a04c149d14772edaf5d9bf2"/>
    <s v="b90f87164b5f8c2cfa5c8572834dbe3f"/>
    <s v="85fc447d336637ba1df43e793199fbc8"/>
    <x v="203"/>
    <x v="7"/>
    <x v="2"/>
    <s v="wolf"/>
    <s v="Unknow"/>
    <s v="Unknow"/>
    <s v="Unknow"/>
    <s v="reseller"/>
    <n v="0"/>
    <x v="0"/>
    <x v="2"/>
    <x v="0"/>
  </r>
  <r>
    <s v="1accc1c92278a9bc2bbc6a8002026b25"/>
    <s v="7df961ce758538004de6db0f5b9d7b6f"/>
    <s v="a8387c01a09e99ce014107505b92388c"/>
    <s v="2695de1affa7750089c0455f8ce27021"/>
    <x v="204"/>
    <x v="12"/>
    <x v="3"/>
    <s v="cat"/>
    <s v="Unknow"/>
    <s v="Unknow"/>
    <s v="Unknow"/>
    <s v="reseller"/>
    <n v="0"/>
    <x v="0"/>
    <x v="5"/>
    <x v="0"/>
  </r>
  <r>
    <s v="0e327f32dbb22d433600688b7e9af0db"/>
    <s v="cee4320453079d554562dee0753d7d43"/>
    <s v="b34f6eba10f46bf9a657a01c108a8284"/>
    <s v="068066e24f0c643eb1d089c7dd20cd73"/>
    <x v="205"/>
    <x v="4"/>
    <x v="0"/>
    <s v="shark"/>
    <b v="1"/>
    <b v="1"/>
    <s v="5-20"/>
    <s v="reseller"/>
    <n v="500"/>
    <x v="5"/>
    <x v="2"/>
    <x v="1"/>
  </r>
  <r>
    <s v="3db893ff5d6c0e9dccfed451a741853f"/>
    <s v="21f3118106d69d16dfe7d5aaf37cb242"/>
    <s v="9749123c950bf8363ace42cb1c2d0815"/>
    <s v="4ef15afb4b2723d8f3d81e51ec7afefe"/>
    <x v="206"/>
    <x v="1"/>
    <x v="2"/>
    <s v="cat, wolf"/>
    <b v="1"/>
    <b v="1"/>
    <s v="50-200"/>
    <s v="reseller"/>
    <n v="0"/>
    <x v="0"/>
    <x v="0"/>
    <x v="0"/>
  </r>
  <r>
    <s v="8f118ab2a5c0d99362fb67e29856acab"/>
    <s v="94d76e96eedd976258cd3278ce56d5f2"/>
    <s v="56bf83c4bb35763a51c2baab501b4c67"/>
    <s v="4ef15afb4b2723d8f3d81e51ec7afefe"/>
    <x v="207"/>
    <x v="7"/>
    <x v="2"/>
    <s v="Unknow"/>
    <s v="Unknow"/>
    <s v="Unknow"/>
    <s v="Unknow"/>
    <s v="manufacturer"/>
    <n v="0"/>
    <x v="0"/>
    <x v="0"/>
    <x v="0"/>
  </r>
  <r>
    <s v="626dc1c3716c817b064632fded168e35"/>
    <s v="b5e7d871b063f34de611e8b448e63f2e"/>
    <s v="56bf83c4bb35763a51c2baab501b4c67"/>
    <s v="6565aa9ce3178a5caf6171827af3a9ba"/>
    <x v="208"/>
    <x v="4"/>
    <x v="4"/>
    <s v="eagle"/>
    <s v="Unknow"/>
    <s v="Unknow"/>
    <s v="Unknow"/>
    <s v="manufacturer"/>
    <n v="0"/>
    <x v="0"/>
    <x v="0"/>
    <x v="0"/>
  </r>
  <r>
    <s v="4433c8475916d6e6ebb8cf4994d2f1d1"/>
    <s v="04ed0495537199603d4930fc5c0dd026"/>
    <s v="09285259593c61296eef10c734121d5b"/>
    <s v="56bf83c4bb35763a51c2baab501b4c67"/>
    <x v="209"/>
    <x v="19"/>
    <x v="4"/>
    <s v="cat"/>
    <s v="Unknow"/>
    <s v="Unknow"/>
    <s v="Unknow"/>
    <s v="reseller"/>
    <n v="0"/>
    <x v="0"/>
    <x v="6"/>
    <x v="0"/>
  </r>
  <r>
    <s v="667f061b738858573caad66f5cc56b32"/>
    <s v="96c1c7f1f24470915da80563cd1202ea"/>
    <s v="e7dff61b78bebffa71678e126ce669ad"/>
    <s v="d3d1e91a157ea7f90548eef82f1955e3"/>
    <x v="210"/>
    <x v="19"/>
    <x v="0"/>
    <s v="cat"/>
    <s v="Unknow"/>
    <s v="Unknow"/>
    <s v="Unknow"/>
    <s v="reseller"/>
    <n v="0"/>
    <x v="0"/>
    <x v="0"/>
    <x v="0"/>
  </r>
  <r>
    <s v="843966e79e757cf797b7dfe514e30af1"/>
    <s v="1f74801bb8b05750ce5e7597b685bd13"/>
    <s v="34d40cdaf94010a1d05b0d6212f9e909"/>
    <s v="2695de1affa7750089c0455f8ce27021"/>
    <x v="211"/>
    <x v="11"/>
    <x v="4"/>
    <s v="eagle"/>
    <s v="Unknow"/>
    <s v="Unknow"/>
    <s v="Unknow"/>
    <s v="reseller"/>
    <n v="0"/>
    <x v="0"/>
    <x v="0"/>
    <x v="0"/>
  </r>
  <r>
    <s v="cf8f0678e67cb002c2b68f9f68629885"/>
    <s v="bed6d1f6c4664ab8cf3abf3821727756"/>
    <s v="068066e24f0c643eb1d089c7dd20cd73"/>
    <s v="85fc447d336637ba1df43e793199fbc8"/>
    <x v="212"/>
    <x v="7"/>
    <x v="1"/>
    <s v="shark"/>
    <s v="Unknow"/>
    <s v="Unknow"/>
    <s v="Unknow"/>
    <s v="reseller"/>
    <n v="0"/>
    <x v="0"/>
    <x v="2"/>
    <x v="0"/>
  </r>
  <r>
    <s v="299d8968ef74c5086cb3ee21f13ed27a"/>
    <s v="377bc18334c78dd2f1535ef22a3ad225"/>
    <s v="56bf83c4bb35763a51c2baab501b4c67"/>
    <s v="85fc447d336637ba1df43e793199fbc8"/>
    <x v="213"/>
    <x v="1"/>
    <x v="2"/>
    <s v="cat"/>
    <s v="Unknow"/>
    <s v="Unknow"/>
    <s v="Unknow"/>
    <s v="reseller"/>
    <n v="0"/>
    <x v="0"/>
    <x v="3"/>
    <x v="0"/>
  </r>
  <r>
    <s v="e9dcae4d924ac8fff2334db6e5b99482"/>
    <s v="51fdd5d43db628fada4588f89aba3e8e"/>
    <s v="9d12ef1a7eca3ec58c545c678af7869c"/>
    <s v="de63de0d10a6012430098db33c679b0b"/>
    <x v="214"/>
    <x v="1"/>
    <x v="4"/>
    <s v="cat"/>
    <s v="Unknow"/>
    <s v="Unknow"/>
    <s v="Unknow"/>
    <s v="reseller"/>
    <n v="0"/>
    <x v="0"/>
    <x v="0"/>
    <x v="0"/>
  </r>
  <r>
    <s v="081c243a74472af67b65145cff5221c7"/>
    <s v="58f1a6197ed863543e0136bdedb3fce2"/>
    <s v="4b339f9567d060bcea4f5136b9f5949e"/>
    <s v="c638112b43f1d1b86dcabb0da720c901"/>
    <x v="215"/>
    <x v="15"/>
    <x v="0"/>
    <s v="eagle"/>
    <s v="Unknow"/>
    <s v="Unknow"/>
    <s v="Unknow"/>
    <s v="reseller"/>
    <n v="0"/>
    <x v="0"/>
    <x v="2"/>
    <x v="0"/>
  </r>
  <r>
    <s v="39ecc5282d4511dca4c757113e1312d1"/>
    <s v="65febd49fd28ec955651299159b1f527"/>
    <s v="a8387c01a09e99ce014107505b92388c"/>
    <s v="d3d1e91a157ea7f90548eef82f1955e3"/>
    <x v="216"/>
    <x v="6"/>
    <x v="2"/>
    <s v="Unknow"/>
    <s v="Unknow"/>
    <s v="Unknow"/>
    <s v="Unknow"/>
    <s v="reseller"/>
    <n v="0"/>
    <x v="0"/>
    <x v="0"/>
    <x v="0"/>
  </r>
  <r>
    <s v="02c1f06978b821b2996ec257932f2947"/>
    <s v="9b1585752613ec342d03bbab9997ec48"/>
    <s v="f42a2bd194f7802ab052a815c8de65b7"/>
    <s v="de63de0d10a6012430098db33c679b0b"/>
    <x v="217"/>
    <x v="1"/>
    <x v="4"/>
    <s v="cat"/>
    <s v="Unknow"/>
    <s v="Unknow"/>
    <s v="Unknow"/>
    <s v="reseller"/>
    <n v="0"/>
    <x v="0"/>
    <x v="0"/>
    <x v="0"/>
  </r>
  <r>
    <s v="072446c6aa02c85a9a91d6a75116def5"/>
    <s v="cbf09e831b0c11f6f23ffb51004db972"/>
    <s v="068066e24f0c643eb1d089c7dd20cd73"/>
    <s v="de63de0d10a6012430098db33c679b0b"/>
    <x v="218"/>
    <x v="6"/>
    <x v="5"/>
    <s v="cat"/>
    <s v="Unknow"/>
    <s v="Unknow"/>
    <s v="Unknow"/>
    <s v="reseller"/>
    <n v="0"/>
    <x v="0"/>
    <x v="0"/>
    <x v="0"/>
  </r>
  <r>
    <s v="0d8b45d95dc4bd9712dc67f87db79a8e"/>
    <s v="4f0d637c1197fd65405ebd755ac9f86b"/>
    <s v="56bf83c4bb35763a51c2baab501b4c67"/>
    <s v="de63de0d10a6012430098db33c679b0b"/>
    <x v="219"/>
    <x v="4"/>
    <x v="0"/>
    <s v="cat"/>
    <s v="Unknow"/>
    <s v="Unknow"/>
    <s v="Unknow"/>
    <s v="reseller"/>
    <n v="0"/>
    <x v="0"/>
    <x v="2"/>
    <x v="0"/>
  </r>
  <r>
    <s v="f88920d4589dae7abec2eb05fca153e3"/>
    <s v="026c6180cd86d6069dad573ce69b465e"/>
    <s v="9d12ef1a7eca3ec58c545c678af7869c"/>
    <s v="068066e24f0c643eb1d089c7dd20cd73"/>
    <x v="220"/>
    <x v="6"/>
    <x v="3"/>
    <s v="eagle"/>
    <s v="Unknow"/>
    <s v="Unknow"/>
    <s v="1-5"/>
    <s v="manufacturer"/>
    <n v="4"/>
    <x v="0"/>
    <x v="2"/>
    <x v="0"/>
  </r>
  <r>
    <s v="10b83e434ddcd9c79ad2b9be2fd0aa84"/>
    <s v="0691fc6052b1918d775ac6ff8275eb01"/>
    <s v="fdb16d3cbbeb5798f2f66c4096be026d"/>
    <s v="fbf4aef3f6915dc0c3c97d6812522f6a"/>
    <x v="221"/>
    <x v="12"/>
    <x v="0"/>
    <s v="Unknow"/>
    <s v="Unknow"/>
    <s v="Unknow"/>
    <s v="Unknow"/>
    <s v="manufacturer"/>
    <n v="0"/>
    <x v="0"/>
    <x v="5"/>
    <x v="0"/>
  </r>
  <r>
    <s v="dcebacc996ed40656c7097704c600386"/>
    <s v="d50f6d198921d51b24544738b29d2b0e"/>
    <s v="09285259593c61296eef10c734121d5b"/>
    <s v="85fc447d336637ba1df43e793199fbc8"/>
    <x v="222"/>
    <x v="3"/>
    <x v="1"/>
    <s v="cat"/>
    <s v="Unknow"/>
    <s v="Unknow"/>
    <s v="Unknow"/>
    <s v="manufacturer"/>
    <n v="0"/>
    <x v="0"/>
    <x v="1"/>
    <x v="0"/>
  </r>
  <r>
    <s v="e4dcab5f7c33b62eb67f0a87c1b7f162"/>
    <s v="9485222b0bad29d3b0e860fa5ec1fdd4"/>
    <s v="4b339f9567d060bcea4f5136b9f5949e"/>
    <s v="9749123c950bf8363ace42cb1c2d0815"/>
    <x v="223"/>
    <x v="7"/>
    <x v="1"/>
    <s v="wolf"/>
    <b v="1"/>
    <b v="0"/>
    <s v="50-200"/>
    <s v="manufacturer"/>
    <n v="100"/>
    <x v="0"/>
    <x v="5"/>
    <x v="0"/>
  </r>
  <r>
    <s v="9f73f765160d33280216b73b6378c068"/>
    <s v="28fadc495e06e64b5d15d54959f2cee1"/>
    <s v="068066e24f0c643eb1d089c7dd20cd73"/>
    <s v="c638112b43f1d1b86dcabb0da720c901"/>
    <x v="224"/>
    <x v="14"/>
    <x v="5"/>
    <s v="Unknow"/>
    <s v="Unknow"/>
    <s v="Unknow"/>
    <s v="Unknow"/>
    <s v="reseller"/>
    <n v="0"/>
    <x v="0"/>
    <x v="2"/>
    <x v="0"/>
  </r>
  <r>
    <s v="fe75268bb28b40ef89979d0ec2c54497"/>
    <s v="dbdd0ec73a4817971d962698f2fea022"/>
    <s v="068066e24f0c643eb1d089c7dd20cd73"/>
    <s v="fbf4aef3f6915dc0c3c97d6812522f6a"/>
    <x v="225"/>
    <x v="4"/>
    <x v="2"/>
    <s v="Unknow"/>
    <s v="Unknow"/>
    <s v="Unknow"/>
    <s v="Unknow"/>
    <s v="manufacturer"/>
    <n v="0"/>
    <x v="0"/>
    <x v="4"/>
    <x v="0"/>
  </r>
  <r>
    <s v="bd0c413c4350a9a29fb9bec5de64e2a6"/>
    <s v="2aeedd049dc20e7171f43110fd0d6821"/>
    <s v="9d12ef1a7eca3ec58c545c678af7869c"/>
    <s v="495d4e95a8cf8bbf8b432b612a2aa328"/>
    <x v="226"/>
    <x v="7"/>
    <x v="1"/>
    <s v="cat"/>
    <s v="Unknow"/>
    <s v="Unknow"/>
    <s v="Unknow"/>
    <s v="reseller"/>
    <n v="0"/>
    <x v="0"/>
    <x v="3"/>
    <x v="0"/>
  </r>
  <r>
    <s v="409b474080e928bbb5664659407b5947"/>
    <s v="6a60bd6a4afd5fc86b75b47ec502df7b"/>
    <s v="34d40cdaf94010a1d05b0d6212f9e909"/>
    <s v="de63de0d10a6012430098db33c679b0b"/>
    <x v="227"/>
    <x v="4"/>
    <x v="3"/>
    <s v="cat"/>
    <s v="Unknow"/>
    <s v="Unknow"/>
    <s v="Unknow"/>
    <s v="reseller"/>
    <n v="0"/>
    <x v="0"/>
    <x v="2"/>
    <x v="0"/>
  </r>
  <r>
    <s v="2b73fd917ee9cc38ec528df06d5b8561"/>
    <s v="46bec94e1e0fc413b6adb1d1bd175477"/>
    <s v="b90f87164b5f8c2cfa5c8572834dbe3f"/>
    <s v="85fc447d336637ba1df43e793199fbc8"/>
    <x v="228"/>
    <x v="11"/>
    <x v="3"/>
    <s v="eagle"/>
    <s v="Unknow"/>
    <s v="Unknow"/>
    <s v="Unknow"/>
    <s v="manufacturer"/>
    <n v="0"/>
    <x v="0"/>
    <x v="2"/>
    <x v="0"/>
  </r>
  <r>
    <s v="06f38e7909709a72b521a4a9d1c05841"/>
    <s v="73df8d9e8f8c54d0d42feb9bf58c718c"/>
    <s v="de63de0d10a6012430098db33c679b0b"/>
    <s v="d3d1e91a157ea7f90548eef82f1955e3"/>
    <x v="229"/>
    <x v="22"/>
    <x v="0"/>
    <s v="Unknow"/>
    <s v="Unknow"/>
    <s v="Unknow"/>
    <s v="Unknow"/>
    <s v="manufacturer"/>
    <n v="0"/>
    <x v="0"/>
    <x v="3"/>
    <x v="0"/>
  </r>
  <r>
    <s v="8928ccba6d94d5f1481c1065330c6066"/>
    <s v="dd22fbe4df5d84be25176054640b696d"/>
    <s v="f42a2bd194f7802ab052a815c8de65b7"/>
    <s v="fbf4aef3f6915dc0c3c97d6812522f6a"/>
    <x v="230"/>
    <x v="3"/>
    <x v="1"/>
    <s v="cat"/>
    <s v="Unknow"/>
    <s v="Unknow"/>
    <s v="Unknow"/>
    <s v="manufacturer"/>
    <n v="0"/>
    <x v="0"/>
    <x v="0"/>
    <x v="0"/>
  </r>
  <r>
    <s v="58b26e6eaeb6ed078b51e6cde7925d71"/>
    <s v="2aa8585964d74f71e334a6c3de2ddc27"/>
    <s v="4b339f9567d060bcea4f5136b9f5949e"/>
    <s v="4ef15afb4b2723d8f3d81e51ec7afefe"/>
    <x v="231"/>
    <x v="15"/>
    <x v="3"/>
    <s v="Unknow"/>
    <s v="Unknow"/>
    <s v="Unknow"/>
    <s v="Unknow"/>
    <s v="reseller"/>
    <n v="0"/>
    <x v="0"/>
    <x v="3"/>
    <x v="0"/>
  </r>
  <r>
    <s v="15992174039ff729f588d6c82cf022c1"/>
    <s v="6cd5309bfee39493f71de0350e837b3d"/>
    <s v="de63de0d10a6012430098db33c679b0b"/>
    <s v="c638112b43f1d1b86dcabb0da720c901"/>
    <x v="232"/>
    <x v="1"/>
    <x v="4"/>
    <s v="cat"/>
    <s v="Unknow"/>
    <s v="Unknow"/>
    <s v="Unknow"/>
    <s v="reseller"/>
    <n v="0"/>
    <x v="0"/>
    <x v="2"/>
    <x v="0"/>
  </r>
  <r>
    <s v="239ce949b3bcb25a0c47779fe37c80e0"/>
    <s v="caa9bc43a9fe8cf9c564ddd8a03cc4a6"/>
    <s v="9d12ef1a7eca3ec58c545c678af7869c"/>
    <s v="4ef15afb4b2723d8f3d81e51ec7afefe"/>
    <x v="233"/>
    <x v="8"/>
    <x v="0"/>
    <s v="cat"/>
    <s v="Unknow"/>
    <s v="Unknow"/>
    <s v="Unknow"/>
    <s v="reseller"/>
    <n v="0"/>
    <x v="0"/>
    <x v="3"/>
    <x v="0"/>
  </r>
  <r>
    <s v="b8bb2a1d59f4ecae0646fc039b75391e"/>
    <s v="fe87f472055fbcf1d7e691c00b1560dc"/>
    <s v="56bf83c4bb35763a51c2baab501b4c67"/>
    <s v="495d4e95a8cf8bbf8b432b612a2aa328"/>
    <x v="234"/>
    <x v="12"/>
    <x v="0"/>
    <s v="Unknow"/>
    <s v="Unknow"/>
    <s v="Unknow"/>
    <s v="Unknow"/>
    <s v="reseller"/>
    <n v="0"/>
    <x v="0"/>
    <x v="8"/>
    <x v="0"/>
  </r>
  <r>
    <s v="6d78dcbeb39103c047f486abd2519ee4"/>
    <s v="366b6b05f39997f102dc5179de14d43c"/>
    <s v="e7dff61b78bebffa71678e126ce669ad"/>
    <s v="9749123c950bf8363ace42cb1c2d0815"/>
    <x v="235"/>
    <x v="4"/>
    <x v="3"/>
    <s v="wolf"/>
    <b v="1"/>
    <b v="1"/>
    <s v="200+"/>
    <s v="reseller"/>
    <n v="200"/>
    <x v="11"/>
    <x v="2"/>
    <x v="1"/>
  </r>
  <r>
    <s v="4fbe9e8a0ace3a44f0a9e1d7fe41da02"/>
    <s v="9169e322ad3419286d1e5ee8f1c3b3f0"/>
    <s v="e7dff61b78bebffa71678e126ce669ad"/>
    <s v="34d40cdaf94010a1d05b0d6212f9e909"/>
    <x v="236"/>
    <x v="30"/>
    <x v="0"/>
    <s v="eagle"/>
    <b v="1"/>
    <b v="1"/>
    <s v="5-20"/>
    <s v="reseller"/>
    <n v="20"/>
    <x v="12"/>
    <x v="0"/>
    <x v="1"/>
  </r>
  <r>
    <s v="6c6094f256f51e83fe02bce6091163e7"/>
    <s v="da4d149c0ddbac90557103ac0a0ec356"/>
    <s v="068066e24f0c643eb1d089c7dd20cd73"/>
    <s v="6565aa9ce3178a5caf6171827af3a9ba"/>
    <x v="237"/>
    <x v="9"/>
    <x v="0"/>
    <s v="Unknow"/>
    <s v="Unknow"/>
    <s v="Unknow"/>
    <s v="Unknow"/>
    <s v="reseller"/>
    <n v="0"/>
    <x v="0"/>
    <x v="0"/>
    <x v="0"/>
  </r>
  <r>
    <s v="0b32d6a87c09c32b3cd90dfd5ef5699f"/>
    <s v="4dd7866cf496e0c2fcfc93a4589dc1be"/>
    <s v="a8387c01a09e99ce014107505b92388c"/>
    <s v="2695de1affa7750089c0455f8ce27021"/>
    <x v="238"/>
    <x v="15"/>
    <x v="0"/>
    <s v="cat"/>
    <s v="Unknow"/>
    <s v="Unknow"/>
    <s v="Unknow"/>
    <s v="Unknow"/>
    <n v="0"/>
    <x v="0"/>
    <x v="2"/>
    <x v="0"/>
  </r>
  <r>
    <s v="f63f7107398c54c17b5d14eadfa76842"/>
    <s v="bc2579cde838eb0fa8477f7efb1298d1"/>
    <s v="34d40cdaf94010a1d05b0d6212f9e909"/>
    <s v="068066e24f0c643eb1d089c7dd20cd73"/>
    <x v="239"/>
    <x v="6"/>
    <x v="4"/>
    <s v="cat"/>
    <s v="Unknow"/>
    <s v="Unknow"/>
    <s v="Unknow"/>
    <s v="reseller"/>
    <n v="0"/>
    <x v="0"/>
    <x v="4"/>
    <x v="0"/>
  </r>
  <r>
    <s v="10fa97233fb64af4b6ce8316d0bc2eca"/>
    <s v="693660429f9dc4ff704eb3d88dad54d7"/>
    <s v="4b339f9567d060bcea4f5136b9f5949e"/>
    <s v="6565aa9ce3178a5caf6171827af3a9ba"/>
    <x v="240"/>
    <x v="19"/>
    <x v="0"/>
    <s v="wolf"/>
    <s v="Unknow"/>
    <s v="Unknow"/>
    <s v="Unknow"/>
    <s v="reseller"/>
    <n v="0"/>
    <x v="0"/>
    <x v="5"/>
    <x v="0"/>
  </r>
  <r>
    <s v="cdd41e8e7e609526df11a959b953cc0d"/>
    <s v="7d7866a99a8656a42c7ff6352a433410"/>
    <s v="34d40cdaf94010a1d05b0d6212f9e909"/>
    <s v="068066e24f0c643eb1d089c7dd20cd73"/>
    <x v="241"/>
    <x v="6"/>
    <x v="4"/>
    <s v="cat"/>
    <s v="Unknow"/>
    <s v="Unknow"/>
    <s v="Unknow"/>
    <s v="reseller"/>
    <n v="0"/>
    <x v="0"/>
    <x v="0"/>
    <x v="0"/>
  </r>
  <r>
    <s v="3c13b54db21952663b5775d142be0ed2"/>
    <s v="657969cca82e884d272385ec0ef06edd"/>
    <s v="fdb16d3cbbeb5798f2f66c4096be026d"/>
    <s v="060c0a26f19f4d66b42e0d8796688490"/>
    <x v="242"/>
    <x v="15"/>
    <x v="1"/>
    <s v="Unknow"/>
    <s v="Unknow"/>
    <s v="Unknow"/>
    <s v="Unknow"/>
    <s v="reseller"/>
    <n v="0"/>
    <x v="0"/>
    <x v="5"/>
    <x v="0"/>
  </r>
  <r>
    <s v="a0604c9d9ef23fbf7cb7be5091201041"/>
    <s v="b7140ce94c4514bf136a2c3f98e0476c"/>
    <s v="b90f87164b5f8c2cfa5c8572834dbe3f"/>
    <s v="d3d1e91a157ea7f90548eef82f1955e3"/>
    <x v="243"/>
    <x v="19"/>
    <x v="3"/>
    <s v="cat"/>
    <s v="Unknow"/>
    <s v="Unknow"/>
    <s v="Unknow"/>
    <s v="reseller"/>
    <n v="0"/>
    <x v="0"/>
    <x v="3"/>
    <x v="0"/>
  </r>
  <r>
    <s v="88e3fa7a7462c4ce017655ee2ea2ad46"/>
    <s v="a50397ac35dc51ce40c4c3117828e4ec"/>
    <s v="4b339f9567d060bcea4f5136b9f5949e"/>
    <s v="fbf4aef3f6915dc0c3c97d6812522f6a"/>
    <x v="244"/>
    <x v="19"/>
    <x v="1"/>
    <s v="eagle"/>
    <s v="Unknow"/>
    <s v="Unknow"/>
    <s v="Unknow"/>
    <s v="reseller"/>
    <n v="0"/>
    <x v="0"/>
    <x v="2"/>
    <x v="0"/>
  </r>
  <r>
    <s v="867b587b7c0da5f1af73b47803e60859"/>
    <s v="d65d93b215feab3f997441e1e0a98ca5"/>
    <s v="a8387c01a09e99ce014107505b92388c"/>
    <s v="068066e24f0c643eb1d089c7dd20cd73"/>
    <x v="245"/>
    <x v="5"/>
    <x v="4"/>
    <s v="cat"/>
    <s v="Unknow"/>
    <s v="Unknow"/>
    <s v="Unknow"/>
    <s v="reseller"/>
    <n v="0"/>
    <x v="0"/>
    <x v="2"/>
    <x v="0"/>
  </r>
  <r>
    <s v="5bee2861956d76fe35e91c33bc4a81b3"/>
    <s v="dda37071807e404c5bb2a1590c66326f"/>
    <s v="4b339f9567d060bcea4f5136b9f5949e"/>
    <s v="4ef15afb4b2723d8f3d81e51ec7afefe"/>
    <x v="246"/>
    <x v="21"/>
    <x v="3"/>
    <s v="eagle"/>
    <s v="Unknow"/>
    <s v="Unknow"/>
    <s v="Unknow"/>
    <s v="manufacturer"/>
    <n v="0"/>
    <x v="0"/>
    <x v="2"/>
    <x v="0"/>
  </r>
  <r>
    <s v="1e2001dab6238763e58c775cba225a16"/>
    <s v="85be0b7181c48c393007b0002fdec79c"/>
    <s v="0cdad77786224a7cefea567b8c75c3c1"/>
    <s v="6565aa9ce3178a5caf6171827af3a9ba"/>
    <x v="247"/>
    <x v="7"/>
    <x v="0"/>
    <s v="cat"/>
    <s v="Unknow"/>
    <s v="Unknow"/>
    <s v="Unknow"/>
    <s v="reseller"/>
    <n v="0"/>
    <x v="0"/>
    <x v="3"/>
    <x v="0"/>
  </r>
  <r>
    <s v="37d92d59a2b02e0256aa1d2bddcfa50d"/>
    <s v="671585f5a2af58b6e276bc01003c0d2b"/>
    <s v="4b339f9567d060bcea4f5136b9f5949e"/>
    <s v="4ef15afb4b2723d8f3d81e51ec7afefe"/>
    <x v="248"/>
    <x v="6"/>
    <x v="0"/>
    <s v="Unknow"/>
    <s v="Unknow"/>
    <s v="Unknow"/>
    <s v="Unknow"/>
    <s v="manufacturer"/>
    <n v="0"/>
    <x v="0"/>
    <x v="5"/>
    <x v="0"/>
  </r>
  <r>
    <s v="503831c6265361a08aa4113b4d867178"/>
    <s v="4a1f694197d05fe70026b016a7316b41"/>
    <s v="de63de0d10a6012430098db33c679b0b"/>
    <s v="4ef15afb4b2723d8f3d81e51ec7afefe"/>
    <x v="249"/>
    <x v="12"/>
    <x v="0"/>
    <s v="Unknow"/>
    <s v="Unknow"/>
    <s v="Unknow"/>
    <s v="Unknow"/>
    <s v="reseller"/>
    <n v="0"/>
    <x v="0"/>
    <x v="2"/>
    <x v="0"/>
  </r>
  <r>
    <s v="bc55d3363ee659d6ab6c908b932c7705"/>
    <s v="3d3ccf2b2f8134b10dce9dd446f0e075"/>
    <s v="f42a2bd194f7802ab052a815c8de65b7"/>
    <s v="2695de1affa7750089c0455f8ce27021"/>
    <x v="250"/>
    <x v="12"/>
    <x v="0"/>
    <s v="cat"/>
    <s v="Unknow"/>
    <s v="Unknow"/>
    <s v="Unknow"/>
    <s v="reseller"/>
    <n v="0"/>
    <x v="0"/>
    <x v="2"/>
    <x v="0"/>
  </r>
  <r>
    <s v="1b34d47c57a081fbfeec93a1065e69bd"/>
    <s v="2cb6eb1b7185064167657fa09f541105"/>
    <s v="068066e24f0c643eb1d089c7dd20cd73"/>
    <s v="fbf4aef3f6915dc0c3c97d6812522f6a"/>
    <x v="251"/>
    <x v="12"/>
    <x v="0"/>
    <s v="Unknow"/>
    <s v="Unknow"/>
    <s v="Unknow"/>
    <s v="Unknow"/>
    <s v="manufacturer"/>
    <n v="0"/>
    <x v="0"/>
    <x v="2"/>
    <x v="0"/>
  </r>
  <r>
    <s v="fef0383cea937628ff95eb48ba1ffd17"/>
    <s v="0fe3372ef9bebf177e6cb95fa0340fb6"/>
    <s v="4b339f9567d060bcea4f5136b9f5949e"/>
    <s v="2695de1affa7750089c0455f8ce27021"/>
    <x v="252"/>
    <x v="7"/>
    <x v="4"/>
    <s v="shark"/>
    <s v="Unknow"/>
    <s v="Unknow"/>
    <s v="Unknow"/>
    <s v="reseller"/>
    <n v="0"/>
    <x v="0"/>
    <x v="0"/>
    <x v="0"/>
  </r>
  <r>
    <s v="f89b10e626692ac7a87c19d69f261db2"/>
    <s v="964cb238d75d1e6c6e1f88adcdf14f42"/>
    <s v="a8387c01a09e99ce014107505b92388c"/>
    <s v="060c0a26f19f4d66b42e0d8796688490"/>
    <x v="253"/>
    <x v="7"/>
    <x v="0"/>
    <s v="cat"/>
    <s v="Unknow"/>
    <s v="Unknow"/>
    <s v="Unknow"/>
    <s v="manufacturer"/>
    <n v="0"/>
    <x v="0"/>
    <x v="2"/>
    <x v="0"/>
  </r>
  <r>
    <s v="1d0949fd6674f963b44662838ef3ae09"/>
    <s v="167bde8a09cb3196874f3f7e2753a98d"/>
    <s v="fdb16d3cbbeb5798f2f66c4096be026d"/>
    <s v="9ae085775a198122c5586fa830ff7f2b"/>
    <x v="254"/>
    <x v="8"/>
    <x v="1"/>
    <s v="Unknow"/>
    <s v="Unknow"/>
    <s v="Unknow"/>
    <s v="Unknow"/>
    <s v="manufacturer"/>
    <n v="0"/>
    <x v="0"/>
    <x v="0"/>
    <x v="0"/>
  </r>
  <r>
    <s v="a463cac2327534f6f02563ffbdf92918"/>
    <s v="c84592044b180dec206770c38603814b"/>
    <s v="fdb16d3cbbeb5798f2f66c4096be026d"/>
    <s v="4ef15afb4b2723d8f3d81e51ec7afefe"/>
    <x v="255"/>
    <x v="19"/>
    <x v="0"/>
    <s v="Unknow"/>
    <s v="Unknow"/>
    <s v="Unknow"/>
    <s v="Unknow"/>
    <s v="reseller"/>
    <n v="0"/>
    <x v="0"/>
    <x v="3"/>
    <x v="0"/>
  </r>
  <r>
    <s v="4b4234f02431d2179f5d18fd1db0ef8e"/>
    <s v="c3e1abd72a42fe690fcd89cf5720fe29"/>
    <s v="9d12ef1a7eca3ec58c545c678af7869c"/>
    <s v="d3d1e91a157ea7f90548eef82f1955e3"/>
    <x v="256"/>
    <x v="0"/>
    <x v="2"/>
    <s v="eagle"/>
    <s v="Unknow"/>
    <s v="Unknow"/>
    <s v="Unknow"/>
    <s v="reseller"/>
    <n v="0"/>
    <x v="0"/>
    <x v="0"/>
    <x v="0"/>
  </r>
  <r>
    <s v="05ede5cedad6c61ef99376296b0699ef"/>
    <s v="4d0041cdbe51b4617d95c70b19decc74"/>
    <s v="068066e24f0c643eb1d089c7dd20cd73"/>
    <s v="85fc447d336637ba1df43e793199fbc8"/>
    <x v="257"/>
    <x v="1"/>
    <x v="1"/>
    <s v="eagle"/>
    <s v="Unknow"/>
    <s v="Unknow"/>
    <s v="Unknow"/>
    <s v="reseller"/>
    <n v="0"/>
    <x v="0"/>
    <x v="0"/>
    <x v="0"/>
  </r>
  <r>
    <s v="8aa7c17161d6a6270218e8a7b0806263"/>
    <s v="4e0bb097aa0fb4e2f9a146b77698427a"/>
    <s v="4b339f9567d060bcea4f5136b9f5949e"/>
    <s v="495d4e95a8cf8bbf8b432b612a2aa328"/>
    <x v="258"/>
    <x v="1"/>
    <x v="4"/>
    <s v="Unknow"/>
    <s v="Unknow"/>
    <s v="Unknow"/>
    <s v="Unknow"/>
    <s v="reseller"/>
    <n v="0"/>
    <x v="0"/>
    <x v="4"/>
    <x v="0"/>
  </r>
  <r>
    <s v="90d2301e323b1809708324229782def2"/>
    <s v="77e81c45f03c23a7b43dbb0bdd905dff"/>
    <s v="de63de0d10a6012430098db33c679b0b"/>
    <s v="fbf4aef3f6915dc0c3c97d6812522f6a"/>
    <x v="259"/>
    <x v="4"/>
    <x v="3"/>
    <s v="Unknow"/>
    <s v="Unknow"/>
    <s v="Unknow"/>
    <s v="Unknow"/>
    <s v="manufacturer"/>
    <n v="0"/>
    <x v="0"/>
    <x v="4"/>
    <x v="0"/>
  </r>
  <r>
    <s v="e5d0a99e3684733914f594116839e0c2"/>
    <s v="2fa13c8bd5705d279f7ed5cc9ec61c68"/>
    <s v="fdb16d3cbbeb5798f2f66c4096be026d"/>
    <s v="fbf4aef3f6915dc0c3c97d6812522f6a"/>
    <x v="260"/>
    <x v="4"/>
    <x v="0"/>
    <s v="Unknow"/>
    <s v="Unknow"/>
    <s v="Unknow"/>
    <s v="Unknow"/>
    <s v="reseller"/>
    <n v="0"/>
    <x v="0"/>
    <x v="3"/>
    <x v="0"/>
  </r>
  <r>
    <s v="790d8fa56e05ff05080e6e66fae0272a"/>
    <s v="9e54d45e5f30ed4f296bd25d4edada20"/>
    <s v="4b339f9567d060bcea4f5136b9f5949e"/>
    <s v="4ef15afb4b2723d8f3d81e51ec7afefe"/>
    <x v="261"/>
    <x v="23"/>
    <x v="3"/>
    <s v="wolf"/>
    <s v="Unknow"/>
    <s v="Unknow"/>
    <s v="Unknow"/>
    <s v="reseller"/>
    <n v="0"/>
    <x v="0"/>
    <x v="0"/>
    <x v="0"/>
  </r>
  <r>
    <s v="0c117e6a0b3f700bd997a11500a5c2e2"/>
    <s v="596d3b6f78d5a703bfce24b801d2fbdb"/>
    <s v="4b339f9567d060bcea4f5136b9f5949e"/>
    <s v="de63de0d10a6012430098db33c679b0b"/>
    <x v="262"/>
    <x v="4"/>
    <x v="1"/>
    <s v="wolf"/>
    <s v="Unknow"/>
    <s v="Unknow"/>
    <s v="Unknow"/>
    <s v="reseller"/>
    <n v="0"/>
    <x v="0"/>
    <x v="0"/>
    <x v="0"/>
  </r>
  <r>
    <s v="3461d99a30c72933c66cac4f1c02bd14"/>
    <s v="18e694e0e48ed6f7aa3f24aade5fd697"/>
    <s v="4b339f9567d060bcea4f5136b9f5949e"/>
    <s v="d3d1e91a157ea7f90548eef82f1955e3"/>
    <x v="263"/>
    <x v="5"/>
    <x v="0"/>
    <s v="wolf"/>
    <s v="Unknow"/>
    <s v="Unknow"/>
    <s v="Unknow"/>
    <s v="reseller"/>
    <n v="0"/>
    <x v="0"/>
    <x v="3"/>
    <x v="0"/>
  </r>
  <r>
    <s v="0338bf13624f52beaca91ec4a23c860c"/>
    <s v="667ee4b0aece58908fae3fd1649b7e6c"/>
    <s v="9d12ef1a7eca3ec58c545c678af7869c"/>
    <s v="495d4e95a8cf8bbf8b432b612a2aa328"/>
    <x v="264"/>
    <x v="29"/>
    <x v="0"/>
    <s v="eagle"/>
    <s v="Unknow"/>
    <s v="Unknow"/>
    <s v="Unknow"/>
    <s v="Unknow"/>
    <n v="0"/>
    <x v="0"/>
    <x v="10"/>
    <x v="0"/>
  </r>
  <r>
    <s v="245e57794c369c8617378e285ee9755c"/>
    <s v="fd435faa3c0422b60440ea3480d0e77c"/>
    <s v="9749123c950bf8363ace42cb1c2d0815"/>
    <s v="d3d1e91a157ea7f90548eef82f1955e3"/>
    <x v="265"/>
    <x v="23"/>
    <x v="2"/>
    <s v="eagle"/>
    <s v="Unknow"/>
    <s v="Unknow"/>
    <s v="Unknow"/>
    <s v="reseller"/>
    <n v="0"/>
    <x v="0"/>
    <x v="3"/>
    <x v="0"/>
  </r>
  <r>
    <s v="b9ed46d1ff01c4fb8e3f2453091804d0"/>
    <s v="7816cd9c5b1238e320545f5bf7eb80e8"/>
    <s v="b90f87164b5f8c2cfa5c8572834dbe3f"/>
    <s v="4ef15afb4b2723d8f3d81e51ec7afefe"/>
    <x v="266"/>
    <x v="7"/>
    <x v="2"/>
    <s v="cat"/>
    <s v="Unknow"/>
    <s v="Unknow"/>
    <s v="Unknow"/>
    <s v="reseller"/>
    <n v="0"/>
    <x v="0"/>
    <x v="0"/>
    <x v="0"/>
  </r>
  <r>
    <s v="38427015e9934ea855bd9adcdf32055f"/>
    <s v="713a71465d58d5315a36788861dfec4a"/>
    <s v="fdb16d3cbbeb5798f2f66c4096be026d"/>
    <s v="495d4e95a8cf8bbf8b432b612a2aa328"/>
    <x v="267"/>
    <x v="10"/>
    <x v="1"/>
    <s v="Unknow"/>
    <s v="Unknow"/>
    <s v="Unknow"/>
    <s v="Unknow"/>
    <s v="reseller"/>
    <n v="0"/>
    <x v="0"/>
    <x v="2"/>
    <x v="0"/>
  </r>
  <r>
    <s v="c3daacb733cbbe636db5b70ace98d520"/>
    <s v="4d54524ebf3e26769edc397a2eb26462"/>
    <s v="4b339f9567d060bcea4f5136b9f5949e"/>
    <s v="4ef15afb4b2723d8f3d81e51ec7afefe"/>
    <x v="268"/>
    <x v="5"/>
    <x v="5"/>
    <s v="cat"/>
    <s v="Unknow"/>
    <s v="Unknow"/>
    <s v="Unknow"/>
    <s v="reseller"/>
    <n v="0"/>
    <x v="0"/>
    <x v="2"/>
    <x v="0"/>
  </r>
  <r>
    <s v="593f4a8705fd0d72d47efb651bdfb135"/>
    <s v="8dc50970bc5ef0bf96e6dc401caf0c1c"/>
    <s v="9d12ef1a7eca3ec58c545c678af7869c"/>
    <s v="4ef15afb4b2723d8f3d81e51ec7afefe"/>
    <x v="269"/>
    <x v="22"/>
    <x v="0"/>
    <s v="eagle"/>
    <s v="Unknow"/>
    <s v="Unknow"/>
    <s v="Unknow"/>
    <s v="reseller"/>
    <n v="0"/>
    <x v="0"/>
    <x v="10"/>
    <x v="0"/>
  </r>
  <r>
    <s v="be8eca3856293b0591f6240af2b62091"/>
    <s v="c963a25b8671419c6ce9eebe8fd03218"/>
    <s v="0cdad77786224a7cefea567b8c75c3c1"/>
    <s v="c638112b43f1d1b86dcabb0da720c901"/>
    <x v="270"/>
    <x v="12"/>
    <x v="0"/>
    <s v="cat"/>
    <s v="Unknow"/>
    <s v="Unknow"/>
    <s v="Unknow"/>
    <s v="manufacturer"/>
    <n v="0"/>
    <x v="0"/>
    <x v="2"/>
    <x v="0"/>
  </r>
  <r>
    <s v="42e63e1b4d6aa921fd566bdef26e5ef4"/>
    <s v="2aafae69bf4c41fbd94053d9413e87ee"/>
    <s v="068066e24f0c643eb1d089c7dd20cd73"/>
    <s v="fbf4aef3f6915dc0c3c97d6812522f6a"/>
    <x v="271"/>
    <x v="10"/>
    <x v="0"/>
    <s v="cat"/>
    <s v="Unknow"/>
    <s v="Unknow"/>
    <s v="Unknow"/>
    <s v="manufacturer"/>
    <n v="0"/>
    <x v="0"/>
    <x v="5"/>
    <x v="0"/>
  </r>
  <r>
    <s v="d57b5430f8c6a9fa9d91cb60bd237336"/>
    <s v="3c6b1149911003e599410f60c7735bc6"/>
    <s v="9e4d1098a3b0f5da39b0bc48f9876645"/>
    <s v="4ef15afb4b2723d8f3d81e51ec7afefe"/>
    <x v="272"/>
    <x v="19"/>
    <x v="0"/>
    <s v="cat"/>
    <s v="Unknow"/>
    <s v="Unknow"/>
    <s v="Unknow"/>
    <s v="reseller"/>
    <n v="0"/>
    <x v="0"/>
    <x v="0"/>
    <x v="0"/>
  </r>
  <r>
    <s v="3505514e9f9ba3724fc51cb3278e0e67"/>
    <s v="9ebf0ac03992f6240c8339820ed03581"/>
    <s v="b90f87164b5f8c2cfa5c8572834dbe3f"/>
    <s v="2695de1affa7750089c0455f8ce27021"/>
    <x v="273"/>
    <x v="18"/>
    <x v="2"/>
    <s v="cat, wolf"/>
    <b v="1"/>
    <b v="1"/>
    <s v="50-200"/>
    <s v="reseller"/>
    <n v="0"/>
    <x v="0"/>
    <x v="3"/>
    <x v="0"/>
  </r>
  <r>
    <s v="fdd68c10c38eb2811cbf1e13bc95b5a1"/>
    <s v="65d5e688c5bba88c62953b3a97264d54"/>
    <s v="9d12ef1a7eca3ec58c545c678af7869c"/>
    <s v="d3d1e91a157ea7f90548eef82f1955e3"/>
    <x v="274"/>
    <x v="22"/>
    <x v="4"/>
    <s v="cat"/>
    <s v="Unknow"/>
    <s v="Unknow"/>
    <s v="Unknow"/>
    <s v="manufacturer"/>
    <n v="0"/>
    <x v="0"/>
    <x v="0"/>
    <x v="0"/>
  </r>
  <r>
    <s v="f7066703eb3987f21f0d102ea8caaeb5"/>
    <s v="013d100f608a64ec8275c038aedeb064"/>
    <s v="a8387c01a09e99ce014107505b92388c"/>
    <s v="495d4e95a8cf8bbf8b432b612a2aa328"/>
    <x v="275"/>
    <x v="11"/>
    <x v="5"/>
    <s v="Unknow"/>
    <s v="Unknow"/>
    <s v="Unknow"/>
    <s v="Unknow"/>
    <s v="reseller"/>
    <n v="0"/>
    <x v="0"/>
    <x v="0"/>
    <x v="0"/>
  </r>
  <r>
    <s v="8423896e04d8cc356ddbb29d4cc9288d"/>
    <s v="d66c11a9572221d92fbb8c4897db5f9b"/>
    <s v="a8387c01a09e99ce014107505b92388c"/>
    <s v="4ef15afb4b2723d8f3d81e51ec7afefe"/>
    <x v="276"/>
    <x v="6"/>
    <x v="1"/>
    <s v="cat"/>
    <s v="Unknow"/>
    <s v="Unknow"/>
    <s v="Unknow"/>
    <s v="manufacturer"/>
    <n v="0"/>
    <x v="0"/>
    <x v="4"/>
    <x v="0"/>
  </r>
  <r>
    <s v="54007efbb2ae51f02c995466f0738caa"/>
    <s v="7d91f9d655df761fd0cf119733a61e74"/>
    <s v="b90f87164b5f8c2cfa5c8572834dbe3f"/>
    <s v="9d12ef1a7eca3ec58c545c678af7869c"/>
    <x v="277"/>
    <x v="30"/>
    <x v="0"/>
    <s v="cat"/>
    <b v="1"/>
    <b v="1"/>
    <s v="5-20"/>
    <s v="reseller"/>
    <n v="400"/>
    <x v="0"/>
    <x v="0"/>
    <x v="0"/>
  </r>
  <r>
    <s v="1991b2c8479598ad84ed59f5446bb589"/>
    <s v="77d0bfeb12a6711682cc61a508f87313"/>
    <s v="f42a2bd194f7802ab052a815c8de65b7"/>
    <s v="85fc447d336637ba1df43e793199fbc8"/>
    <x v="278"/>
    <x v="4"/>
    <x v="6"/>
    <s v="cat"/>
    <s v="Unknow"/>
    <s v="Unknow"/>
    <s v="Unknow"/>
    <s v="reseller"/>
    <n v="0"/>
    <x v="0"/>
    <x v="3"/>
    <x v="0"/>
  </r>
  <r>
    <s v="180d9ac0990bb42907fe9cc7aa3eb5a1"/>
    <s v="01fd077212124329bac32490e8ef80d9"/>
    <s v="09285259593c61296eef10c734121d5b"/>
    <s v="85fc447d336637ba1df43e793199fbc8"/>
    <x v="279"/>
    <x v="6"/>
    <x v="0"/>
    <s v="cat"/>
    <s v="Unknow"/>
    <s v="Unknow"/>
    <s v="Unknow"/>
    <s v="reseller"/>
    <n v="0"/>
    <x v="0"/>
    <x v="3"/>
    <x v="0"/>
  </r>
  <r>
    <s v="0c28423a88b5dbffd0d1ee2aec41efd0"/>
    <s v="c0199604c0ca0863cd20b95aadd24427"/>
    <s v="4b339f9567d060bcea4f5136b9f5949e"/>
    <s v="85fc447d336637ba1df43e793199fbc8"/>
    <x v="280"/>
    <x v="27"/>
    <x v="0"/>
    <s v="eagle"/>
    <s v="Unknow"/>
    <s v="Unknow"/>
    <s v="Unknow"/>
    <s v="reseller"/>
    <n v="0"/>
    <x v="0"/>
    <x v="0"/>
    <x v="0"/>
  </r>
  <r>
    <s v="af1ea7c59c7e37f0b95b48bc972ceb67"/>
    <s v="7461606ae81596a71b8a98fd0f2460b2"/>
    <s v="9d12ef1a7eca3ec58c545c678af7869c"/>
    <s v="56bf83c4bb35763a51c2baab501b4c67"/>
    <x v="281"/>
    <x v="22"/>
    <x v="4"/>
    <s v="cat"/>
    <s v="Unknow"/>
    <s v="Unknow"/>
    <s v="Unknow"/>
    <s v="reseller"/>
    <n v="0"/>
    <x v="0"/>
    <x v="3"/>
    <x v="0"/>
  </r>
  <r>
    <s v="cb92c899ab0e2c0fcf4d4e11e9930f6a"/>
    <s v="9d213f303afae4983637247556438ede"/>
    <s v="34d40cdaf94010a1d05b0d6212f9e909"/>
    <s v="a8387c01a09e99ce014107505b92388c"/>
    <x v="282"/>
    <x v="13"/>
    <x v="2"/>
    <s v="cat"/>
    <s v="Unknow"/>
    <s v="Unknow"/>
    <s v="Unknow"/>
    <s v="reseller"/>
    <n v="0"/>
    <x v="0"/>
    <x v="2"/>
    <x v="0"/>
  </r>
  <r>
    <s v="6bdffb19c15963b8e630b6a1861b477f"/>
    <s v="76bf0e3e7d311d9069d4512cc1a232d7"/>
    <s v="34d40cdaf94010a1d05b0d6212f9e909"/>
    <s v="9e4d1098a3b0f5da39b0bc48f9876645"/>
    <x v="283"/>
    <x v="12"/>
    <x v="3"/>
    <s v="cat"/>
    <s v="Unknow"/>
    <s v="Unknow"/>
    <s v="Unknow"/>
    <s v="manufacturer"/>
    <n v="0"/>
    <x v="0"/>
    <x v="3"/>
    <x v="0"/>
  </r>
  <r>
    <s v="834e43588167648b6f83961cf22f940e"/>
    <s v="4ff8d644ff76721b86fdc7c75c48d4a6"/>
    <s v="4b339f9567d060bcea4f5136b9f5949e"/>
    <s v="a8387c01a09e99ce014107505b92388c"/>
    <x v="284"/>
    <x v="1"/>
    <x v="0"/>
    <s v="cat"/>
    <s v="Unknow"/>
    <s v="Unknow"/>
    <s v="Unknow"/>
    <s v="reseller"/>
    <n v="0"/>
    <x v="0"/>
    <x v="3"/>
    <x v="0"/>
  </r>
  <r>
    <s v="688026f6edb29cc7c96b287b186b03c9"/>
    <s v="59ddca14932ec5557c099a51c4d5a58e"/>
    <s v="0a0fb2b07d841f84fb6714e35c723075"/>
    <s v="de63de0d10a6012430098db33c679b0b"/>
    <x v="285"/>
    <x v="11"/>
    <x v="3"/>
    <s v="cat"/>
    <s v="Unknow"/>
    <s v="Unknow"/>
    <s v="Unknow"/>
    <s v="reseller"/>
    <n v="0"/>
    <x v="0"/>
    <x v="2"/>
    <x v="0"/>
  </r>
  <r>
    <s v="439c56de17208ac25a2abee9beca46f7"/>
    <s v="8c9348f33ae3dada25c99c99ade2af78"/>
    <s v="a8387c01a09e99ce014107505b92388c"/>
    <s v="56bf83c4bb35763a51c2baab501b4c67"/>
    <x v="286"/>
    <x v="7"/>
    <x v="3"/>
    <s v="cat"/>
    <s v="Unknow"/>
    <s v="Unknow"/>
    <s v="Unknow"/>
    <s v="reseller"/>
    <n v="0"/>
    <x v="0"/>
    <x v="2"/>
    <x v="0"/>
  </r>
  <r>
    <s v="ed1f42da2c5662307df13fe5648b05bf"/>
    <s v="89c4c1dfaab405a37514bda5243b0206"/>
    <s v="34d40cdaf94010a1d05b0d6212f9e909"/>
    <s v="a8387c01a09e99ce014107505b92388c"/>
    <x v="287"/>
    <x v="9"/>
    <x v="3"/>
    <s v="cat"/>
    <s v="Unknow"/>
    <s v="Unknow"/>
    <s v="5-20"/>
    <s v="reseller"/>
    <n v="100"/>
    <x v="0"/>
    <x v="1"/>
    <x v="0"/>
  </r>
  <r>
    <s v="9577014358ebabb5010e7513a7439a82"/>
    <s v="f1b854361f4e15d5851b494df66f22b2"/>
    <s v="370c9f455f93a9a96cbe9bea48e70033"/>
    <s v="85fc447d336637ba1df43e793199fbc8"/>
    <x v="288"/>
    <x v="0"/>
    <x v="2"/>
    <s v="cat"/>
    <s v="Unknow"/>
    <s v="Unknow"/>
    <s v="Unknow"/>
    <s v="manufacturer"/>
    <n v="0"/>
    <x v="0"/>
    <x v="4"/>
    <x v="0"/>
  </r>
  <r>
    <s v="c6c02ef92aa0dcb6c333a27cfb22d47c"/>
    <s v="c8665a4dd081a2c436b1cd921079d0d9"/>
    <s v="4b339f9567d060bcea4f5136b9f5949e"/>
    <s v="6565aa9ce3178a5caf6171827af3a9ba"/>
    <x v="289"/>
    <x v="1"/>
    <x v="0"/>
    <s v="wolf"/>
    <s v="Unknow"/>
    <s v="Unknow"/>
    <s v="Unknow"/>
    <s v="reseller"/>
    <n v="0"/>
    <x v="0"/>
    <x v="4"/>
    <x v="0"/>
  </r>
  <r>
    <s v="22c0b2a19a05fff19e92fab5a0b7728b"/>
    <s v="138dbe45fc62f1e244378131a6801526"/>
    <s v="9d12ef1a7eca3ec58c545c678af7869c"/>
    <s v="9e4d1098a3b0f5da39b0bc48f9876645"/>
    <x v="290"/>
    <x v="6"/>
    <x v="0"/>
    <s v="eagle"/>
    <s v="Unknow"/>
    <s v="Unknow"/>
    <s v="Unknow"/>
    <s v="reseller"/>
    <n v="0"/>
    <x v="0"/>
    <x v="2"/>
    <x v="0"/>
  </r>
  <r>
    <s v="41fb0fd43593de7d24448de9f5aea38e"/>
    <s v="b25ec1aff84400104d63eadc3b3052fa"/>
    <s v="9e4d1098a3b0f5da39b0bc48f9876645"/>
    <s v="2695de1affa7750089c0455f8ce27021"/>
    <x v="291"/>
    <x v="19"/>
    <x v="4"/>
    <s v="cat"/>
    <s v="Unknow"/>
    <s v="Unknow"/>
    <s v="Unknow"/>
    <s v="reseller"/>
    <n v="0"/>
    <x v="0"/>
    <x v="2"/>
    <x v="0"/>
  </r>
  <r>
    <s v="7b27ab2fbcbe3b67935da0694742ed0e"/>
    <s v="3917f19baf48b61b7c9a106ea10ad953"/>
    <s v="de63de0d10a6012430098db33c679b0b"/>
    <s v="6565aa9ce3178a5caf6171827af3a9ba"/>
    <x v="292"/>
    <x v="18"/>
    <x v="2"/>
    <s v="Unknow"/>
    <s v="Unknow"/>
    <s v="Unknow"/>
    <s v="Unknow"/>
    <s v="reseller"/>
    <n v="0"/>
    <x v="0"/>
    <x v="0"/>
    <x v="0"/>
  </r>
  <r>
    <s v="bea6f48261d29b0dba555367e277f670"/>
    <s v="eb72802c83dc7547529c9546d1a9b8ef"/>
    <s v="4b339f9567d060bcea4f5136b9f5949e"/>
    <s v="6565aa9ce3178a5caf6171827af3a9ba"/>
    <x v="293"/>
    <x v="4"/>
    <x v="0"/>
    <s v="wolf"/>
    <s v="Unknow"/>
    <s v="Unknow"/>
    <s v="Unknow"/>
    <s v="reseller"/>
    <n v="0"/>
    <x v="0"/>
    <x v="0"/>
    <x v="0"/>
  </r>
  <r>
    <s v="84ca5950143557353793f24e65e1af22"/>
    <s v="b67d6c666e8dce1d078c882825e12704"/>
    <s v="0a0fb2b07d841f84fb6714e35c723075"/>
    <s v="6565aa9ce3178a5caf6171827af3a9ba"/>
    <x v="294"/>
    <x v="9"/>
    <x v="0"/>
    <s v="eagle"/>
    <s v="Unknow"/>
    <s v="Unknow"/>
    <s v="Unknow"/>
    <s v="reseller"/>
    <n v="0"/>
    <x v="0"/>
    <x v="3"/>
    <x v="0"/>
  </r>
  <r>
    <s v="68482ad368c7b9779cf50a7164815379"/>
    <s v="980640c45d7a4635885491d077167e4d"/>
    <s v="4b339f9567d060bcea4f5136b9f5949e"/>
    <s v="de63de0d10a6012430098db33c679b0b"/>
    <x v="295"/>
    <x v="21"/>
    <x v="0"/>
    <s v="cat"/>
    <s v="Unknow"/>
    <s v="Unknow"/>
    <s v="Unknow"/>
    <s v="reseller"/>
    <n v="0"/>
    <x v="0"/>
    <x v="3"/>
    <x v="0"/>
  </r>
  <r>
    <s v="70699f79c6aeddeb2d322d7074c2f366"/>
    <s v="d84ecc09e7c9517825a219be37aca08b"/>
    <s v="f42a2bd194f7802ab052a815c8de65b7"/>
    <s v="2695de1affa7750089c0455f8ce27021"/>
    <x v="296"/>
    <x v="1"/>
    <x v="4"/>
    <s v="shark"/>
    <s v="Unknow"/>
    <s v="Unknow"/>
    <s v="Unknow"/>
    <s v="manufacturer"/>
    <n v="0"/>
    <x v="0"/>
    <x v="2"/>
    <x v="0"/>
  </r>
  <r>
    <s v="29ed0987440c24898ae109b05a1d3f8e"/>
    <s v="dc7192adf8ba09569261f4a8d576afe0"/>
    <s v="b90f87164b5f8c2cfa5c8572834dbe3f"/>
    <s v="4ef15afb4b2723d8f3d81e51ec7afefe"/>
    <x v="297"/>
    <x v="6"/>
    <x v="0"/>
    <s v="cat"/>
    <s v="Unknow"/>
    <s v="Unknow"/>
    <s v="Unknow"/>
    <s v="reseller"/>
    <n v="0"/>
    <x v="0"/>
    <x v="3"/>
    <x v="0"/>
  </r>
  <r>
    <s v="85fb7822c0e202d4b3bb8c1ad5e0280c"/>
    <s v="43037711a5c131786d1633e96185d278"/>
    <s v="a8387c01a09e99ce014107505b92388c"/>
    <s v="c638112b43f1d1b86dcabb0da720c901"/>
    <x v="298"/>
    <x v="0"/>
    <x v="2"/>
    <s v="cat"/>
    <s v="Unknow"/>
    <s v="Unknow"/>
    <s v="Unknow"/>
    <s v="reseller"/>
    <n v="0"/>
    <x v="0"/>
    <x v="0"/>
    <x v="0"/>
  </r>
  <r>
    <s v="99bc9f7d864b6291861728d671d61890"/>
    <s v="3b2386b23bc4807a467c2ea5770cdd80"/>
    <s v="a8387c01a09e99ce014107505b92388c"/>
    <s v="495d4e95a8cf8bbf8b432b612a2aa328"/>
    <x v="299"/>
    <x v="6"/>
    <x v="0"/>
    <s v="cat"/>
    <s v="Unknow"/>
    <s v="Unknow"/>
    <s v="Unknow"/>
    <s v="manufacturer"/>
    <n v="0"/>
    <x v="0"/>
    <x v="5"/>
    <x v="0"/>
  </r>
  <r>
    <s v="0c1a046883bb8a4141228501feece7c1"/>
    <s v="c30eb4a935f1ea375393aa691a69b19c"/>
    <s v="4b339f9567d060bcea4f5136b9f5949e"/>
    <s v="2695de1affa7750089c0455f8ce27021"/>
    <x v="300"/>
    <x v="19"/>
    <x v="0"/>
    <s v="cat"/>
    <s v="Unknow"/>
    <s v="Unknow"/>
    <s v="Unknow"/>
    <s v="reseller"/>
    <n v="0"/>
    <x v="0"/>
    <x v="0"/>
    <x v="0"/>
  </r>
  <r>
    <s v="ab65e1a4d850fa15d38469a1ad02ce90"/>
    <s v="ffad1e7127fb622cb64a900751590acd"/>
    <s v="56bf83c4bb35763a51c2baab501b4c67"/>
    <s v="9ae085775a198122c5586fa830ff7f2b"/>
    <x v="301"/>
    <x v="12"/>
    <x v="0"/>
    <s v="Unknow"/>
    <s v="Unknow"/>
    <s v="Unknow"/>
    <s v="Unknow"/>
    <s v="manufacturer"/>
    <n v="0"/>
    <x v="0"/>
    <x v="0"/>
    <x v="0"/>
  </r>
  <r>
    <s v="2f45fb6d3d46af0423ad2813249ac4a2"/>
    <s v="7b98de631987e26dd6d803490c43a13c"/>
    <s v="56bf83c4bb35763a51c2baab501b4c67"/>
    <s v="56bf83c4bb35763a51c2baab501b4c67"/>
    <x v="302"/>
    <x v="7"/>
    <x v="1"/>
    <s v="cat"/>
    <s v="Unknow"/>
    <s v="Unknow"/>
    <s v="Unknow"/>
    <s v="manufacturer"/>
    <n v="0"/>
    <x v="0"/>
    <x v="0"/>
    <x v="0"/>
  </r>
  <r>
    <s v="c733f4f772bfa7b8702ccb81887f8333"/>
    <s v="77d81755dbf8e62faa0fb683e1a802c6"/>
    <s v="068066e24f0c643eb1d089c7dd20cd73"/>
    <s v="9e4d1098a3b0f5da39b0bc48f9876645"/>
    <x v="303"/>
    <x v="2"/>
    <x v="5"/>
    <s v="cat"/>
    <s v="Unknow"/>
    <s v="Unknow"/>
    <s v="Unknow"/>
    <s v="reseller"/>
    <n v="0"/>
    <x v="0"/>
    <x v="2"/>
    <x v="0"/>
  </r>
  <r>
    <s v="a06df17094fd9599cad32555b897a0d3"/>
    <s v="70bf57d811208f8923b41bbd499a67a4"/>
    <s v="f42a2bd194f7802ab052a815c8de65b7"/>
    <s v="4ef15afb4b2723d8f3d81e51ec7afefe"/>
    <x v="304"/>
    <x v="18"/>
    <x v="0"/>
    <s v="cat"/>
    <s v="Unknow"/>
    <s v="Unknow"/>
    <s v="Unknow"/>
    <s v="reseller"/>
    <n v="0"/>
    <x v="0"/>
    <x v="4"/>
    <x v="0"/>
  </r>
  <r>
    <s v="a7949e3bfe0d90df9ba1700365ac42c9"/>
    <s v="4018093c0809ddcb1f633ed5cc3f5eb2"/>
    <s v="56bf83c4bb35763a51c2baab501b4c67"/>
    <s v="495d4e95a8cf8bbf8b432b612a2aa328"/>
    <x v="305"/>
    <x v="12"/>
    <x v="0"/>
    <s v="cat"/>
    <s v="Unknow"/>
    <s v="Unknow"/>
    <s v="Unknow"/>
    <s v="manufacturer"/>
    <n v="0"/>
    <x v="0"/>
    <x v="0"/>
    <x v="0"/>
  </r>
  <r>
    <s v="c2bb2199cb1cff125e02122597fbfb29"/>
    <s v="4de7a9f2b6acffd74c9f148f8902b854"/>
    <s v="f42a2bd194f7802ab052a815c8de65b7"/>
    <s v="2695de1affa7750089c0455f8ce27021"/>
    <x v="306"/>
    <x v="14"/>
    <x v="0"/>
    <s v="shark, cat"/>
    <b v="1"/>
    <b v="1"/>
    <s v="200+"/>
    <s v="reseller"/>
    <n v="0"/>
    <x v="0"/>
    <x v="0"/>
    <x v="0"/>
  </r>
  <r>
    <s v="5f7526ec1bdd6eebdf4f7d0054cfe163"/>
    <s v="bc8c8d665ec4664d286be0d521722b19"/>
    <s v="4b339f9567d060bcea4f5136b9f5949e"/>
    <s v="6565aa9ce3178a5caf6171827af3a9ba"/>
    <x v="307"/>
    <x v="3"/>
    <x v="0"/>
    <s v="wolf"/>
    <s v="Unknow"/>
    <s v="Unknow"/>
    <s v="Unknow"/>
    <s v="reseller"/>
    <n v="0"/>
    <x v="0"/>
    <x v="0"/>
    <x v="0"/>
  </r>
  <r>
    <s v="1024cf4dc7f44bc2296769309fcfb4e5"/>
    <s v="a63bfbaa882c8f4542891b4e2246cc7f"/>
    <s v="34d40cdaf94010a1d05b0d6212f9e909"/>
    <s v="4ef15afb4b2723d8f3d81e51ec7afefe"/>
    <x v="308"/>
    <x v="4"/>
    <x v="2"/>
    <s v="cat"/>
    <s v="Unknow"/>
    <s v="Unknow"/>
    <s v="Unknow"/>
    <s v="reseller"/>
    <n v="0"/>
    <x v="0"/>
    <x v="1"/>
    <x v="0"/>
  </r>
  <r>
    <s v="352409af828b39fe2353dfbe5e813752"/>
    <s v="33d677f27a69b84051204ee4ae76eaca"/>
    <s v="fdb16d3cbbeb5798f2f66c4096be026d"/>
    <s v="9ae085775a198122c5586fa830ff7f2b"/>
    <x v="309"/>
    <x v="3"/>
    <x v="4"/>
    <s v="Unknow"/>
    <s v="Unknow"/>
    <s v="Unknow"/>
    <s v="Unknow"/>
    <s v="reseller"/>
    <n v="0"/>
    <x v="0"/>
    <x v="4"/>
    <x v="0"/>
  </r>
  <r>
    <s v="b1e32544dc409b126235d7b5bc98246e"/>
    <s v="92887d76687f9477f1c7f759bc4a225b"/>
    <s v="a8387c01a09e99ce014107505b92388c"/>
    <s v="d3d1e91a157ea7f90548eef82f1955e3"/>
    <x v="310"/>
    <x v="22"/>
    <x v="6"/>
    <s v="cat"/>
    <s v="Unknow"/>
    <s v="Unknow"/>
    <s v="Unknow"/>
    <s v="reseller"/>
    <n v="0"/>
    <x v="0"/>
    <x v="3"/>
    <x v="0"/>
  </r>
  <r>
    <s v="bf5b131e6aee15fa373fb4d113b4a65c"/>
    <s v="8a8835a43bda99fd37310ad76c457510"/>
    <s v="34d40cdaf94010a1d05b0d6212f9e909"/>
    <s v="fbf4aef3f6915dc0c3c97d6812522f6a"/>
    <x v="311"/>
    <x v="1"/>
    <x v="2"/>
    <s v="cat"/>
    <s v="Unknow"/>
    <s v="Unknow"/>
    <s v="Unknow"/>
    <s v="reseller"/>
    <n v="0"/>
    <x v="0"/>
    <x v="1"/>
    <x v="0"/>
  </r>
  <r>
    <s v="ee488918cd8d11b893067864f9dabddb"/>
    <s v="0873d9f8f36123f8d910f4760e788cfb"/>
    <s v="068066e24f0c643eb1d089c7dd20cd73"/>
    <s v="060c0a26f19f4d66b42e0d8796688490"/>
    <x v="263"/>
    <x v="19"/>
    <x v="0"/>
    <s v="cat"/>
    <s v="Unknow"/>
    <s v="Unknow"/>
    <s v="Unknow"/>
    <s v="reseller"/>
    <n v="0"/>
    <x v="0"/>
    <x v="3"/>
    <x v="0"/>
  </r>
  <r>
    <s v="145bce9926e5e1adbddd13d9ee519c3e"/>
    <s v="59bbc819b99a733f02f0d6b49d1c253d"/>
    <s v="068066e24f0c643eb1d089c7dd20cd73"/>
    <s v="2695de1affa7750089c0455f8ce27021"/>
    <x v="312"/>
    <x v="1"/>
    <x v="0"/>
    <s v="Unknow"/>
    <s v="Unknow"/>
    <s v="Unknow"/>
    <s v="Unknow"/>
    <s v="reseller"/>
    <n v="0"/>
    <x v="0"/>
    <x v="0"/>
    <x v="0"/>
  </r>
  <r>
    <s v="aa65c38536b38e859fdecdcea7335154"/>
    <s v="61b18775be84fb700a6b2d0ba097bf66"/>
    <s v="9e4d1098a3b0f5da39b0bc48f9876645"/>
    <s v="c638112b43f1d1b86dcabb0da720c901"/>
    <x v="313"/>
    <x v="0"/>
    <x v="1"/>
    <s v="eagle"/>
    <s v="Unknow"/>
    <s v="Unknow"/>
    <s v="Unknow"/>
    <s v="reseller"/>
    <n v="0"/>
    <x v="0"/>
    <x v="2"/>
    <x v="0"/>
  </r>
  <r>
    <s v="24227051b98de30e484412134e0d0e49"/>
    <s v="761681a821d8275bc79f552116d06869"/>
    <s v="068066e24f0c643eb1d089c7dd20cd73"/>
    <s v="495d4e95a8cf8bbf8b432b612a2aa328"/>
    <x v="314"/>
    <x v="12"/>
    <x v="2"/>
    <s v="Unknow"/>
    <s v="Unknow"/>
    <s v="Unknow"/>
    <s v="Unknow"/>
    <s v="reseller"/>
    <n v="0"/>
    <x v="0"/>
    <x v="0"/>
    <x v="0"/>
  </r>
  <r>
    <s v="e29db7c8b090e8df0246f5a54cd72799"/>
    <s v="1a8e2d9c38b84a9702ac7922924b0573"/>
    <s v="de63de0d10a6012430098db33c679b0b"/>
    <s v="4ef15afb4b2723d8f3d81e51ec7afefe"/>
    <x v="315"/>
    <x v="6"/>
    <x v="1"/>
    <s v="Unknow"/>
    <s v="Unknow"/>
    <s v="Unknow"/>
    <s v="Unknow"/>
    <s v="manufacturer"/>
    <n v="0"/>
    <x v="0"/>
    <x v="2"/>
    <x v="0"/>
  </r>
  <r>
    <s v="5290b66ff9e0c1115614365d8e20f10c"/>
    <s v="ab2a1539d7cdbddcfb6b568447ed767d"/>
    <s v="9749123c950bf8363ace42cb1c2d0815"/>
    <s v="495d4e95a8cf8bbf8b432b612a2aa328"/>
    <x v="316"/>
    <x v="17"/>
    <x v="0"/>
    <s v="cat"/>
    <b v="1"/>
    <b v="1"/>
    <s v="20-50"/>
    <s v="reseller"/>
    <n v="500"/>
    <x v="2"/>
    <x v="7"/>
    <x v="1"/>
  </r>
  <r>
    <s v="b145d383541b505a53c5715a21385f80"/>
    <s v="a66aed6f85eb3f719792329338875b72"/>
    <s v="34d40cdaf94010a1d05b0d6212f9e909"/>
    <s v="de63de0d10a6012430098db33c679b0b"/>
    <x v="317"/>
    <x v="11"/>
    <x v="4"/>
    <s v="cat"/>
    <s v="Unknow"/>
    <s v="Unknow"/>
    <s v="Unknow"/>
    <s v="reseller"/>
    <n v="0"/>
    <x v="0"/>
    <x v="1"/>
    <x v="0"/>
  </r>
  <r>
    <s v="a58f8a3280b2dd6440d88af9decb9b1f"/>
    <s v="c32fc744b9160ac853450488e3cfea93"/>
    <s v="9e4d1098a3b0f5da39b0bc48f9876645"/>
    <s v="85fc447d336637ba1df43e793199fbc8"/>
    <x v="318"/>
    <x v="11"/>
    <x v="0"/>
    <s v="cat"/>
    <s v="Unknow"/>
    <s v="Unknow"/>
    <s v="Unknow"/>
    <s v="reseller"/>
    <n v="0"/>
    <x v="0"/>
    <x v="0"/>
    <x v="0"/>
  </r>
  <r>
    <s v="4c898465f7e0becf53dd933ab2a1b6f9"/>
    <s v="08083b94b3c7e0847502a026125dbfbd"/>
    <s v="4b339f9567d060bcea4f5136b9f5949e"/>
    <s v="fbf4aef3f6915dc0c3c97d6812522f6a"/>
    <x v="319"/>
    <x v="7"/>
    <x v="5"/>
    <s v="cat"/>
    <s v="Unknow"/>
    <s v="Unknow"/>
    <s v="Unknow"/>
    <s v="reseller"/>
    <n v="0"/>
    <x v="0"/>
    <x v="2"/>
    <x v="0"/>
  </r>
  <r>
    <s v="3469f647707d7517364600b07bd45816"/>
    <s v="165b1235e9e9942cb5fae67103576fb0"/>
    <s v="068066e24f0c643eb1d089c7dd20cd73"/>
    <s v="495d4e95a8cf8bbf8b432b612a2aa328"/>
    <x v="320"/>
    <x v="12"/>
    <x v="2"/>
    <s v="cat"/>
    <s v="Unknow"/>
    <s v="Unknow"/>
    <s v="Unknow"/>
    <s v="reseller"/>
    <n v="0"/>
    <x v="0"/>
    <x v="2"/>
    <x v="0"/>
  </r>
  <r>
    <s v="19c777b5bed02ee09375ce374cf653f1"/>
    <s v="13a6bea45beacabbd2d7551940020653"/>
    <s v="09285259593c61296eef10c734121d5b"/>
    <s v="6565aa9ce3178a5caf6171827af3a9ba"/>
    <x v="321"/>
    <x v="7"/>
    <x v="0"/>
    <s v="cat"/>
    <s v="Unknow"/>
    <s v="Unknow"/>
    <s v="Unknow"/>
    <s v="manufacturer"/>
    <n v="0"/>
    <x v="0"/>
    <x v="3"/>
    <x v="0"/>
  </r>
  <r>
    <s v="fc723a87e241c9b3c2e5fd4df4ff8e9d"/>
    <s v="9803a40e82e45418ab7fb84091af5231"/>
    <s v="4b339f9567d060bcea4f5136b9f5949e"/>
    <s v="c638112b43f1d1b86dcabb0da720c901"/>
    <x v="322"/>
    <x v="19"/>
    <x v="2"/>
    <s v="cat"/>
    <s v="Unknow"/>
    <s v="Unknow"/>
    <s v="Unknow"/>
    <s v="reseller"/>
    <n v="0"/>
    <x v="0"/>
    <x v="0"/>
    <x v="0"/>
  </r>
  <r>
    <s v="a7a8f7739ddc1abdd3bf7d4f9d8a911f"/>
    <s v="ec8463980a4e0ea9f8517aea1ed0c419"/>
    <s v="4b339f9567d060bcea4f5136b9f5949e"/>
    <s v="9e4d1098a3b0f5da39b0bc48f9876645"/>
    <x v="323"/>
    <x v="12"/>
    <x v="0"/>
    <s v="shark"/>
    <s v="Unknow"/>
    <s v="Unknow"/>
    <s v="Unknow"/>
    <s v="manufacturer"/>
    <n v="0"/>
    <x v="0"/>
    <x v="0"/>
    <x v="0"/>
  </r>
  <r>
    <s v="9e7f111f15db1aa3830cd806660d7b97"/>
    <s v="80b2f7568a7016771f58c5b981da3ae3"/>
    <s v="370c9f455f93a9a96cbe9bea48e70033"/>
    <s v="d3d1e91a157ea7f90548eef82f1955e3"/>
    <x v="324"/>
    <x v="4"/>
    <x v="1"/>
    <s v="shark"/>
    <s v="Unknow"/>
    <s v="Unknow"/>
    <s v="Unknow"/>
    <s v="Unknow"/>
    <n v="0"/>
    <x v="0"/>
    <x v="3"/>
    <x v="0"/>
  </r>
  <r>
    <s v="768a02c350549c32585575742d6c29da"/>
    <s v="e52a436a49da33527c29e1b5fbd09317"/>
    <s v="34d40cdaf94010a1d05b0d6212f9e909"/>
    <s v="2695de1affa7750089c0455f8ce27021"/>
    <x v="325"/>
    <x v="3"/>
    <x v="1"/>
    <s v="eagle"/>
    <s v="Unknow"/>
    <s v="Unknow"/>
    <s v="Unknow"/>
    <s v="manufacturer"/>
    <n v="0"/>
    <x v="0"/>
    <x v="0"/>
    <x v="0"/>
  </r>
  <r>
    <s v="647715020a35f278c5ff9de26e2a4f9b"/>
    <s v="f9eda05b67bef472deaddbba84aca289"/>
    <s v="56bf83c4bb35763a51c2baab501b4c67"/>
    <s v="4ef15afb4b2723d8f3d81e51ec7afefe"/>
    <x v="326"/>
    <x v="14"/>
    <x v="4"/>
    <s v="eagle"/>
    <s v="Unknow"/>
    <s v="Unknow"/>
    <s v="Unknow"/>
    <s v="reseller"/>
    <n v="0"/>
    <x v="0"/>
    <x v="2"/>
    <x v="0"/>
  </r>
  <r>
    <s v="a0a7ffa593070c447c15f66e0aab9785"/>
    <s v="ffa6adafb71b807dc13159e26431354c"/>
    <s v="9e4d1098a3b0f5da39b0bc48f9876645"/>
    <s v="6565aa9ce3178a5caf6171827af3a9ba"/>
    <x v="327"/>
    <x v="1"/>
    <x v="2"/>
    <s v="eagle"/>
    <s v="Unknow"/>
    <s v="Unknow"/>
    <s v="Unknow"/>
    <s v="manufacturer"/>
    <n v="0"/>
    <x v="0"/>
    <x v="0"/>
    <x v="0"/>
  </r>
  <r>
    <s v="55dbee9943100076f718829ec0359185"/>
    <s v="14c9e2cbff9aaf67afd967798a651733"/>
    <s v="56bf83c4bb35763a51c2baab501b4c67"/>
    <s v="6565aa9ce3178a5caf6171827af3a9ba"/>
    <x v="328"/>
    <x v="11"/>
    <x v="2"/>
    <s v="cat"/>
    <s v="Unknow"/>
    <s v="Unknow"/>
    <s v="Unknow"/>
    <s v="reseller"/>
    <n v="0"/>
    <x v="0"/>
    <x v="0"/>
    <x v="0"/>
  </r>
  <r>
    <s v="4fdeceef54c4e757fdbf8ea9132b22c9"/>
    <s v="447d377bdb757058acb569025ee18a93"/>
    <s v="4b339f9567d060bcea4f5136b9f5949e"/>
    <s v="fbf4aef3f6915dc0c3c97d6812522f6a"/>
    <x v="329"/>
    <x v="8"/>
    <x v="0"/>
    <s v="Unknow"/>
    <s v="Unknow"/>
    <s v="Unknow"/>
    <s v="Unknow"/>
    <s v="reseller"/>
    <n v="0"/>
    <x v="0"/>
    <x v="0"/>
    <x v="0"/>
  </r>
  <r>
    <s v="d348734a9ee240ebc4c0937a6e755621"/>
    <s v="f0533bc9cc3111a0b2f8198157a34571"/>
    <s v="56bf83c4bb35763a51c2baab501b4c67"/>
    <s v="060c0a26f19f4d66b42e0d8796688490"/>
    <x v="330"/>
    <x v="4"/>
    <x v="0"/>
    <s v="Unknow"/>
    <s v="Unknow"/>
    <s v="Unknow"/>
    <s v="Unknow"/>
    <s v="reseller"/>
    <n v="0"/>
    <x v="0"/>
    <x v="2"/>
    <x v="0"/>
  </r>
  <r>
    <s v="0f7a3e9f4a5a415ee8d01aa7ad65ab7a"/>
    <s v="1f7dfad2cb384ea4d2d7e1ffbd78c407"/>
    <s v="34d40cdaf94010a1d05b0d6212f9e909"/>
    <s v="9e4d1098a3b0f5da39b0bc48f9876645"/>
    <x v="90"/>
    <x v="8"/>
    <x v="1"/>
    <s v="cat"/>
    <s v="Unknow"/>
    <s v="Unknow"/>
    <s v="Unknow"/>
    <s v="manufacturer"/>
    <n v="0"/>
    <x v="0"/>
    <x v="3"/>
    <x v="0"/>
  </r>
  <r>
    <s v="04921466d09d50f6541fdd33b322c876"/>
    <s v="8de8fe3af4449ed695d2434c933ed73e"/>
    <s v="4b339f9567d060bcea4f5136b9f5949e"/>
    <s v="56bf83c4bb35763a51c2baab501b4c67"/>
    <x v="331"/>
    <x v="26"/>
    <x v="0"/>
    <s v="shark"/>
    <s v="Unknow"/>
    <s v="Unknow"/>
    <s v="Unknow"/>
    <s v="reseller"/>
    <n v="0"/>
    <x v="0"/>
    <x v="0"/>
    <x v="0"/>
  </r>
  <r>
    <s v="9b6e0fb52eba76006d3d11ead82fad4d"/>
    <s v="ceb123995e945aab9f7c259819f70a2e"/>
    <s v="45749fb708130f78d0db07d8d80f030b"/>
    <s v="9749123c950bf8363ace42cb1c2d0815"/>
    <x v="332"/>
    <x v="7"/>
    <x v="0"/>
    <s v="wolf"/>
    <b v="1"/>
    <b v="0"/>
    <s v="20-50"/>
    <s v="reseller"/>
    <n v="20"/>
    <x v="12"/>
    <x v="6"/>
    <x v="1"/>
  </r>
  <r>
    <s v="e84d3444422cda735543114cf5df6b95"/>
    <s v="db2956745b3a8e9f3785c99f34b5d25e"/>
    <s v="9d12ef1a7eca3ec58c545c678af7869c"/>
    <s v="de63de0d10a6012430098db33c679b0b"/>
    <x v="333"/>
    <x v="19"/>
    <x v="0"/>
    <s v="cat"/>
    <s v="Unknow"/>
    <s v="Unknow"/>
    <s v="Unknow"/>
    <s v="manufacturer"/>
    <n v="0"/>
    <x v="0"/>
    <x v="3"/>
    <x v="0"/>
  </r>
  <r>
    <s v="70e177868d7bc383ce3ea10b6f976ada"/>
    <s v="c5f7e746b7e6d07def6c0dae9903279b"/>
    <s v="56bf83c4bb35763a51c2baab501b4c67"/>
    <s v="d3d1e91a157ea7f90548eef82f1955e3"/>
    <x v="334"/>
    <x v="0"/>
    <x v="1"/>
    <s v="Unknow"/>
    <s v="Unknow"/>
    <s v="Unknow"/>
    <s v="Unknow"/>
    <s v="reseller"/>
    <n v="0"/>
    <x v="0"/>
    <x v="0"/>
    <x v="0"/>
  </r>
  <r>
    <s v="cdca41db5ada4bf3e8e608a495066165"/>
    <s v="bf28429c4b2c63d4a66f2a1ef89e7cfa"/>
    <s v="fdb16d3cbbeb5798f2f66c4096be026d"/>
    <s v="d3d1e91a157ea7f90548eef82f1955e3"/>
    <x v="335"/>
    <x v="5"/>
    <x v="0"/>
    <s v="cat"/>
    <s v="Unknow"/>
    <s v="Unknow"/>
    <s v="Unknow"/>
    <s v="reseller"/>
    <n v="0"/>
    <x v="0"/>
    <x v="0"/>
    <x v="0"/>
  </r>
  <r>
    <s v="479f751686a3b7f1783994dd56619558"/>
    <s v="684ffe8bd167b50565e8546d7a99ec63"/>
    <s v="9d12ef1a7eca3ec58c545c678af7869c"/>
    <s v="2695de1affa7750089c0455f8ce27021"/>
    <x v="336"/>
    <x v="12"/>
    <x v="0"/>
    <s v="wolf"/>
    <s v="Unknow"/>
    <s v="Unknow"/>
    <s v="Unknow"/>
    <s v="manufacturer"/>
    <n v="0"/>
    <x v="0"/>
    <x v="0"/>
    <x v="0"/>
  </r>
  <r>
    <s v="b43f5f80ddc7bcfebd6cd94e13554e4a"/>
    <s v="0fca1de8751a104ca87890f19f363d4d"/>
    <s v="56bf83c4bb35763a51c2baab501b4c67"/>
    <s v="de63de0d10a6012430098db33c679b0b"/>
    <x v="337"/>
    <x v="21"/>
    <x v="3"/>
    <s v="eagle"/>
    <s v="Unknow"/>
    <s v="Unknow"/>
    <s v="Unknow"/>
    <s v="manufacturer"/>
    <n v="0"/>
    <x v="0"/>
    <x v="4"/>
    <x v="0"/>
  </r>
  <r>
    <s v="860e39bc33e7c4ca4c26ec67979cc290"/>
    <s v="4bfc7a4a1cf8d4d2121c27422d9e50b5"/>
    <s v="a8387c01a09e99ce014107505b92388c"/>
    <s v="2695de1affa7750089c0455f8ce27021"/>
    <x v="338"/>
    <x v="12"/>
    <x v="2"/>
    <s v="cat"/>
    <s v="Unknow"/>
    <s v="Unknow"/>
    <s v="Unknow"/>
    <s v="reseller"/>
    <n v="0"/>
    <x v="0"/>
    <x v="2"/>
    <x v="0"/>
  </r>
  <r>
    <s v="03ba283fed2772f4e477eea4f0f236b8"/>
    <s v="98d634015211a1cd9b861e59b6d1b79b"/>
    <s v="4b339f9567d060bcea4f5136b9f5949e"/>
    <s v="fbf4aef3f6915dc0c3c97d6812522f6a"/>
    <x v="339"/>
    <x v="3"/>
    <x v="0"/>
    <s v="cat"/>
    <s v="Unknow"/>
    <s v="Unknow"/>
    <s v="Unknow"/>
    <s v="manufacturer"/>
    <n v="0"/>
    <x v="0"/>
    <x v="0"/>
    <x v="0"/>
  </r>
  <r>
    <s v="9f11e692a2a53a8382be86ee9713763c"/>
    <s v="6267b2cd3c8d9bfa2cc778c11d54e76c"/>
    <s v="fdb16d3cbbeb5798f2f66c4096be026d"/>
    <s v="6565aa9ce3178a5caf6171827af3a9ba"/>
    <x v="340"/>
    <x v="16"/>
    <x v="1"/>
    <s v="Unknow"/>
    <s v="Unknow"/>
    <s v="Unknow"/>
    <s v="Unknow"/>
    <s v="reseller"/>
    <n v="0"/>
    <x v="0"/>
    <x v="2"/>
    <x v="0"/>
  </r>
  <r>
    <s v="f613b01d52b86da04ae810f173d5aaef"/>
    <s v="f093be9f8ecb3904adb95cbe76434e1c"/>
    <s v="370c9f455f93a9a96cbe9bea48e70033"/>
    <s v="2695de1affa7750089c0455f8ce27021"/>
    <x v="341"/>
    <x v="23"/>
    <x v="6"/>
    <s v="cat"/>
    <s v="Unknow"/>
    <s v="Unknow"/>
    <s v="Unknow"/>
    <s v="manufacturer"/>
    <n v="100"/>
    <x v="0"/>
    <x v="0"/>
    <x v="0"/>
  </r>
  <r>
    <s v="a045219c760c6f765dfb3c5a6abf54c0"/>
    <s v="6e1706430e9dda78c8d2d5dd1f36d545"/>
    <s v="4b339f9567d060bcea4f5136b9f5949e"/>
    <s v="6565aa9ce3178a5caf6171827af3a9ba"/>
    <x v="342"/>
    <x v="11"/>
    <x v="1"/>
    <s v="cat"/>
    <s v="Unknow"/>
    <s v="Unknow"/>
    <s v="Unknow"/>
    <s v="manufacturer"/>
    <n v="0"/>
    <x v="0"/>
    <x v="3"/>
    <x v="0"/>
  </r>
  <r>
    <s v="ba7fb7aa93b1203a1f5e19b0857870e3"/>
    <s v="bec568278124768c474ee90971ca94d1"/>
    <s v="4b339f9567d060bcea4f5136b9f5949e"/>
    <s v="2695de1affa7750089c0455f8ce27021"/>
    <x v="343"/>
    <x v="12"/>
    <x v="6"/>
    <s v="cat"/>
    <s v="Unknow"/>
    <s v="Unknow"/>
    <s v="Unknow"/>
    <s v="reseller"/>
    <n v="0"/>
    <x v="0"/>
    <x v="2"/>
    <x v="0"/>
  </r>
  <r>
    <s v="d2108470e2824da1f619e91a0e4784d0"/>
    <s v="762fafdaa57a532ee0119731697579dd"/>
    <s v="068066e24f0c643eb1d089c7dd20cd73"/>
    <s v="d3d1e91a157ea7f90548eef82f1955e3"/>
    <x v="344"/>
    <x v="8"/>
    <x v="6"/>
    <s v="cat"/>
    <s v="Unknow"/>
    <s v="Unknow"/>
    <s v="Unknow"/>
    <s v="reseller"/>
    <n v="0"/>
    <x v="0"/>
    <x v="3"/>
    <x v="0"/>
  </r>
  <r>
    <s v="d8da124409cad437d5d2c35b101e3b91"/>
    <s v="d263fa444c1504a75cbca5cc465f592a"/>
    <s v="56bf83c4bb35763a51c2baab501b4c67"/>
    <s v="6565aa9ce3178a5caf6171827af3a9ba"/>
    <x v="345"/>
    <x v="31"/>
    <x v="4"/>
    <s v="Unknow"/>
    <s v="Unknow"/>
    <s v="Unknow"/>
    <s v="Unknow"/>
    <s v="reseller"/>
    <n v="0"/>
    <x v="0"/>
    <x v="4"/>
    <x v="0"/>
  </r>
  <r>
    <s v="37e3398f030e206491f4a61b69d39faa"/>
    <s v="cb9942fc1981289d7e809573bc69c7db"/>
    <s v="6b13bcea409754a002210eb96b8aad4a"/>
    <s v="6565aa9ce3178a5caf6171827af3a9ba"/>
    <x v="346"/>
    <x v="24"/>
    <x v="3"/>
    <s v="Unknow"/>
    <s v="Unknow"/>
    <s v="Unknow"/>
    <s v="Unknow"/>
    <s v="manufacturer"/>
    <n v="0"/>
    <x v="0"/>
    <x v="0"/>
    <x v="0"/>
  </r>
  <r>
    <s v="b5d3329593899c7a29511c6110bdc575"/>
    <s v="2cadea330183af560c84a87409e5c0e0"/>
    <s v="9e4d1098a3b0f5da39b0bc48f9876645"/>
    <s v="c638112b43f1d1b86dcabb0da720c901"/>
    <x v="347"/>
    <x v="1"/>
    <x v="0"/>
    <s v="cat"/>
    <s v="Unknow"/>
    <s v="Unknow"/>
    <s v="Unknow"/>
    <s v="reseller"/>
    <n v="0"/>
    <x v="0"/>
    <x v="0"/>
    <x v="0"/>
  </r>
  <r>
    <s v="56e421575126bfe4c0592353bab5cfe6"/>
    <s v="1f080fb8ad65b21e195b903bd366ae68"/>
    <s v="370c9f455f93a9a96cbe9bea48e70033"/>
    <s v="56bf83c4bb35763a51c2baab501b4c67"/>
    <x v="348"/>
    <x v="0"/>
    <x v="0"/>
    <s v="cat"/>
    <s v="Unknow"/>
    <s v="Unknow"/>
    <s v="Unknow"/>
    <s v="reseller"/>
    <n v="0"/>
    <x v="0"/>
    <x v="2"/>
    <x v="0"/>
  </r>
  <r>
    <s v="50cd562760a5819b07a9da2239046ef0"/>
    <s v="95081451c156a9d11136ecfc5422a20f"/>
    <s v="068066e24f0c643eb1d089c7dd20cd73"/>
    <s v="6565aa9ce3178a5caf6171827af3a9ba"/>
    <x v="349"/>
    <x v="1"/>
    <x v="0"/>
    <s v="cat"/>
    <s v="Unknow"/>
    <s v="Unknow"/>
    <s v="Unknow"/>
    <s v="reseller"/>
    <n v="0"/>
    <x v="0"/>
    <x v="4"/>
    <x v="0"/>
  </r>
  <r>
    <s v="888a8ba5a910f3b25c9b95dedfdc04b2"/>
    <s v="b30aab8e0bdb2b3876d33df69222cc5b"/>
    <s v="f42a2bd194f7802ab052a815c8de65b7"/>
    <s v="9749123c950bf8363ace42cb1c2d0815"/>
    <x v="350"/>
    <x v="6"/>
    <x v="4"/>
    <s v="wolf"/>
    <b v="1"/>
    <b v="1"/>
    <s v="Unknow"/>
    <s v="reseller"/>
    <n v="1"/>
    <x v="0"/>
    <x v="0"/>
    <x v="0"/>
  </r>
  <r>
    <s v="1160b456c2b0d88893e20daf51f80f39"/>
    <s v="bd57c88dfa162e7a0f5284a25935af65"/>
    <s v="4b339f9567d060bcea4f5136b9f5949e"/>
    <s v="6565aa9ce3178a5caf6171827af3a9ba"/>
    <x v="351"/>
    <x v="12"/>
    <x v="1"/>
    <s v="cat"/>
    <s v="Unknow"/>
    <s v="Unknow"/>
    <s v="Unknow"/>
    <s v="manufacturer"/>
    <n v="0"/>
    <x v="0"/>
    <x v="0"/>
    <x v="0"/>
  </r>
  <r>
    <s v="da96552c519b38a0d1b5dabc42e6be00"/>
    <s v="b03a9c9814f98280b6d91cb560eeda5b"/>
    <s v="0a0fb2b07d841f84fb6714e35c723075"/>
    <s v="6565aa9ce3178a5caf6171827af3a9ba"/>
    <x v="352"/>
    <x v="1"/>
    <x v="1"/>
    <s v="eagle"/>
    <s v="Unknow"/>
    <s v="Unknow"/>
    <s v="Unknow"/>
    <s v="reseller"/>
    <n v="0"/>
    <x v="0"/>
    <x v="5"/>
    <x v="0"/>
  </r>
  <r>
    <s v="3fc2d2c3597b3e7b87c17651f98f6c22"/>
    <s v="6514418ce691fad2663207c14a1fc1f4"/>
    <s v="b90f87164b5f8c2cfa5c8572834dbe3f"/>
    <s v="9ae085775a198122c5586fa830ff7f2b"/>
    <x v="353"/>
    <x v="3"/>
    <x v="1"/>
    <s v="cat"/>
    <b v="0"/>
    <b v="1"/>
    <s v="50-200"/>
    <s v="reseller"/>
    <n v="0"/>
    <x v="0"/>
    <x v="5"/>
    <x v="0"/>
  </r>
  <r>
    <s v="70217dd96da535e0b862ae12245c8906"/>
    <s v="3f9be91358837bff69df67edfa3e42e8"/>
    <s v="9e4d1098a3b0f5da39b0bc48f9876645"/>
    <s v="495d4e95a8cf8bbf8b432b612a2aa328"/>
    <x v="354"/>
    <x v="0"/>
    <x v="0"/>
    <s v="cat"/>
    <s v="Unknow"/>
    <s v="Unknow"/>
    <s v="Unknow"/>
    <s v="reseller"/>
    <n v="0"/>
    <x v="0"/>
    <x v="2"/>
    <x v="0"/>
  </r>
  <r>
    <s v="e633a3d4fb3db2c7665c170c80db6717"/>
    <s v="c1319b7d63c25ad7838d268fec93d0fa"/>
    <s v="56bf83c4bb35763a51c2baab501b4c67"/>
    <s v="de63de0d10a6012430098db33c679b0b"/>
    <x v="355"/>
    <x v="19"/>
    <x v="2"/>
    <s v="cat"/>
    <s v="Unknow"/>
    <s v="Unknow"/>
    <s v="Unknow"/>
    <s v="manufacturer"/>
    <n v="0"/>
    <x v="0"/>
    <x v="0"/>
    <x v="0"/>
  </r>
  <r>
    <s v="29237848f862237c97d24f2cd71f89c9"/>
    <s v="b6a59a960c14aab3c683a673d03ca2ab"/>
    <s v="56bf83c4bb35763a51c2baab501b4c67"/>
    <s v="4ef15afb4b2723d8f3d81e51ec7afefe"/>
    <x v="356"/>
    <x v="4"/>
    <x v="4"/>
    <s v="Unknow"/>
    <s v="Unknow"/>
    <s v="Unknow"/>
    <s v="Unknow"/>
    <s v="reseller"/>
    <n v="0"/>
    <x v="0"/>
    <x v="5"/>
    <x v="0"/>
  </r>
  <r>
    <s v="a4caf71cf38708eaf17117f78fa61c9f"/>
    <s v="871708b5b0c28260241a7ddbcec894c3"/>
    <s v="068066e24f0c643eb1d089c7dd20cd73"/>
    <s v="060c0a26f19f4d66b42e0d8796688490"/>
    <x v="357"/>
    <x v="8"/>
    <x v="0"/>
    <s v="cat"/>
    <s v="Unknow"/>
    <s v="Unknow"/>
    <s v="Unknow"/>
    <s v="manufacturer"/>
    <n v="0"/>
    <x v="0"/>
    <x v="0"/>
    <x v="0"/>
  </r>
  <r>
    <s v="3d98ceed3d2937a5e819cd5b239220a3"/>
    <s v="4867209cb29b56b92893d7bde3ce8012"/>
    <s v="de63de0d10a6012430098db33c679b0b"/>
    <s v="4ef15afb4b2723d8f3d81e51ec7afefe"/>
    <x v="358"/>
    <x v="4"/>
    <x v="3"/>
    <s v="Unknow"/>
    <s v="Unknow"/>
    <s v="Unknow"/>
    <s v="Unknow"/>
    <s v="manufacturer"/>
    <n v="0"/>
    <x v="0"/>
    <x v="2"/>
    <x v="0"/>
  </r>
  <r>
    <s v="e9356c402558dcf285db53208880d47e"/>
    <s v="e9179018f5d095c744e8a333264f99d1"/>
    <s v="9e4d1098a3b0f5da39b0bc48f9876645"/>
    <s v="060c0a26f19f4d66b42e0d8796688490"/>
    <x v="359"/>
    <x v="7"/>
    <x v="1"/>
    <s v="eagle"/>
    <s v="Unknow"/>
    <s v="Unknow"/>
    <s v="Unknow"/>
    <s v="reseller"/>
    <n v="0"/>
    <x v="0"/>
    <x v="2"/>
    <x v="0"/>
  </r>
  <r>
    <s v="5c490b208aeecdb2af2f4b6fb696a6fe"/>
    <s v="5e8fbfbb0b53e303caf57d7408627b73"/>
    <s v="9d12ef1a7eca3ec58c545c678af7869c"/>
    <s v="de63de0d10a6012430098db33c679b0b"/>
    <x v="360"/>
    <x v="12"/>
    <x v="3"/>
    <s v="cat"/>
    <s v="Unknow"/>
    <s v="Unknow"/>
    <s v="Unknow"/>
    <s v="manufacturer"/>
    <n v="0"/>
    <x v="0"/>
    <x v="0"/>
    <x v="0"/>
  </r>
  <r>
    <s v="a397cbaf77babef6e8fbbe9b72c7bee7"/>
    <s v="946a07c34ff7e9eafa2d0ad6c45340ec"/>
    <s v="4b339f9567d060bcea4f5136b9f5949e"/>
    <s v="d3d1e91a157ea7f90548eef82f1955e3"/>
    <x v="361"/>
    <x v="7"/>
    <x v="0"/>
    <s v="Unknow"/>
    <s v="Unknow"/>
    <s v="Unknow"/>
    <s v="Unknow"/>
    <s v="reseller"/>
    <n v="0"/>
    <x v="0"/>
    <x v="1"/>
    <x v="0"/>
  </r>
  <r>
    <s v="518f741fa426a51c73533c621e5c8107"/>
    <s v="d4ffeb15b67e81ff9af2b4252d99fb7e"/>
    <s v="068066e24f0c643eb1d089c7dd20cd73"/>
    <s v="de63de0d10a6012430098db33c679b0b"/>
    <x v="362"/>
    <x v="21"/>
    <x v="0"/>
    <s v="cat"/>
    <s v="Unknow"/>
    <s v="Unknow"/>
    <s v="Unknow"/>
    <s v="reseller"/>
    <n v="0"/>
    <x v="0"/>
    <x v="3"/>
    <x v="0"/>
  </r>
  <r>
    <s v="7c01802bb3674e5af58547b0395bcb2d"/>
    <s v="5e9f5bd34e0830569f05c9d4f56e04a8"/>
    <s v="9e4d1098a3b0f5da39b0bc48f9876645"/>
    <s v="fbf4aef3f6915dc0c3c97d6812522f6a"/>
    <x v="363"/>
    <x v="21"/>
    <x v="0"/>
    <s v="eagle"/>
    <s v="Unknow"/>
    <s v="Unknow"/>
    <s v="Unknow"/>
    <s v="manufacturer"/>
    <n v="0"/>
    <x v="0"/>
    <x v="0"/>
    <x v="0"/>
  </r>
  <r>
    <s v="abcb67d98a01dcf18478fd47823a8dad"/>
    <s v="b3a449163f5fe8657f2f0c83f41e7a5a"/>
    <s v="4b339f9567d060bcea4f5136b9f5949e"/>
    <s v="de63de0d10a6012430098db33c679b0b"/>
    <x v="364"/>
    <x v="8"/>
    <x v="0"/>
    <s v="eagle"/>
    <s v="Unknow"/>
    <s v="Unknow"/>
    <s v="Unknow"/>
    <s v="reseller"/>
    <n v="0"/>
    <x v="0"/>
    <x v="3"/>
    <x v="0"/>
  </r>
  <r>
    <s v="8f8161d3a6bdf6a3ba5b28fd35725356"/>
    <s v="c03fd7fd50f9f421847d970502fe5d26"/>
    <s v="370c9f455f93a9a96cbe9bea48e70033"/>
    <s v="4ef15afb4b2723d8f3d81e51ec7afefe"/>
    <x v="365"/>
    <x v="15"/>
    <x v="6"/>
    <s v="eagle"/>
    <s v="Unknow"/>
    <s v="Unknow"/>
    <s v="Unknow"/>
    <s v="reseller"/>
    <n v="0"/>
    <x v="0"/>
    <x v="0"/>
    <x v="0"/>
  </r>
  <r>
    <s v="6e4e57e5aacf1a8feffa258c2c6ff947"/>
    <s v="d8bf0fc082fd4a77fc2e5679b6c00133"/>
    <s v="09285259593c61296eef10c734121d5b"/>
    <s v="d3d1e91a157ea7f90548eef82f1955e3"/>
    <x v="366"/>
    <x v="7"/>
    <x v="0"/>
    <s v="wolf"/>
    <s v="Unknow"/>
    <s v="Unknow"/>
    <s v="Unknow"/>
    <s v="reseller"/>
    <n v="0"/>
    <x v="0"/>
    <x v="0"/>
    <x v="0"/>
  </r>
  <r>
    <s v="384008daaa0f14b58912d8648101fdd0"/>
    <s v="8a432f4e5b471f8da497d7dc517666e2"/>
    <s v="9e4d1098a3b0f5da39b0bc48f9876645"/>
    <s v="c638112b43f1d1b86dcabb0da720c901"/>
    <x v="367"/>
    <x v="13"/>
    <x v="2"/>
    <s v="cat"/>
    <s v="Unknow"/>
    <s v="Unknow"/>
    <s v="Unknow"/>
    <s v="reseller"/>
    <n v="0"/>
    <x v="0"/>
    <x v="0"/>
    <x v="0"/>
  </r>
  <r>
    <s v="2b9eb12abdcf58e92fcf797a1eb2983d"/>
    <s v="108ca0788dee2b34051cd325dd9eafed"/>
    <s v="4b339f9567d060bcea4f5136b9f5949e"/>
    <s v="2695de1affa7750089c0455f8ce27021"/>
    <x v="368"/>
    <x v="13"/>
    <x v="0"/>
    <s v="cat"/>
    <s v="Unknow"/>
    <s v="Unknow"/>
    <s v="Unknow"/>
    <s v="reseller"/>
    <n v="0"/>
    <x v="0"/>
    <x v="0"/>
    <x v="0"/>
  </r>
  <r>
    <s v="586e57a7ef16035bd85e2dcf44248130"/>
    <s v="03a2a6dcbe45d639c4dc2a0d24769c40"/>
    <s v="de63de0d10a6012430098db33c679b0b"/>
    <s v="4ef15afb4b2723d8f3d81e51ec7afefe"/>
    <x v="369"/>
    <x v="7"/>
    <x v="6"/>
    <s v="Unknow"/>
    <s v="Unknow"/>
    <s v="Unknow"/>
    <s v="Unknow"/>
    <s v="reseller"/>
    <n v="0"/>
    <x v="0"/>
    <x v="5"/>
    <x v="0"/>
  </r>
  <r>
    <s v="99fc32e3c05e03597a692c4fd9a9d162"/>
    <s v="6a38087bc8ad4f89ff453561005f6dea"/>
    <s v="b90f87164b5f8c2cfa5c8572834dbe3f"/>
    <s v="4ef15afb4b2723d8f3d81e51ec7afefe"/>
    <x v="370"/>
    <x v="5"/>
    <x v="2"/>
    <s v="cat"/>
    <s v="Unknow"/>
    <s v="Unknow"/>
    <s v="Unknow"/>
    <s v="reseller"/>
    <n v="0"/>
    <x v="0"/>
    <x v="1"/>
    <x v="0"/>
  </r>
  <r>
    <s v="e866f5b284008f65db1641dae437f9c2"/>
    <s v="d9a84e1403de8da0c3aa531d6d108ba6"/>
    <s v="4b339f9567d060bcea4f5136b9f5949e"/>
    <s v="4ef15afb4b2723d8f3d81e51ec7afefe"/>
    <x v="371"/>
    <x v="8"/>
    <x v="0"/>
    <s v="Unknow"/>
    <s v="Unknow"/>
    <s v="Unknow"/>
    <s v="Unknow"/>
    <s v="reseller"/>
    <n v="0"/>
    <x v="0"/>
    <x v="0"/>
    <x v="0"/>
  </r>
  <r>
    <s v="e5c8f30b30415b1fc94d820ba9d4d08c"/>
    <s v="f12d3c2a14729ae461b920c11fe20fdc"/>
    <s v="fdb16d3cbbeb5798f2f66c4096be026d"/>
    <s v="fbf4aef3f6915dc0c3c97d6812522f6a"/>
    <x v="372"/>
    <x v="12"/>
    <x v="2"/>
    <s v="Unknow"/>
    <s v="Unknow"/>
    <s v="Unknow"/>
    <s v="Unknow"/>
    <s v="reseller"/>
    <n v="0"/>
    <x v="0"/>
    <x v="0"/>
    <x v="0"/>
  </r>
  <r>
    <s v="fa5e2d8f160a9160ba19cf589cdc017b"/>
    <s v="cdb142290473bb9442f55741e430682e"/>
    <s v="068066e24f0c643eb1d089c7dd20cd73"/>
    <s v="4ef15afb4b2723d8f3d81e51ec7afefe"/>
    <x v="373"/>
    <x v="12"/>
    <x v="0"/>
    <s v="cat"/>
    <s v="Unknow"/>
    <s v="Unknow"/>
    <s v="Unknow"/>
    <s v="manufacturer"/>
    <n v="0"/>
    <x v="0"/>
    <x v="2"/>
    <x v="0"/>
  </r>
  <r>
    <s v="3efcf88e3453fc6d9ce464e51d3a81d4"/>
    <s v="a8739afb32aaa45e01815ca76f76f54b"/>
    <s v="9e4d1098a3b0f5da39b0bc48f9876645"/>
    <s v="495d4e95a8cf8bbf8b432b612a2aa328"/>
    <x v="374"/>
    <x v="1"/>
    <x v="2"/>
    <s v="eagle"/>
    <s v="Unknow"/>
    <s v="Unknow"/>
    <s v="Unknow"/>
    <s v="reseller"/>
    <n v="0"/>
    <x v="0"/>
    <x v="2"/>
    <x v="0"/>
  </r>
  <r>
    <s v="1360d3a80eca6292f33a04f7aebb5fee"/>
    <s v="12e6ecc830aa50dcace131431d90f426"/>
    <s v="45749fb708130f78d0db07d8d80f030b"/>
    <s v="9ae085775a198122c5586fa830ff7f2b"/>
    <x v="375"/>
    <x v="12"/>
    <x v="1"/>
    <s v="cat"/>
    <s v="Unknow"/>
    <s v="Unknow"/>
    <s v="Unknow"/>
    <s v="manufacturer"/>
    <n v="0"/>
    <x v="0"/>
    <x v="1"/>
    <x v="0"/>
  </r>
  <r>
    <s v="9375fea0a120ddcc052f02b81cde38fe"/>
    <s v="a6a52627793bc24c517d364354c20f6f"/>
    <s v="34d40cdaf94010a1d05b0d6212f9e909"/>
    <s v="2695de1affa7750089c0455f8ce27021"/>
    <x v="376"/>
    <x v="12"/>
    <x v="3"/>
    <s v="eagle"/>
    <s v="Unknow"/>
    <s v="Unknow"/>
    <s v="Unknow"/>
    <s v="reseller"/>
    <n v="0"/>
    <x v="0"/>
    <x v="0"/>
    <x v="0"/>
  </r>
  <r>
    <s v="3da19335c0dfd2c484d977ca16bfebd2"/>
    <s v="5bf397d04035b5f45cc41e82ec106803"/>
    <s v="068066e24f0c643eb1d089c7dd20cd73"/>
    <s v="2695de1affa7750089c0455f8ce27021"/>
    <x v="377"/>
    <x v="6"/>
    <x v="4"/>
    <s v="cat"/>
    <s v="Unknow"/>
    <s v="Unknow"/>
    <s v="Unknow"/>
    <s v="reseller"/>
    <n v="0"/>
    <x v="0"/>
    <x v="4"/>
    <x v="0"/>
  </r>
  <r>
    <s v="7318634fbf3172a58af7c638ddc76184"/>
    <s v="bbe9a13ea83539951c8edfc200565bad"/>
    <s v="09285259593c61296eef10c734121d5b"/>
    <s v="d3d1e91a157ea7f90548eef82f1955e3"/>
    <x v="378"/>
    <x v="12"/>
    <x v="2"/>
    <s v="cat"/>
    <s v="Unknow"/>
    <s v="Unknow"/>
    <s v="Unknow"/>
    <s v="manufacturer"/>
    <n v="0"/>
    <x v="0"/>
    <x v="0"/>
    <x v="0"/>
  </r>
  <r>
    <s v="963637be23e343ea96024053fdecd723"/>
    <s v="e00c0a3af0718a2ecf6618c84cd1b1ff"/>
    <s v="09285259593c61296eef10c734121d5b"/>
    <s v="9749123c950bf8363ace42cb1c2d0815"/>
    <x v="379"/>
    <x v="15"/>
    <x v="1"/>
    <s v="cat"/>
    <b v="1"/>
    <b v="1"/>
    <s v="20-50"/>
    <s v="reseller"/>
    <n v="200"/>
    <x v="0"/>
    <x v="0"/>
    <x v="0"/>
  </r>
  <r>
    <s v="9b4e84017d08b6576f1282367901c964"/>
    <s v="8bee95b757e33c86511de3f9311100b9"/>
    <s v="fdb16d3cbbeb5798f2f66c4096be026d"/>
    <s v="6565aa9ce3178a5caf6171827af3a9ba"/>
    <x v="380"/>
    <x v="1"/>
    <x v="0"/>
    <s v="wolf"/>
    <s v="Unknow"/>
    <s v="Unknow"/>
    <s v="Unknow"/>
    <s v="reseller"/>
    <n v="0"/>
    <x v="0"/>
    <x v="3"/>
    <x v="0"/>
  </r>
  <r>
    <s v="4dcfeaf97d0aec9f35e384d9c3624b39"/>
    <s v="d1ef48b38baca7e831711c4a0aeb398f"/>
    <s v="068066e24f0c643eb1d089c7dd20cd73"/>
    <s v="2695de1affa7750089c0455f8ce27021"/>
    <x v="381"/>
    <x v="7"/>
    <x v="0"/>
    <s v="Unknow"/>
    <s v="Unknow"/>
    <s v="Unknow"/>
    <s v="Unknow"/>
    <s v="reseller"/>
    <n v="0"/>
    <x v="0"/>
    <x v="0"/>
    <x v="0"/>
  </r>
  <r>
    <s v="a6807243689c76d0e34230e8e6ce5ca9"/>
    <s v="e5cbe890e679490127e9a390b46bbd20"/>
    <s v="f42a2bd194f7802ab052a815c8de65b7"/>
    <s v="2695de1affa7750089c0455f8ce27021"/>
    <x v="382"/>
    <x v="11"/>
    <x v="5"/>
    <s v="eagle"/>
    <s v="Unknow"/>
    <s v="Unknow"/>
    <s v="Unknow"/>
    <s v="manufacturer"/>
    <n v="0"/>
    <x v="0"/>
    <x v="2"/>
    <x v="0"/>
  </r>
  <r>
    <s v="0d7c4c62f923a1527f1e9e5bb30e5d60"/>
    <s v="e6bb1e7ea5580c5b9f0970407b3f8c7b"/>
    <s v="068066e24f0c643eb1d089c7dd20cd73"/>
    <s v="9ae085775a198122c5586fa830ff7f2b"/>
    <x v="383"/>
    <x v="7"/>
    <x v="0"/>
    <s v="cat"/>
    <s v="Unknow"/>
    <s v="Unknow"/>
    <s v="Unknow"/>
    <s v="manufacturer"/>
    <n v="0"/>
    <x v="0"/>
    <x v="3"/>
    <x v="0"/>
  </r>
  <r>
    <s v="24b23168fdaa0d98e9119081cd4fdd3e"/>
    <s v="0b0c50f6ddac7e6e7ed9d513ec122c74"/>
    <s v="09285259593c61296eef10c734121d5b"/>
    <s v="2695de1affa7750089c0455f8ce27021"/>
    <x v="384"/>
    <x v="6"/>
    <x v="3"/>
    <s v="cat"/>
    <s v="Unknow"/>
    <s v="Unknow"/>
    <s v="Unknow"/>
    <s v="manufacturer"/>
    <n v="0"/>
    <x v="0"/>
    <x v="0"/>
    <x v="0"/>
  </r>
  <r>
    <s v="4e92cdeada5b8e753d95bc8c5c219f6d"/>
    <s v="723cd880edaacdb998898b67c8f9da30"/>
    <s v="068066e24f0c643eb1d089c7dd20cd73"/>
    <s v="85fc447d336637ba1df43e793199fbc8"/>
    <x v="385"/>
    <x v="13"/>
    <x v="0"/>
    <s v="Unknow"/>
    <s v="Unknow"/>
    <s v="Unknow"/>
    <s v="Unknow"/>
    <s v="reseller"/>
    <n v="0"/>
    <x v="0"/>
    <x v="2"/>
    <x v="0"/>
  </r>
  <r>
    <s v="c263e540e76c57607b5e1b613fbc8732"/>
    <s v="a2fbfee48b1a9b455b126c70e421ec91"/>
    <s v="a8387c01a09e99ce014107505b92388c"/>
    <s v="85fc447d336637ba1df43e793199fbc8"/>
    <x v="386"/>
    <x v="31"/>
    <x v="6"/>
    <s v="cat"/>
    <s v="Unknow"/>
    <s v="Unknow"/>
    <s v="Unknow"/>
    <s v="reseller"/>
    <n v="0"/>
    <x v="0"/>
    <x v="1"/>
    <x v="0"/>
  </r>
  <r>
    <s v="3c0e7686e6e39489f6a45f6c7ec0dddb"/>
    <s v="7020bbe82544a814b5665a2887119267"/>
    <s v="9d12ef1a7eca3ec58c545c678af7869c"/>
    <s v="a8387c01a09e99ce014107505b92388c"/>
    <x v="387"/>
    <x v="4"/>
    <x v="0"/>
    <s v="wolf"/>
    <s v="Unknow"/>
    <s v="Unknow"/>
    <s v="Unknow"/>
    <s v="reseller"/>
    <n v="0"/>
    <x v="0"/>
    <x v="1"/>
    <x v="0"/>
  </r>
  <r>
    <s v="18f5d73a3c6b68160f6aa7fd089423b3"/>
    <s v="36f98ad67cc981f50ce8aed093d5783c"/>
    <s v="f42a2bd194f7802ab052a815c8de65b7"/>
    <s v="9ae085775a198122c5586fa830ff7f2b"/>
    <x v="388"/>
    <x v="19"/>
    <x v="3"/>
    <s v="eagle"/>
    <s v="Unknow"/>
    <s v="Unknow"/>
    <s v="Unknow"/>
    <s v="reseller"/>
    <n v="0"/>
    <x v="0"/>
    <x v="5"/>
    <x v="0"/>
  </r>
  <r>
    <s v="010ed37e44e2fdc175b4c5c6c930805a"/>
    <s v="8c6d188ef073e289887bc52bc37f3e61"/>
    <s v="068066e24f0c643eb1d089c7dd20cd73"/>
    <s v="9749123c950bf8363ace42cb1c2d0815"/>
    <x v="389"/>
    <x v="19"/>
    <x v="0"/>
    <s v="cat"/>
    <b v="1"/>
    <b v="1"/>
    <s v="5-20"/>
    <s v="reseller"/>
    <n v="70"/>
    <x v="13"/>
    <x v="2"/>
    <x v="1"/>
  </r>
  <r>
    <s v="b83a52c035258ed43d787106b1765e35"/>
    <s v="99a6380f4dd5ed504cd8003d94d0be25"/>
    <s v="b90f87164b5f8c2cfa5c8572834dbe3f"/>
    <s v="9ae085775a198122c5586fa830ff7f2b"/>
    <x v="390"/>
    <x v="12"/>
    <x v="8"/>
    <s v="Unknow"/>
    <s v="Unknow"/>
    <s v="Unknow"/>
    <s v="Unknow"/>
    <s v="reseller"/>
    <n v="0"/>
    <x v="0"/>
    <x v="0"/>
    <x v="0"/>
  </r>
  <r>
    <s v="0d6080ffaadf8f8fd9648afb791c29c2"/>
    <s v="83c465a786b06574376909b35ef6752a"/>
    <s v="09285259593c61296eef10c734121d5b"/>
    <s v="d3d1e91a157ea7f90548eef82f1955e3"/>
    <x v="391"/>
    <x v="29"/>
    <x v="4"/>
    <s v="eagle"/>
    <s v="Unknow"/>
    <s v="Unknow"/>
    <s v="Unknow"/>
    <s v="Unknow"/>
    <n v="0"/>
    <x v="0"/>
    <x v="2"/>
    <x v="0"/>
  </r>
  <r>
    <s v="973f72ab89f64e22470778a9bd1ea10f"/>
    <s v="6c99c983ce3b6ba0ab813e6790e81691"/>
    <s v="068066e24f0c643eb1d089c7dd20cd73"/>
    <s v="d3d1e91a157ea7f90548eef82f1955e3"/>
    <x v="392"/>
    <x v="8"/>
    <x v="3"/>
    <s v="cat"/>
    <s v="Unknow"/>
    <s v="Unknow"/>
    <s v="Unknow"/>
    <s v="reseller"/>
    <n v="0"/>
    <x v="0"/>
    <x v="4"/>
    <x v="0"/>
  </r>
  <r>
    <s v="bb221b9bbbf25cc108cffe12fe10fbc2"/>
    <s v="5e105f5c9f63f5f1fd75d6cb942e55b1"/>
    <s v="068066e24f0c643eb1d089c7dd20cd73"/>
    <s v="6565aa9ce3178a5caf6171827af3a9ba"/>
    <x v="393"/>
    <x v="12"/>
    <x v="0"/>
    <s v="Unknow"/>
    <s v="Unknow"/>
    <s v="Unknow"/>
    <s v="Unknow"/>
    <s v="manufacturer"/>
    <n v="0"/>
    <x v="0"/>
    <x v="3"/>
    <x v="0"/>
  </r>
  <r>
    <s v="fff8db9478d2fd72df65a67ee6b62f67"/>
    <s v="bdae679a9b282249bc23b9b69dae9a99"/>
    <s v="4b339f9567d060bcea4f5136b9f5949e"/>
    <s v="6565aa9ce3178a5caf6171827af3a9ba"/>
    <x v="394"/>
    <x v="7"/>
    <x v="0"/>
    <s v="Unknow"/>
    <s v="Unknow"/>
    <s v="Unknow"/>
    <s v="Unknow"/>
    <s v="reseller"/>
    <n v="0"/>
    <x v="0"/>
    <x v="4"/>
    <x v="0"/>
  </r>
  <r>
    <s v="d2ac71782272659e7171150d20d59158"/>
    <s v="3387acafd8bea46d73fc50cc9f7e2a9a"/>
    <s v="34d40cdaf94010a1d05b0d6212f9e909"/>
    <s v="2695de1affa7750089c0455f8ce27021"/>
    <x v="395"/>
    <x v="5"/>
    <x v="2"/>
    <s v="cat"/>
    <s v="Unknow"/>
    <s v="Unknow"/>
    <s v="Unknow"/>
    <s v="reseller"/>
    <n v="0"/>
    <x v="0"/>
    <x v="7"/>
    <x v="0"/>
  </r>
  <r>
    <s v="085df4d5a370218b679cfab2121cd194"/>
    <s v="52a50b42accf164f9f019941e5759d9b"/>
    <s v="0a0fb2b07d841f84fb6714e35c723075"/>
    <s v="a8387c01a09e99ce014107505b92388c"/>
    <x v="396"/>
    <x v="3"/>
    <x v="3"/>
    <s v="eagle"/>
    <s v="Unknow"/>
    <s v="Unknow"/>
    <s v="Unknow"/>
    <s v="manufacturer"/>
    <n v="0"/>
    <x v="0"/>
    <x v="0"/>
    <x v="0"/>
  </r>
  <r>
    <s v="b68eec99f3b66e98022e60843901fe3e"/>
    <s v="45f04cd6eccb0a2ab2ed62d4939ca2d2"/>
    <s v="4b339f9567d060bcea4f5136b9f5949e"/>
    <s v="85fc447d336637ba1df43e793199fbc8"/>
    <x v="397"/>
    <x v="6"/>
    <x v="5"/>
    <s v="shark"/>
    <s v="Unknow"/>
    <s v="Unknow"/>
    <s v="Unknow"/>
    <s v="reseller"/>
    <n v="0"/>
    <x v="0"/>
    <x v="5"/>
    <x v="0"/>
  </r>
  <r>
    <s v="cbcb32994827a5c4ef1b8a630a4fa66e"/>
    <s v="da7039f29f90ce5b4846ffc0fcc93beb"/>
    <s v="56bf83c4bb35763a51c2baab501b4c67"/>
    <s v="4ef15afb4b2723d8f3d81e51ec7afefe"/>
    <x v="398"/>
    <x v="19"/>
    <x v="0"/>
    <s v="cat"/>
    <s v="Unknow"/>
    <s v="Unknow"/>
    <s v="Unknow"/>
    <s v="reseller"/>
    <n v="0"/>
    <x v="0"/>
    <x v="0"/>
    <x v="0"/>
  </r>
  <r>
    <s v="3ce39e5e8a82aa26e73fb52221089d5e"/>
    <s v="59055625da956ae84296c08491141984"/>
    <s v="4b339f9567d060bcea4f5136b9f5949e"/>
    <s v="fbf4aef3f6915dc0c3c97d6812522f6a"/>
    <x v="399"/>
    <x v="7"/>
    <x v="0"/>
    <s v="eagle"/>
    <s v="Unknow"/>
    <s v="Unknow"/>
    <s v="Unknow"/>
    <s v="reseller"/>
    <n v="0"/>
    <x v="0"/>
    <x v="0"/>
    <x v="0"/>
  </r>
  <r>
    <s v="614a4db226bdaf4ffdbf60e37eda9213"/>
    <s v="47ff0b75e3609b6b80fbd1450384a623"/>
    <s v="f42a2bd194f7802ab052a815c8de65b7"/>
    <s v="85fc447d336637ba1df43e793199fbc8"/>
    <x v="396"/>
    <x v="12"/>
    <x v="1"/>
    <s v="cat"/>
    <s v="Unknow"/>
    <s v="Unknow"/>
    <s v="Unknow"/>
    <s v="manufacturer"/>
    <n v="0"/>
    <x v="0"/>
    <x v="0"/>
    <x v="0"/>
  </r>
  <r>
    <s v="3de2f5d6b216073b662a9e202fb4b556"/>
    <s v="f22a247b79dd22ecd91dc8e3b2a1b07c"/>
    <s v="a8387c01a09e99ce014107505b92388c"/>
    <s v="4ef15afb4b2723d8f3d81e51ec7afefe"/>
    <x v="400"/>
    <x v="4"/>
    <x v="0"/>
    <s v="cat"/>
    <s v="Unknow"/>
    <s v="Unknow"/>
    <s v="Unknow"/>
    <s v="manufacturer"/>
    <n v="0"/>
    <x v="0"/>
    <x v="3"/>
    <x v="0"/>
  </r>
  <r>
    <s v="b53cbe6da81db747a73e52a5a48d2703"/>
    <s v="87193a47e93a5c1912254392431f524d"/>
    <s v="56bf83c4bb35763a51c2baab501b4c67"/>
    <s v="c638112b43f1d1b86dcabb0da720c901"/>
    <x v="401"/>
    <x v="4"/>
    <x v="3"/>
    <s v="cat"/>
    <s v="Unknow"/>
    <s v="Unknow"/>
    <s v="Unknow"/>
    <s v="manufacturer"/>
    <n v="0"/>
    <x v="0"/>
    <x v="3"/>
    <x v="0"/>
  </r>
  <r>
    <s v="a02248212328cdea5940d1c050f6c6e1"/>
    <s v="b12cce16926aca79e4dc5483947792cc"/>
    <s v="09285259593c61296eef10c734121d5b"/>
    <s v="4ef15afb4b2723d8f3d81e51ec7afefe"/>
    <x v="402"/>
    <x v="1"/>
    <x v="0"/>
    <s v="wolf"/>
    <s v="Unknow"/>
    <s v="Unknow"/>
    <s v="Unknow"/>
    <s v="reseller"/>
    <n v="0"/>
    <x v="0"/>
    <x v="5"/>
    <x v="0"/>
  </r>
  <r>
    <s v="de615d957b9c5f4b8fd48893f7267a15"/>
    <s v="98932494b926a74eda339b76ce0b4bc0"/>
    <s v="370c9f455f93a9a96cbe9bea48e70033"/>
    <s v="85fc447d336637ba1df43e793199fbc8"/>
    <x v="403"/>
    <x v="9"/>
    <x v="2"/>
    <s v="cat"/>
    <s v="Unknow"/>
    <s v="Unknow"/>
    <s v="Unknow"/>
    <s v="reseller"/>
    <n v="0"/>
    <x v="0"/>
    <x v="1"/>
    <x v="0"/>
  </r>
  <r>
    <s v="50523d9bd9d5d9a44bbc2f778954c5ae"/>
    <s v="9966324e28b7fa38165d2d3d12d53b7f"/>
    <s v="e7dff61b78bebffa71678e126ce669ad"/>
    <s v="de63de0d10a6012430098db33c679b0b"/>
    <x v="404"/>
    <x v="27"/>
    <x v="2"/>
    <s v="shark"/>
    <b v="1"/>
    <b v="1"/>
    <s v="20-50"/>
    <s v="reseller"/>
    <n v="45"/>
    <x v="14"/>
    <x v="2"/>
    <x v="1"/>
  </r>
  <r>
    <s v="08a7223e876a045d511074e8c9c8e937"/>
    <s v="7cae39bbb9e55772693688c5afd957e6"/>
    <s v="a8387c01a09e99ce014107505b92388c"/>
    <s v="9ae085775a198122c5586fa830ff7f2b"/>
    <x v="405"/>
    <x v="21"/>
    <x v="0"/>
    <s v="cat"/>
    <s v="Unknow"/>
    <s v="Unknow"/>
    <s v="Unknow"/>
    <s v="reseller"/>
    <n v="0"/>
    <x v="0"/>
    <x v="5"/>
    <x v="0"/>
  </r>
  <r>
    <s v="47a752e75a196b3b4edd825252ccf97f"/>
    <s v="bb7ad8a45c027be8ab075b8e465f8ca0"/>
    <s v="068066e24f0c643eb1d089c7dd20cd73"/>
    <s v="a8387c01a09e99ce014107505b92388c"/>
    <x v="406"/>
    <x v="6"/>
    <x v="1"/>
    <s v="cat"/>
    <s v="Unknow"/>
    <s v="Unknow"/>
    <s v="Unknow"/>
    <s v="manufacturer"/>
    <n v="0"/>
    <x v="0"/>
    <x v="2"/>
    <x v="0"/>
  </r>
  <r>
    <s v="f1a425f699458e09372b5da49c06fd33"/>
    <s v="3b945b144f631e998d7e484cc48b3783"/>
    <s v="56bf83c4bb35763a51c2baab501b4c67"/>
    <s v="068066e24f0c643eb1d089c7dd20cd73"/>
    <x v="407"/>
    <x v="5"/>
    <x v="3"/>
    <s v="Unknow"/>
    <s v="Unknow"/>
    <s v="Unknow"/>
    <s v="Unknow"/>
    <s v="reseller"/>
    <n v="20"/>
    <x v="15"/>
    <x v="2"/>
    <x v="1"/>
  </r>
  <r>
    <s v="450b9ff6579ee8138f673984554e8a93"/>
    <s v="1cbd32d00d01bb8087a5eb088612fd9c"/>
    <s v="4b339f9567d060bcea4f5136b9f5949e"/>
    <s v="d3d1e91a157ea7f90548eef82f1955e3"/>
    <x v="408"/>
    <x v="4"/>
    <x v="2"/>
    <s v="cat"/>
    <s v="Unknow"/>
    <s v="Unknow"/>
    <s v="Unknow"/>
    <s v="reseller"/>
    <n v="0"/>
    <x v="0"/>
    <x v="0"/>
    <x v="0"/>
  </r>
  <r>
    <s v="e3c586bec59ecb0430e34fb6bc37fb8d"/>
    <s v="28d365edb9c888771df5915b575f8f34"/>
    <s v="34d40cdaf94010a1d05b0d6212f9e909"/>
    <s v="85fc447d336637ba1df43e793199fbc8"/>
    <x v="409"/>
    <x v="12"/>
    <x v="6"/>
    <s v="cat"/>
    <s v="Unknow"/>
    <s v="Unknow"/>
    <s v="Unknow"/>
    <s v="reseller"/>
    <n v="0"/>
    <x v="0"/>
    <x v="0"/>
    <x v="0"/>
  </r>
  <r>
    <s v="c2174952a0255de7fb31b91a037f1e16"/>
    <s v="67edf85a314145ec81e546794dbc31cc"/>
    <s v="de63de0d10a6012430098db33c679b0b"/>
    <s v="d3d1e91a157ea7f90548eef82f1955e3"/>
    <x v="410"/>
    <x v="7"/>
    <x v="2"/>
    <s v="Unknow"/>
    <s v="Unknow"/>
    <s v="Unknow"/>
    <s v="Unknow"/>
    <s v="reseller"/>
    <n v="0"/>
    <x v="0"/>
    <x v="0"/>
    <x v="0"/>
  </r>
  <r>
    <s v="6c5532cd89a43796f19e4ac21f3b8c72"/>
    <s v="4f6bf26bd1ecc9aa855e9cce6869b566"/>
    <s v="4b339f9567d060bcea4f5136b9f5949e"/>
    <s v="495d4e95a8cf8bbf8b432b612a2aa328"/>
    <x v="411"/>
    <x v="19"/>
    <x v="0"/>
    <s v="wolf"/>
    <s v="Unknow"/>
    <s v="Unknow"/>
    <s v="Unknow"/>
    <s v="reseller"/>
    <n v="0"/>
    <x v="0"/>
    <x v="4"/>
    <x v="0"/>
  </r>
  <r>
    <s v="115f08592f4c2bb29013efbbc46608fc"/>
    <s v="ffc470761de7d0232558ba5e786e57b7"/>
    <s v="4b339f9567d060bcea4f5136b9f5949e"/>
    <s v="4ef15afb4b2723d8f3d81e51ec7afefe"/>
    <x v="412"/>
    <x v="7"/>
    <x v="2"/>
    <s v="Unknow"/>
    <s v="Unknow"/>
    <s v="Unknow"/>
    <s v="Unknow"/>
    <s v="reseller"/>
    <n v="0"/>
    <x v="0"/>
    <x v="3"/>
    <x v="0"/>
  </r>
  <r>
    <s v="ff89e8ee1db049c810a2da86c84c6bd5"/>
    <s v="07de60b03d150fb3ea09eab5da5e4c8b"/>
    <s v="de63de0d10a6012430098db33c679b0b"/>
    <s v="d3d1e91a157ea7f90548eef82f1955e3"/>
    <x v="413"/>
    <x v="13"/>
    <x v="1"/>
    <s v="Unknow"/>
    <s v="Unknow"/>
    <s v="Unknow"/>
    <s v="Unknow"/>
    <s v="manufacturer"/>
    <n v="0"/>
    <x v="0"/>
    <x v="3"/>
    <x v="0"/>
  </r>
  <r>
    <s v="2b9b8e32584fe9897d8aedde5bc04ed7"/>
    <s v="86ff3eaef0267069cc891a2ed9d10a17"/>
    <s v="068066e24f0c643eb1d089c7dd20cd73"/>
    <s v="060c0a26f19f4d66b42e0d8796688490"/>
    <x v="414"/>
    <x v="9"/>
    <x v="0"/>
    <s v="cat"/>
    <s v="Unknow"/>
    <s v="Unknow"/>
    <s v="Unknow"/>
    <s v="reseller"/>
    <n v="0"/>
    <x v="0"/>
    <x v="3"/>
    <x v="0"/>
  </r>
  <r>
    <s v="bb10ba1898d78d59bb76db2493ca511c"/>
    <s v="299c89a525fee36c567f4fe72f038100"/>
    <s v="068066e24f0c643eb1d089c7dd20cd73"/>
    <s v="495d4e95a8cf8bbf8b432b612a2aa328"/>
    <x v="165"/>
    <x v="19"/>
    <x v="2"/>
    <s v="Unknow"/>
    <s v="Unknow"/>
    <s v="Unknow"/>
    <s v="Unknow"/>
    <s v="manufacturer"/>
    <n v="0"/>
    <x v="0"/>
    <x v="0"/>
    <x v="0"/>
  </r>
  <r>
    <s v="d94101ad400cbaf86b951c78f8172039"/>
    <s v="fc7adf89a5d4fb88c007094fdae351c4"/>
    <s v="068066e24f0c643eb1d089c7dd20cd73"/>
    <s v="d3d1e91a157ea7f90548eef82f1955e3"/>
    <x v="415"/>
    <x v="29"/>
    <x v="2"/>
    <s v="cat"/>
    <s v="Unknow"/>
    <s v="Unknow"/>
    <s v="Unknow"/>
    <s v="reseller"/>
    <n v="0"/>
    <x v="0"/>
    <x v="0"/>
    <x v="0"/>
  </r>
  <r>
    <s v="f5f0711534e0b5d69c8e4206dd17cd88"/>
    <s v="f66425655311542de5db64f27d0d5651"/>
    <s v="4b339f9567d060bcea4f5136b9f5949e"/>
    <s v="4ef15afb4b2723d8f3d81e51ec7afefe"/>
    <x v="416"/>
    <x v="1"/>
    <x v="0"/>
    <s v="cat"/>
    <s v="Unknow"/>
    <s v="Unknow"/>
    <s v="Unknow"/>
    <s v="reseller"/>
    <n v="0"/>
    <x v="0"/>
    <x v="4"/>
    <x v="0"/>
  </r>
  <r>
    <s v="04f8b803895d585e29bf21162e49cc84"/>
    <s v="3ea08c48e851106d2f584349daba335f"/>
    <s v="068066e24f0c643eb1d089c7dd20cd73"/>
    <s v="4ef15afb4b2723d8f3d81e51ec7afefe"/>
    <x v="417"/>
    <x v="25"/>
    <x v="0"/>
    <s v="cat"/>
    <s v="Unknow"/>
    <s v="Unknow"/>
    <s v="Unknow"/>
    <s v="manufacturer"/>
    <n v="0"/>
    <x v="0"/>
    <x v="5"/>
    <x v="0"/>
  </r>
  <r>
    <s v="57a80e778f3d755b4f2166e6a60826fd"/>
    <s v="bea51724befa11664f1d44a92ba8f4c3"/>
    <s v="de63de0d10a6012430098db33c679b0b"/>
    <s v="d3d1e91a157ea7f90548eef82f1955e3"/>
    <x v="418"/>
    <x v="16"/>
    <x v="6"/>
    <s v="Unknow"/>
    <s v="Unknow"/>
    <s v="Unknow"/>
    <s v="Unknow"/>
    <s v="manufacturer"/>
    <n v="0"/>
    <x v="0"/>
    <x v="3"/>
    <x v="0"/>
  </r>
  <r>
    <s v="5c3fd6f239bbbd47b94fb424c8827b2e"/>
    <s v="528f22dfa20a3de9375b2b38e49cc617"/>
    <s v="068066e24f0c643eb1d089c7dd20cd73"/>
    <s v="de63de0d10a6012430098db33c679b0b"/>
    <x v="396"/>
    <x v="12"/>
    <x v="6"/>
    <s v="eagle"/>
    <s v="Unknow"/>
    <s v="Unknow"/>
    <s v="Unknow"/>
    <s v="reseller"/>
    <n v="0"/>
    <x v="0"/>
    <x v="5"/>
    <x v="0"/>
  </r>
  <r>
    <s v="099c0eddd44f937ac2facf3a72263b7f"/>
    <s v="2d34636518ba88f5349b732fcf8ba2e4"/>
    <s v="de63de0d10a6012430098db33c679b0b"/>
    <s v="6565aa9ce3178a5caf6171827af3a9ba"/>
    <x v="419"/>
    <x v="5"/>
    <x v="1"/>
    <s v="Unknow"/>
    <s v="Unknow"/>
    <s v="Unknow"/>
    <s v="Unknow"/>
    <s v="reseller"/>
    <n v="0"/>
    <x v="0"/>
    <x v="3"/>
    <x v="0"/>
  </r>
  <r>
    <s v="644b522e92999426ab230d94a4bb4512"/>
    <s v="e6cf587c2552879f7471e7e8c993ea1c"/>
    <s v="4b339f9567d060bcea4f5136b9f5949e"/>
    <s v="85fc447d336637ba1df43e793199fbc8"/>
    <x v="420"/>
    <x v="1"/>
    <x v="0"/>
    <s v="wolf"/>
    <s v="Unknow"/>
    <s v="Unknow"/>
    <s v="Unknow"/>
    <s v="reseller"/>
    <n v="0"/>
    <x v="0"/>
    <x v="5"/>
    <x v="0"/>
  </r>
  <r>
    <s v="d2e8ac40dc18011d5ecd890846f36ec1"/>
    <s v="503ad3c3811010c6ba4577f411724b13"/>
    <s v="9d12ef1a7eca3ec58c545c678af7869c"/>
    <s v="4ef15afb4b2723d8f3d81e51ec7afefe"/>
    <x v="169"/>
    <x v="3"/>
    <x v="4"/>
    <s v="eagle"/>
    <s v="Unknow"/>
    <s v="Unknow"/>
    <s v="Unknow"/>
    <s v="reseller"/>
    <n v="0"/>
    <x v="0"/>
    <x v="2"/>
    <x v="0"/>
  </r>
  <r>
    <s v="ee7230dec6c5cf2229f0a706a265ca49"/>
    <s v="e8dba4d70f7f2b20e775d09cae01142d"/>
    <s v="34d40cdaf94010a1d05b0d6212f9e909"/>
    <s v="a8387c01a09e99ce014107505b92388c"/>
    <x v="421"/>
    <x v="21"/>
    <x v="2"/>
    <s v="cat"/>
    <s v="Unknow"/>
    <s v="Unknow"/>
    <s v="Unknow"/>
    <s v="reseller"/>
    <n v="0"/>
    <x v="0"/>
    <x v="4"/>
    <x v="0"/>
  </r>
  <r>
    <s v="05b99715f32c973f929cd22735389966"/>
    <s v="bbe87dce25ba8b38bb61cc7210a3f10b"/>
    <s v="9e4d1098a3b0f5da39b0bc48f9876645"/>
    <s v="85fc447d336637ba1df43e793199fbc8"/>
    <x v="422"/>
    <x v="7"/>
    <x v="2"/>
    <s v="cat"/>
    <s v="Unknow"/>
    <s v="Unknow"/>
    <s v="Unknow"/>
    <s v="reseller"/>
    <n v="0"/>
    <x v="0"/>
    <x v="0"/>
    <x v="0"/>
  </r>
  <r>
    <s v="f9cb3124b5a22b133f21273ef2cb0695"/>
    <s v="9e3f08af3b6caa76962b05087eed5425"/>
    <s v="09285259593c61296eef10c734121d5b"/>
    <s v="fbf4aef3f6915dc0c3c97d6812522f6a"/>
    <x v="423"/>
    <x v="7"/>
    <x v="0"/>
    <s v="eagle"/>
    <s v="Unknow"/>
    <s v="Unknow"/>
    <s v="Unknow"/>
    <s v="manufacturer"/>
    <n v="0"/>
    <x v="0"/>
    <x v="5"/>
    <x v="0"/>
  </r>
  <r>
    <s v="2a0433fde38b262e5db7db757057c7c0"/>
    <s v="94165aea8a35c3c21499cbcae239b16c"/>
    <s v="56bf83c4bb35763a51c2baab501b4c67"/>
    <s v="4ef15afb4b2723d8f3d81e51ec7afefe"/>
    <x v="424"/>
    <x v="1"/>
    <x v="0"/>
    <s v="eagle"/>
    <s v="Unknow"/>
    <s v="Unknow"/>
    <s v="Unknow"/>
    <s v="reseller"/>
    <n v="0"/>
    <x v="0"/>
    <x v="2"/>
    <x v="0"/>
  </r>
  <r>
    <s v="a244f80bac3293a03b71b032e0e09ce5"/>
    <s v="43ac443db8d4fbfb1454aa1364404264"/>
    <s v="9d12ef1a7eca3ec58c545c678af7869c"/>
    <s v="6565aa9ce3178a5caf6171827af3a9ba"/>
    <x v="425"/>
    <x v="1"/>
    <x v="0"/>
    <s v="eagle"/>
    <s v="Unknow"/>
    <s v="Unknow"/>
    <s v="Unknow"/>
    <s v="reseller"/>
    <n v="0"/>
    <x v="0"/>
    <x v="0"/>
    <x v="0"/>
  </r>
  <r>
    <s v="dca7085d5af68e91d19ed7cb75e1dd86"/>
    <s v="54212aa507a8696b0766046bd3aecdc3"/>
    <s v="4b339f9567d060bcea4f5136b9f5949e"/>
    <s v="6565aa9ce3178a5caf6171827af3a9ba"/>
    <x v="426"/>
    <x v="16"/>
    <x v="1"/>
    <s v="cat"/>
    <s v="Unknow"/>
    <s v="Unknow"/>
    <s v="Unknow"/>
    <s v="Unknow"/>
    <n v="0"/>
    <x v="0"/>
    <x v="0"/>
    <x v="0"/>
  </r>
  <r>
    <s v="3efcdd8c4998017c9578b28a059f72e4"/>
    <s v="267116eae2e631a965ef86be260f9278"/>
    <s v="56bf83c4bb35763a51c2baab501b4c67"/>
    <s v="495d4e95a8cf8bbf8b432b612a2aa328"/>
    <x v="427"/>
    <x v="15"/>
    <x v="3"/>
    <s v="eagle"/>
    <s v="Unknow"/>
    <s v="Unknow"/>
    <s v="Unknow"/>
    <s v="manufacturer"/>
    <n v="0"/>
    <x v="0"/>
    <x v="0"/>
    <x v="0"/>
  </r>
  <r>
    <s v="53be01f4f05aebe9d0c69268ac1999ce"/>
    <s v="3d2531eccfbde1d7c8db7a3a12fb267a"/>
    <s v="9e4d1098a3b0f5da39b0bc48f9876645"/>
    <s v="2695de1affa7750089c0455f8ce27021"/>
    <x v="428"/>
    <x v="23"/>
    <x v="0"/>
    <s v="Unknow"/>
    <s v="Unknow"/>
    <s v="Unknow"/>
    <s v="Unknow"/>
    <s v="reseller"/>
    <n v="0"/>
    <x v="0"/>
    <x v="0"/>
    <x v="0"/>
  </r>
  <r>
    <s v="501f06dacc74edd54022151f71c8960b"/>
    <s v="770145ac7913d8d3ace8aa83a1304938"/>
    <s v="9d12ef1a7eca3ec58c545c678af7869c"/>
    <s v="4ef15afb4b2723d8f3d81e51ec7afefe"/>
    <x v="429"/>
    <x v="13"/>
    <x v="0"/>
    <s v="cat"/>
    <s v="Unknow"/>
    <s v="Unknow"/>
    <s v="Unknow"/>
    <s v="manufacturer"/>
    <n v="0"/>
    <x v="0"/>
    <x v="5"/>
    <x v="0"/>
  </r>
  <r>
    <s v="c07c69d716213f5eb297e2721115daca"/>
    <s v="cf8ca2db83470a73b7cebdd86ea96fb9"/>
    <s v="56bf83c4bb35763a51c2baab501b4c67"/>
    <s v="9ae085775a198122c5586fa830ff7f2b"/>
    <x v="430"/>
    <x v="27"/>
    <x v="1"/>
    <s v="eagle"/>
    <s v="Unknow"/>
    <s v="Unknow"/>
    <s v="Unknow"/>
    <s v="reseller"/>
    <n v="0"/>
    <x v="0"/>
    <x v="0"/>
    <x v="0"/>
  </r>
  <r>
    <s v="9c6dc3ff593093879a0eaf172f13589a"/>
    <s v="b6584a94139a5dd427c5b2d918116197"/>
    <s v="4b339f9567d060bcea4f5136b9f5949e"/>
    <s v="d3d1e91a157ea7f90548eef82f1955e3"/>
    <x v="431"/>
    <x v="21"/>
    <x v="3"/>
    <s v="Unknow"/>
    <s v="Unknow"/>
    <s v="Unknow"/>
    <s v="Unknow"/>
    <s v="manufacturer"/>
    <n v="0"/>
    <x v="0"/>
    <x v="3"/>
    <x v="0"/>
  </r>
  <r>
    <s v="7375737cbc45eaf7c478be2858e294ca"/>
    <s v="89d394e1e062b0c231c559196aa7e18c"/>
    <s v="34d40cdaf94010a1d05b0d6212f9e909"/>
    <s v="de63de0d10a6012430098db33c679b0b"/>
    <x v="432"/>
    <x v="5"/>
    <x v="4"/>
    <s v="cat"/>
    <s v="Unknow"/>
    <s v="Unknow"/>
    <s v="Unknow"/>
    <s v="reseller"/>
    <n v="0"/>
    <x v="0"/>
    <x v="3"/>
    <x v="0"/>
  </r>
  <r>
    <s v="e3ad7bdd4df4a7d9653820d9d67d4e49"/>
    <s v="2f7c0e24a8a8fa5c807b59f66c2e9637"/>
    <s v="4b339f9567d060bcea4f5136b9f5949e"/>
    <s v="4b339f9567d060bcea4f5136b9f5949e"/>
    <x v="433"/>
    <x v="9"/>
    <x v="0"/>
    <s v="cat"/>
    <s v="Unknow"/>
    <s v="Unknow"/>
    <s v="Unknow"/>
    <s v="Unknow"/>
    <n v="0"/>
    <x v="0"/>
    <x v="3"/>
    <x v="0"/>
  </r>
  <r>
    <s v="ed68030ad096167305ee933b382d92f4"/>
    <s v="81cce42d33ddf3d4f89f1d476b5e35e7"/>
    <s v="0a0fb2b07d841f84fb6714e35c723075"/>
    <s v="495d4e95a8cf8bbf8b432b612a2aa328"/>
    <x v="434"/>
    <x v="4"/>
    <x v="1"/>
    <s v="eagle"/>
    <s v="Unknow"/>
    <s v="Unknow"/>
    <s v="Unknow"/>
    <s v="reseller"/>
    <n v="0"/>
    <x v="0"/>
    <x v="0"/>
    <x v="0"/>
  </r>
  <r>
    <s v="d238f0c1fbf6fccb32a3f8efcf03e3b8"/>
    <s v="68c701b433babf6e12018f1a674d3228"/>
    <s v="f42a2bd194f7802ab052a815c8de65b7"/>
    <s v="2695de1affa7750089c0455f8ce27021"/>
    <x v="435"/>
    <x v="12"/>
    <x v="4"/>
    <s v="cat"/>
    <s v="Unknow"/>
    <s v="Unknow"/>
    <s v="Unknow"/>
    <s v="manufacturer"/>
    <n v="0"/>
    <x v="0"/>
    <x v="0"/>
    <x v="0"/>
  </r>
  <r>
    <s v="35dae000552fd88cce58a6571998738c"/>
    <s v="184725737946a1a938bbbd1a9e978103"/>
    <s v="370c9f455f93a9a96cbe9bea48e70033"/>
    <s v="9e4d1098a3b0f5da39b0bc48f9876645"/>
    <x v="436"/>
    <x v="15"/>
    <x v="2"/>
    <s v="cat"/>
    <s v="Unknow"/>
    <s v="Unknow"/>
    <s v="Unknow"/>
    <s v="reseller"/>
    <n v="0"/>
    <x v="0"/>
    <x v="3"/>
    <x v="0"/>
  </r>
  <r>
    <s v="012fa44d6752ee07c167165cb8c6f11c"/>
    <s v="528e4514f9339c1c3dd7535fd1a2d8cb"/>
    <s v="9e4d1098a3b0f5da39b0bc48f9876645"/>
    <s v="4ef15afb4b2723d8f3d81e51ec7afefe"/>
    <x v="437"/>
    <x v="12"/>
    <x v="3"/>
    <s v="wolf"/>
    <s v="Unknow"/>
    <s v="Unknow"/>
    <s v="Unknow"/>
    <s v="manufacturer"/>
    <n v="0"/>
    <x v="0"/>
    <x v="3"/>
    <x v="0"/>
  </r>
  <r>
    <s v="d73084414361442cb1fd4d659b395c38"/>
    <s v="2ba91c7ad80ff88b23b7db823b43c233"/>
    <s v="068066e24f0c643eb1d089c7dd20cd73"/>
    <s v="495d4e95a8cf8bbf8b432b612a2aa328"/>
    <x v="438"/>
    <x v="0"/>
    <x v="8"/>
    <s v="Unknow"/>
    <s v="Unknow"/>
    <s v="Unknow"/>
    <s v="Unknow"/>
    <s v="reseller"/>
    <n v="0"/>
    <x v="0"/>
    <x v="4"/>
    <x v="0"/>
  </r>
  <r>
    <s v="fb24fdefb6d2dd80651f6c1a87bc0d7f"/>
    <s v="bf0d50a6410d487dc97d2baac0a8c0be"/>
    <s v="56bf83c4bb35763a51c2baab501b4c67"/>
    <s v="2695de1affa7750089c0455f8ce27021"/>
    <x v="439"/>
    <x v="12"/>
    <x v="0"/>
    <s v="cat"/>
    <s v="Unknow"/>
    <s v="Unknow"/>
    <s v="Unknow"/>
    <s v="manufacturer"/>
    <n v="0"/>
    <x v="0"/>
    <x v="0"/>
    <x v="0"/>
  </r>
  <r>
    <s v="ab712090eb9a27881b63080c859147de"/>
    <s v="18d5b01a5ca858cf540df954e063978d"/>
    <s v="068066e24f0c643eb1d089c7dd20cd73"/>
    <s v="9ae085775a198122c5586fa830ff7f2b"/>
    <x v="440"/>
    <x v="19"/>
    <x v="8"/>
    <s v="Unknow"/>
    <s v="Unknow"/>
    <s v="Unknow"/>
    <s v="Unknow"/>
    <s v="reseller"/>
    <n v="0"/>
    <x v="0"/>
    <x v="3"/>
    <x v="0"/>
  </r>
  <r>
    <s v="3d25d97d74b25fda24861545538d0475"/>
    <s v="ce77b964b9986a57b37b928be67d9959"/>
    <s v="068066e24f0c643eb1d089c7dd20cd73"/>
    <s v="060c0a26f19f4d66b42e0d8796688490"/>
    <x v="441"/>
    <x v="11"/>
    <x v="0"/>
    <s v="wolf"/>
    <s v="Unknow"/>
    <s v="Unknow"/>
    <s v="Unknow"/>
    <s v="reseller"/>
    <n v="0"/>
    <x v="0"/>
    <x v="3"/>
    <x v="0"/>
  </r>
  <r>
    <s v="f220cfabf79009211ae4493c75c742a9"/>
    <s v="1b69e7630792e60471efca457d5b57af"/>
    <s v="370c9f455f93a9a96cbe9bea48e70033"/>
    <s v="6565aa9ce3178a5caf6171827af3a9ba"/>
    <x v="442"/>
    <x v="29"/>
    <x v="0"/>
    <s v="eagle"/>
    <s v="Unknow"/>
    <s v="Unknow"/>
    <s v="Unknow"/>
    <s v="manufacturer"/>
    <n v="22"/>
    <x v="0"/>
    <x v="0"/>
    <x v="0"/>
  </r>
  <r>
    <s v="16b2e31fefe580e6aab327e53949bc14"/>
    <s v="9da15f4a4ea758d9eeb49000dbe57e22"/>
    <s v="a8387c01a09e99ce014107505b92388c"/>
    <s v="495d4e95a8cf8bbf8b432b612a2aa328"/>
    <x v="443"/>
    <x v="12"/>
    <x v="0"/>
    <s v="wolf"/>
    <s v="Unknow"/>
    <s v="Unknow"/>
    <s v="Unknow"/>
    <s v="reseller"/>
    <n v="0"/>
    <x v="0"/>
    <x v="3"/>
    <x v="0"/>
  </r>
  <r>
    <s v="67577e94367b2efc073a5c9085a0e31d"/>
    <s v="5a4473aa20aec979dea3eee0822165aa"/>
    <s v="45749fb708130f78d0db07d8d80f030b"/>
    <s v="068066e24f0c643eb1d089c7dd20cd73"/>
    <x v="444"/>
    <x v="15"/>
    <x v="4"/>
    <s v="wolf"/>
    <b v="1"/>
    <b v="1"/>
    <s v="1-5"/>
    <s v="manufacturer"/>
    <n v="15"/>
    <x v="0"/>
    <x v="4"/>
    <x v="0"/>
  </r>
  <r>
    <s v="4b28b220ac44eb9727640e0b78cc622c"/>
    <s v="573becd44db78cee00182ec4a5594806"/>
    <s v="34d40cdaf94010a1d05b0d6212f9e909"/>
    <s v="6565aa9ce3178a5caf6171827af3a9ba"/>
    <x v="445"/>
    <x v="6"/>
    <x v="2"/>
    <s v="cat"/>
    <s v="Unknow"/>
    <s v="Unknow"/>
    <s v="Unknow"/>
    <s v="reseller"/>
    <n v="0"/>
    <x v="0"/>
    <x v="0"/>
    <x v="0"/>
  </r>
  <r>
    <s v="04ecc73f538bcc74df709fe9281e08b8"/>
    <s v="0a85ebe4e328db81ac9109781205e2f7"/>
    <s v="56bf83c4bb35763a51c2baab501b4c67"/>
    <s v="4ef15afb4b2723d8f3d81e51ec7afefe"/>
    <x v="446"/>
    <x v="12"/>
    <x v="0"/>
    <s v="eagle"/>
    <s v="Unknow"/>
    <s v="Unknow"/>
    <s v="Unknow"/>
    <s v="manufacturer"/>
    <n v="0"/>
    <x v="0"/>
    <x v="0"/>
    <x v="0"/>
  </r>
  <r>
    <s v="7fd23d812013ce3b530b821d855bccbf"/>
    <s v="7f5e4d5efad7e44b91115dd1decb65f3"/>
    <s v="068066e24f0c643eb1d089c7dd20cd73"/>
    <s v="4ef15afb4b2723d8f3d81e51ec7afefe"/>
    <x v="447"/>
    <x v="19"/>
    <x v="0"/>
    <s v="Unknow"/>
    <s v="Unknow"/>
    <s v="Unknow"/>
    <s v="Unknow"/>
    <s v="reseller"/>
    <n v="0"/>
    <x v="0"/>
    <x v="0"/>
    <x v="0"/>
  </r>
  <r>
    <s v="9e7dc95c541eb2d8bf26affe1089821f"/>
    <s v="b18791c7580856ccf7c72d22acd59873"/>
    <s v="34d40cdaf94010a1d05b0d6212f9e909"/>
    <s v="a8387c01a09e99ce014107505b92388c"/>
    <x v="448"/>
    <x v="15"/>
    <x v="4"/>
    <s v="eagle"/>
    <s v="Unknow"/>
    <s v="Unknow"/>
    <s v="Unknow"/>
    <s v="reseller"/>
    <n v="0"/>
    <x v="0"/>
    <x v="0"/>
    <x v="0"/>
  </r>
  <r>
    <s v="fca7ac68a9bcfe7ec3a017257471f198"/>
    <s v="48fa294ea8e32148c8dba7a692b72bfc"/>
    <s v="9e4d1098a3b0f5da39b0bc48f9876645"/>
    <s v="6565aa9ce3178a5caf6171827af3a9ba"/>
    <x v="449"/>
    <x v="9"/>
    <x v="1"/>
    <s v="cat"/>
    <s v="Unknow"/>
    <s v="Unknow"/>
    <s v="Unknow"/>
    <s v="reseller"/>
    <n v="0"/>
    <x v="0"/>
    <x v="2"/>
    <x v="0"/>
  </r>
  <r>
    <s v="e4ccb212806eb5e35794b3ebbdf1f6b6"/>
    <s v="1b4b28463457a256e9a784ebe2a8f630"/>
    <s v="a8387c01a09e99ce014107505b92388c"/>
    <s v="4ef15afb4b2723d8f3d81e51ec7afefe"/>
    <x v="450"/>
    <x v="1"/>
    <x v="0"/>
    <s v="cat"/>
    <s v="Unknow"/>
    <s v="Unknow"/>
    <s v="Unknow"/>
    <s v="reseller"/>
    <n v="0"/>
    <x v="0"/>
    <x v="3"/>
    <x v="0"/>
  </r>
  <r>
    <s v="c7f1da0a5723f5afd7996648fa9c20d5"/>
    <s v="42fa4ee7240e9b8eb4576358ec142ba7"/>
    <s v="de63de0d10a6012430098db33c679b0b"/>
    <s v="d3d1e91a157ea7f90548eef82f1955e3"/>
    <x v="451"/>
    <x v="6"/>
    <x v="0"/>
    <s v="Unknow"/>
    <s v="Unknow"/>
    <s v="Unknow"/>
    <s v="Unknow"/>
    <s v="reseller"/>
    <n v="0"/>
    <x v="0"/>
    <x v="3"/>
    <x v="0"/>
  </r>
  <r>
    <s v="7c3e1a45e4127c0eb25d7a8b7250da5b"/>
    <s v="89a51f50b8095ea78d5768f34c13a76f"/>
    <s v="068066e24f0c643eb1d089c7dd20cd73"/>
    <s v="060c0a26f19f4d66b42e0d8796688490"/>
    <x v="452"/>
    <x v="4"/>
    <x v="3"/>
    <s v="Unknow"/>
    <s v="Unknow"/>
    <s v="Unknow"/>
    <s v="Unknow"/>
    <s v="reseller"/>
    <n v="0"/>
    <x v="0"/>
    <x v="2"/>
    <x v="0"/>
  </r>
  <r>
    <s v="8e12ae4ee6dc484ecf2277a19b845658"/>
    <s v="f9ec7093df3a7b346b7bcf7864069ca3"/>
    <s v="4b339f9567d060bcea4f5136b9f5949e"/>
    <s v="495d4e95a8cf8bbf8b432b612a2aa328"/>
    <x v="453"/>
    <x v="18"/>
    <x v="0"/>
    <s v="cat"/>
    <s v="Unknow"/>
    <s v="Unknow"/>
    <s v="Unknow"/>
    <s v="reseller"/>
    <n v="0"/>
    <x v="0"/>
    <x v="2"/>
    <x v="0"/>
  </r>
  <r>
    <s v="e75d0b169ffeb90d4b805790ce68a239"/>
    <s v="7238a95bb63ef7e498389fb863b834a1"/>
    <s v="9e4d1098a3b0f5da39b0bc48f9876645"/>
    <s v="85fc447d336637ba1df43e793199fbc8"/>
    <x v="454"/>
    <x v="7"/>
    <x v="2"/>
    <s v="cat"/>
    <s v="Unknow"/>
    <s v="Unknow"/>
    <s v="Unknow"/>
    <s v="manufacturer"/>
    <n v="0"/>
    <x v="0"/>
    <x v="2"/>
    <x v="0"/>
  </r>
  <r>
    <s v="7ccf00b6949c12d2df1963c60fad4f25"/>
    <s v="294e164108bc80d8fbf5ee39c448461c"/>
    <s v="9d12ef1a7eca3ec58c545c678af7869c"/>
    <s v="4ef15afb4b2723d8f3d81e51ec7afefe"/>
    <x v="455"/>
    <x v="1"/>
    <x v="4"/>
    <s v="wolf"/>
    <s v="Unknow"/>
    <s v="Unknow"/>
    <s v="Unknow"/>
    <s v="reseller"/>
    <n v="0"/>
    <x v="0"/>
    <x v="5"/>
    <x v="0"/>
  </r>
  <r>
    <s v="08fdf1038af7dd3070bdcd18922e23b2"/>
    <s v="850913d59ce317156b00f3705f1c3edb"/>
    <s v="4b339f9567d060bcea4f5136b9f5949e"/>
    <s v="d3d1e91a157ea7f90548eef82f1955e3"/>
    <x v="456"/>
    <x v="27"/>
    <x v="0"/>
    <s v="Unknow"/>
    <s v="Unknow"/>
    <s v="Unknow"/>
    <s v="Unknow"/>
    <s v="reseller"/>
    <n v="0"/>
    <x v="0"/>
    <x v="2"/>
    <x v="0"/>
  </r>
  <r>
    <s v="fe7fdf179234f77c4d0ab2ea82a82c52"/>
    <s v="e19d488f67425e5a884abb42dfa0c458"/>
    <s v="f42a2bd194f7802ab052a815c8de65b7"/>
    <s v="85fc447d336637ba1df43e793199fbc8"/>
    <x v="457"/>
    <x v="1"/>
    <x v="3"/>
    <s v="cat"/>
    <b v="1"/>
    <b v="0"/>
    <s v="0n"/>
    <s v="reseller"/>
    <n v="40"/>
    <x v="0"/>
    <x v="0"/>
    <x v="0"/>
  </r>
  <r>
    <s v="b2fb7865dfca2461177cbad7ec520b0e"/>
    <s v="e1c76f339ebd5460999f25a2aa8c92c5"/>
    <s v="56bf83c4bb35763a51c2baab501b4c67"/>
    <s v="c638112b43f1d1b86dcabb0da720c901"/>
    <x v="458"/>
    <x v="18"/>
    <x v="0"/>
    <s v="Unknow"/>
    <s v="Unknow"/>
    <s v="Unknow"/>
    <s v="Unknow"/>
    <s v="Unknow"/>
    <n v="0"/>
    <x v="0"/>
    <x v="6"/>
    <x v="0"/>
  </r>
  <r>
    <s v="5ebfa70416c6e41452ddde4ce2b536ac"/>
    <s v="72c38a04bd6a1c3dbc5298425a0db86d"/>
    <s v="068066e24f0c643eb1d089c7dd20cd73"/>
    <s v="c638112b43f1d1b86dcabb0da720c901"/>
    <x v="459"/>
    <x v="19"/>
    <x v="6"/>
    <s v="cat"/>
    <s v="Unknow"/>
    <s v="Unknow"/>
    <s v="Unknow"/>
    <s v="reseller"/>
    <n v="0"/>
    <x v="0"/>
    <x v="0"/>
    <x v="0"/>
  </r>
  <r>
    <s v="9064926a39ede3627d76ffcc643bd773"/>
    <s v="6de5884cc604dc6798577fbf91e86836"/>
    <s v="068066e24f0c643eb1d089c7dd20cd73"/>
    <s v="060c0a26f19f4d66b42e0d8796688490"/>
    <x v="460"/>
    <x v="16"/>
    <x v="0"/>
    <s v="wolf"/>
    <s v="Unknow"/>
    <s v="Unknow"/>
    <s v="Unknow"/>
    <s v="reseller"/>
    <n v="0"/>
    <x v="0"/>
    <x v="3"/>
    <x v="0"/>
  </r>
  <r>
    <s v="44f24b3c093ffe8bb756db22f86a9a2f"/>
    <s v="ce4f1d45100bd92470c482527f73f72d"/>
    <s v="068066e24f0c643eb1d089c7dd20cd73"/>
    <s v="4ef15afb4b2723d8f3d81e51ec7afefe"/>
    <x v="461"/>
    <x v="27"/>
    <x v="1"/>
    <s v="cat"/>
    <s v="Unknow"/>
    <s v="Unknow"/>
    <s v="Unknow"/>
    <s v="reseller"/>
    <n v="0"/>
    <x v="0"/>
    <x v="2"/>
    <x v="0"/>
  </r>
  <r>
    <s v="b05d4080611fca7960d66263f2b29fa5"/>
    <s v="7d2d952e020034f05b4b7a7222563d89"/>
    <s v="de63de0d10a6012430098db33c679b0b"/>
    <s v="6565aa9ce3178a5caf6171827af3a9ba"/>
    <x v="462"/>
    <x v="3"/>
    <x v="1"/>
    <s v="Unknow"/>
    <s v="Unknow"/>
    <s v="Unknow"/>
    <s v="Unknow"/>
    <s v="manufacturer"/>
    <n v="0"/>
    <x v="0"/>
    <x v="2"/>
    <x v="0"/>
  </r>
  <r>
    <s v="f593b9ead8801922f74f0a5329e31486"/>
    <s v="e157c96a8e7711636119c6af8e7cf85f"/>
    <s v="068066e24f0c643eb1d089c7dd20cd73"/>
    <s v="c638112b43f1d1b86dcabb0da720c901"/>
    <x v="463"/>
    <x v="9"/>
    <x v="0"/>
    <s v="cat"/>
    <s v="Unknow"/>
    <s v="Unknow"/>
    <s v="Unknow"/>
    <s v="Unknow"/>
    <n v="0"/>
    <x v="0"/>
    <x v="0"/>
    <x v="0"/>
  </r>
  <r>
    <s v="c2dd0b60035ad00b08f81244a20b4860"/>
    <s v="57df9869a600bd6b7c405f2a862eccfb"/>
    <s v="56bf83c4bb35763a51c2baab501b4c67"/>
    <s v="4ef15afb4b2723d8f3d81e51ec7afefe"/>
    <x v="464"/>
    <x v="6"/>
    <x v="0"/>
    <s v="Unknow"/>
    <s v="Unknow"/>
    <s v="Unknow"/>
    <s v="Unknow"/>
    <s v="manufacturer"/>
    <n v="0"/>
    <x v="0"/>
    <x v="2"/>
    <x v="0"/>
  </r>
  <r>
    <s v="5ca05341418f09367540f05484d0b650"/>
    <s v="fdde1d384dea864917f6b8f2d330986e"/>
    <s v="de63de0d10a6012430098db33c679b0b"/>
    <s v="4ef15afb4b2723d8f3d81e51ec7afefe"/>
    <x v="465"/>
    <x v="17"/>
    <x v="4"/>
    <s v="Unknow"/>
    <s v="Unknow"/>
    <s v="Unknow"/>
    <s v="Unknow"/>
    <s v="manufacturer"/>
    <n v="0"/>
    <x v="0"/>
    <x v="0"/>
    <x v="0"/>
  </r>
  <r>
    <s v="92732d8798add606646430bbd6748bfd"/>
    <s v="2fc89ae84d3c48eda4b268408f6ad6d7"/>
    <s v="9d12ef1a7eca3ec58c545c678af7869c"/>
    <s v="a8387c01a09e99ce014107505b92388c"/>
    <x v="466"/>
    <x v="14"/>
    <x v="0"/>
    <s v="eagle"/>
    <b v="1"/>
    <b v="1"/>
    <s v="5-20"/>
    <s v="reseller"/>
    <n v="0"/>
    <x v="0"/>
    <x v="2"/>
    <x v="0"/>
  </r>
  <r>
    <s v="8aa25d565a8891e68d123138a137622b"/>
    <s v="bfee0cb1dc3d4e4a2d625daeafaa3d3e"/>
    <s v="9e4d1098a3b0f5da39b0bc48f9876645"/>
    <s v="fbf4aef3f6915dc0c3c97d6812522f6a"/>
    <x v="467"/>
    <x v="0"/>
    <x v="4"/>
    <s v="cat"/>
    <s v="Unknow"/>
    <s v="Unknow"/>
    <s v="Unknow"/>
    <s v="reseller"/>
    <n v="0"/>
    <x v="0"/>
    <x v="3"/>
    <x v="0"/>
  </r>
  <r>
    <s v="b47ea67781941189af94d2e217161684"/>
    <s v="4e480be820e37de1444325ff358c9296"/>
    <s v="370c9f455f93a9a96cbe9bea48e70033"/>
    <s v="fbf4aef3f6915dc0c3c97d6812522f6a"/>
    <x v="468"/>
    <x v="1"/>
    <x v="2"/>
    <s v="cat"/>
    <s v="Unknow"/>
    <s v="Unknow"/>
    <s v="Unknow"/>
    <s v="reseller"/>
    <n v="0"/>
    <x v="0"/>
    <x v="3"/>
    <x v="0"/>
  </r>
  <r>
    <s v="f5386ed31571beed0361427ff58a9778"/>
    <s v="ce4755084bc097113867e6454f8f5e52"/>
    <s v="370c9f455f93a9a96cbe9bea48e70033"/>
    <s v="d3d1e91a157ea7f90548eef82f1955e3"/>
    <x v="469"/>
    <x v="4"/>
    <x v="1"/>
    <s v="cat"/>
    <s v="Unknow"/>
    <s v="Unknow"/>
    <s v="Unknow"/>
    <s v="manufacturer"/>
    <n v="0"/>
    <x v="0"/>
    <x v="2"/>
    <x v="0"/>
  </r>
  <r>
    <s v="000dd3543ac84d906eae52e7c779bb2a"/>
    <s v="500b5e25308adf85bbc0bbc52c3dc05b"/>
    <s v="a8387c01a09e99ce014107505b92388c"/>
    <s v="9e4d1098a3b0f5da39b0bc48f9876645"/>
    <x v="9"/>
    <x v="12"/>
    <x v="1"/>
    <s v="cat"/>
    <s v="Unknow"/>
    <s v="Unknow"/>
    <s v="Unknow"/>
    <s v="manufacturer"/>
    <n v="0"/>
    <x v="0"/>
    <x v="0"/>
    <x v="0"/>
  </r>
  <r>
    <s v="d1d99ef14bb813e29718b9b4df53de52"/>
    <s v="ca7c6bd577e559472af1c699de9e764e"/>
    <s v="a8387c01a09e99ce014107505b92388c"/>
    <s v="9ae085775a198122c5586fa830ff7f2b"/>
    <x v="470"/>
    <x v="4"/>
    <x v="0"/>
    <s v="cat"/>
    <s v="Unknow"/>
    <s v="Unknow"/>
    <s v="Unknow"/>
    <s v="reseller"/>
    <n v="0"/>
    <x v="0"/>
    <x v="6"/>
    <x v="0"/>
  </r>
  <r>
    <s v="16a50d670cfa9afa1ebd0022240fb0f9"/>
    <s v="2866098c2a38fb723ee05f5b65635df0"/>
    <s v="56bf83c4bb35763a51c2baab501b4c67"/>
    <s v="9ae085775a198122c5586fa830ff7f2b"/>
    <x v="471"/>
    <x v="15"/>
    <x v="6"/>
    <s v="Unknow"/>
    <s v="Unknow"/>
    <s v="Unknow"/>
    <s v="Unknow"/>
    <s v="reseller"/>
    <n v="0"/>
    <x v="0"/>
    <x v="2"/>
    <x v="0"/>
  </r>
  <r>
    <s v="cc1d6397370f680339bb84ca6ad55267"/>
    <s v="767f9c7cc8d4c288b891893b61f3a2ca"/>
    <s v="56bf83c4bb35763a51c2baab501b4c67"/>
    <s v="6565aa9ce3178a5caf6171827af3a9ba"/>
    <x v="472"/>
    <x v="11"/>
    <x v="4"/>
    <s v="cat"/>
    <s v="Unknow"/>
    <s v="Unknow"/>
    <s v="Unknow"/>
    <s v="manufacturer"/>
    <n v="0"/>
    <x v="0"/>
    <x v="6"/>
    <x v="0"/>
  </r>
  <r>
    <s v="91bf42fe769d7f395d8f11b747000def"/>
    <s v="19d7a4faa5de92caef9ad5128e6b1467"/>
    <s v="9e4d1098a3b0f5da39b0bc48f9876645"/>
    <s v="495d4e95a8cf8bbf8b432b612a2aa328"/>
    <x v="473"/>
    <x v="12"/>
    <x v="0"/>
    <s v="cat"/>
    <s v="Unknow"/>
    <s v="Unknow"/>
    <s v="Unknow"/>
    <s v="manufacturer"/>
    <n v="0"/>
    <x v="0"/>
    <x v="0"/>
    <x v="0"/>
  </r>
  <r>
    <s v="c5b432382d5978b94676426a32725dff"/>
    <s v="3cbdc3237aa8afe44324bda4a1ccf676"/>
    <s v="b34f6eba10f46bf9a657a01c108a8284"/>
    <s v="a8387c01a09e99ce014107505b92388c"/>
    <x v="474"/>
    <x v="1"/>
    <x v="4"/>
    <s v="Unknow"/>
    <s v="Unknow"/>
    <s v="Unknow"/>
    <s v="Unknow"/>
    <s v="reseller"/>
    <n v="300"/>
    <x v="1"/>
    <x v="2"/>
    <x v="1"/>
  </r>
  <r>
    <s v="c56202b66d431a16fbc0260c3d2bd1f6"/>
    <s v="d687681225767af6d214d1b3ae13f66a"/>
    <s v="4b339f9567d060bcea4f5136b9f5949e"/>
    <s v="2695de1affa7750089c0455f8ce27021"/>
    <x v="475"/>
    <x v="11"/>
    <x v="4"/>
    <s v="cat"/>
    <s v="Unknow"/>
    <s v="Unknow"/>
    <s v="Unknow"/>
    <s v="reseller"/>
    <n v="0"/>
    <x v="0"/>
    <x v="2"/>
    <x v="0"/>
  </r>
  <r>
    <s v="fa49eb69043e202e2370b17f86bb10a8"/>
    <s v="13511db12ac61e2f89c53b72a944a60b"/>
    <s v="4b339f9567d060bcea4f5136b9f5949e"/>
    <s v="4ef15afb4b2723d8f3d81e51ec7afefe"/>
    <x v="476"/>
    <x v="1"/>
    <x v="2"/>
    <s v="wolf"/>
    <s v="Unknow"/>
    <s v="Unknow"/>
    <s v="Unknow"/>
    <s v="manufacturer"/>
    <n v="0"/>
    <x v="0"/>
    <x v="10"/>
    <x v="0"/>
  </r>
  <r>
    <s v="31aa9651503a33c7f28f2a6e4d46b6e0"/>
    <s v="d3dcf0604eabf0224fbd5948b5e02f69"/>
    <s v="de63de0d10a6012430098db33c679b0b"/>
    <s v="4ef15afb4b2723d8f3d81e51ec7afefe"/>
    <x v="477"/>
    <x v="23"/>
    <x v="0"/>
    <s v="Unknow"/>
    <s v="Unknow"/>
    <s v="Unknow"/>
    <s v="Unknow"/>
    <s v="reseller"/>
    <n v="0"/>
    <x v="0"/>
    <x v="3"/>
    <x v="0"/>
  </r>
  <r>
    <s v="c9b03be66eee564123ecf4b66c25986a"/>
    <s v="7ade73f1b9b4e965f9009a4c3a7e2c15"/>
    <s v="56bf83c4bb35763a51c2baab501b4c67"/>
    <s v="c638112b43f1d1b86dcabb0da720c901"/>
    <x v="478"/>
    <x v="6"/>
    <x v="0"/>
    <s v="eagle"/>
    <s v="Unknow"/>
    <s v="Unknow"/>
    <s v="Unknow"/>
    <s v="manufacturer"/>
    <n v="0"/>
    <x v="0"/>
    <x v="0"/>
    <x v="0"/>
  </r>
  <r>
    <s v="2b6a1d360326583e2b95118913845eb5"/>
    <s v="87d3c3aeb3ead335511b3ce315eb341e"/>
    <s v="b90f87164b5f8c2cfa5c8572834dbe3f"/>
    <s v="a8387c01a09e99ce014107505b92388c"/>
    <x v="479"/>
    <x v="8"/>
    <x v="4"/>
    <s v="cat"/>
    <s v="Unknow"/>
    <s v="Unknow"/>
    <s v="Unknow"/>
    <s v="reseller"/>
    <n v="0"/>
    <x v="0"/>
    <x v="4"/>
    <x v="0"/>
  </r>
  <r>
    <s v="3b3f06f94891410cd5cec559abe7cff8"/>
    <s v="9cec48faacf156410e6c576bcefdade5"/>
    <s v="a8387c01a09e99ce014107505b92388c"/>
    <s v="9e4d1098a3b0f5da39b0bc48f9876645"/>
    <x v="480"/>
    <x v="7"/>
    <x v="0"/>
    <s v="eagle"/>
    <s v="Unknow"/>
    <s v="Unknow"/>
    <s v="Unknow"/>
    <s v="reseller"/>
    <n v="0"/>
    <x v="0"/>
    <x v="10"/>
    <x v="0"/>
  </r>
  <r>
    <s v="dd61b41d5b91a9a09e504f025a87553b"/>
    <s v="ae45df84722b1d15c5f32b23a095746c"/>
    <s v="de63de0d10a6012430098db33c679b0b"/>
    <s v="4ef15afb4b2723d8f3d81e51ec7afefe"/>
    <x v="481"/>
    <x v="4"/>
    <x v="3"/>
    <s v="Unknow"/>
    <s v="Unknow"/>
    <s v="Unknow"/>
    <s v="Unknow"/>
    <s v="reseller"/>
    <n v="0"/>
    <x v="0"/>
    <x v="0"/>
    <x v="0"/>
  </r>
  <r>
    <s v="8b0a6e823972477463ff90b9e804a70c"/>
    <s v="cad9969167c09b48ae6f1d123f7fa68d"/>
    <s v="fdb16d3cbbeb5798f2f66c4096be026d"/>
    <s v="4ef15afb4b2723d8f3d81e51ec7afefe"/>
    <x v="482"/>
    <x v="12"/>
    <x v="3"/>
    <s v="Unknow"/>
    <s v="Unknow"/>
    <s v="Unknow"/>
    <s v="Unknow"/>
    <s v="reseller"/>
    <n v="0"/>
    <x v="0"/>
    <x v="4"/>
    <x v="0"/>
  </r>
  <r>
    <s v="44d37f9019983d92ead37f855133415b"/>
    <s v="8f014a85666ef7e6a98b99a7e136bacc"/>
    <s v="de63de0d10a6012430098db33c679b0b"/>
    <s v="d3d1e91a157ea7f90548eef82f1955e3"/>
    <x v="258"/>
    <x v="21"/>
    <x v="3"/>
    <s v="Unknow"/>
    <s v="Unknow"/>
    <s v="Unknow"/>
    <s v="Unknow"/>
    <s v="reseller"/>
    <n v="0"/>
    <x v="0"/>
    <x v="0"/>
    <x v="0"/>
  </r>
  <r>
    <s v="c242ee43f6d34d89ee71b02fbc5e88a7"/>
    <s v="85044848b1b767db2a4a58526adef4b4"/>
    <s v="4b339f9567d060bcea4f5136b9f5949e"/>
    <s v="c638112b43f1d1b86dcabb0da720c901"/>
    <x v="483"/>
    <x v="27"/>
    <x v="4"/>
    <s v="Unknow"/>
    <s v="Unknow"/>
    <s v="Unknow"/>
    <s v="Unknow"/>
    <s v="reseller"/>
    <n v="0"/>
    <x v="0"/>
    <x v="1"/>
    <x v="0"/>
  </r>
  <r>
    <s v="7290c4082936311a3295b7c9ca7bda8f"/>
    <s v="9c1c0c36cd23c20897e473901a8fb149"/>
    <s v="9e4d1098a3b0f5da39b0bc48f9876645"/>
    <s v="fbf4aef3f6915dc0c3c97d6812522f6a"/>
    <x v="484"/>
    <x v="3"/>
    <x v="0"/>
    <s v="cat"/>
    <s v="Unknow"/>
    <s v="Unknow"/>
    <s v="Unknow"/>
    <s v="reseller"/>
    <n v="0"/>
    <x v="0"/>
    <x v="0"/>
    <x v="0"/>
  </r>
  <r>
    <s v="0ace14f7dd3d8e29870664c6fa021440"/>
    <s v="ce20a2ec1514c25e16f2b5b39bc818f0"/>
    <s v="56bf83c4bb35763a51c2baab501b4c67"/>
    <s v="060c0a26f19f4d66b42e0d8796688490"/>
    <x v="485"/>
    <x v="0"/>
    <x v="0"/>
    <s v="Unknow"/>
    <s v="Unknow"/>
    <s v="Unknow"/>
    <s v="Unknow"/>
    <s v="reseller"/>
    <n v="0"/>
    <x v="0"/>
    <x v="0"/>
    <x v="0"/>
  </r>
  <r>
    <s v="1d015de3059eb8754a365b5bbc735818"/>
    <s v="2157c762d011d8bdf2097f45d80df0ef"/>
    <s v="f42a2bd194f7802ab052a815c8de65b7"/>
    <s v="56bf83c4bb35763a51c2baab501b4c67"/>
    <x v="486"/>
    <x v="4"/>
    <x v="2"/>
    <s v="cat"/>
    <s v="Unknow"/>
    <s v="Unknow"/>
    <s v="Unknow"/>
    <s v="manufacturer"/>
    <n v="0"/>
    <x v="0"/>
    <x v="1"/>
    <x v="0"/>
  </r>
  <r>
    <s v="f2258c61a8b46c0620005f5949fb11b8"/>
    <s v="cad10cc982ab6a391570c211b995c17c"/>
    <s v="068066e24f0c643eb1d089c7dd20cd73"/>
    <s v="6565aa9ce3178a5caf6171827af3a9ba"/>
    <x v="487"/>
    <x v="0"/>
    <x v="0"/>
    <s v="wolf"/>
    <s v="Unknow"/>
    <s v="Unknow"/>
    <s v="Unknow"/>
    <s v="reseller"/>
    <n v="0"/>
    <x v="0"/>
    <x v="6"/>
    <x v="0"/>
  </r>
  <r>
    <s v="f4854d16f1c74c2e64a5b01933a04ada"/>
    <s v="fe1f84058e11c26fe9582167f47c343c"/>
    <s v="34d40cdaf94010a1d05b0d6212f9e909"/>
    <s v="6565aa9ce3178a5caf6171827af3a9ba"/>
    <x v="488"/>
    <x v="21"/>
    <x v="0"/>
    <s v="cat"/>
    <s v="Unknow"/>
    <s v="Unknow"/>
    <s v="Unknow"/>
    <s v="reseller"/>
    <n v="0"/>
    <x v="0"/>
    <x v="3"/>
    <x v="0"/>
  </r>
  <r>
    <s v="52427b6097c05044266c10cf110bb16c"/>
    <s v="b89f350d98e85cdac1137510bd7b566e"/>
    <s v="34d40cdaf94010a1d05b0d6212f9e909"/>
    <s v="56bf83c4bb35763a51c2baab501b4c67"/>
    <x v="489"/>
    <x v="25"/>
    <x v="6"/>
    <s v="cat"/>
    <s v="Unknow"/>
    <s v="Unknow"/>
    <s v="Unknow"/>
    <s v="manufacturer"/>
    <n v="0"/>
    <x v="0"/>
    <x v="1"/>
    <x v="0"/>
  </r>
  <r>
    <s v="da740a2d739707c310f3762453b41359"/>
    <s v="f085a186e0ab15cb03a8bf46e07a8397"/>
    <s v="de63de0d10a6012430098db33c679b0b"/>
    <s v="4ef15afb4b2723d8f3d81e51ec7afefe"/>
    <x v="490"/>
    <x v="5"/>
    <x v="2"/>
    <s v="Unknow"/>
    <s v="Unknow"/>
    <s v="Unknow"/>
    <s v="Unknow"/>
    <s v="reseller"/>
    <n v="0"/>
    <x v="0"/>
    <x v="2"/>
    <x v="0"/>
  </r>
  <r>
    <s v="cd39b2fcf60d4580dbe25b82be3fd1ab"/>
    <s v="72bb43f9683adea77d240b7985e2dfa2"/>
    <s v="4b339f9567d060bcea4f5136b9f5949e"/>
    <s v="495d4e95a8cf8bbf8b432b612a2aa328"/>
    <x v="263"/>
    <x v="0"/>
    <x v="0"/>
    <s v="wolf"/>
    <s v="Unknow"/>
    <s v="Unknow"/>
    <s v="Unknow"/>
    <s v="reseller"/>
    <n v="0"/>
    <x v="0"/>
    <x v="0"/>
    <x v="0"/>
  </r>
  <r>
    <s v="5b6359f4589fe6e5a4856110f0480240"/>
    <s v="e77e2e91d8ba596f5bce16b906255fe0"/>
    <s v="f42a2bd194f7802ab052a815c8de65b7"/>
    <s v="85fc447d336637ba1df43e793199fbc8"/>
    <x v="491"/>
    <x v="24"/>
    <x v="6"/>
    <s v="wolf"/>
    <s v="Unknow"/>
    <s v="Unknow"/>
    <s v="Unknow"/>
    <s v="manufacturer"/>
    <n v="0"/>
    <x v="0"/>
    <x v="0"/>
    <x v="0"/>
  </r>
  <r>
    <s v="3532ba8963b76ecaa46dc6d6f055a31a"/>
    <s v="7d7d2b7a51328016102d4528c411d630"/>
    <s v="56bf83c4bb35763a51c2baab501b4c67"/>
    <s v="4ef15afb4b2723d8f3d81e51ec7afefe"/>
    <x v="492"/>
    <x v="12"/>
    <x v="4"/>
    <s v="cat"/>
    <s v="Unknow"/>
    <s v="Unknow"/>
    <s v="Unknow"/>
    <s v="reseller"/>
    <n v="0"/>
    <x v="0"/>
    <x v="3"/>
    <x v="0"/>
  </r>
  <r>
    <s v="6451343e4f4041fb19ddf7b9dc58538b"/>
    <s v="651530bf5c607240ccdd89a30c9c9712"/>
    <s v="370c9f455f93a9a96cbe9bea48e70033"/>
    <s v="85fc447d336637ba1df43e793199fbc8"/>
    <x v="493"/>
    <x v="21"/>
    <x v="1"/>
    <s v="wolf"/>
    <s v="Unknow"/>
    <s v="Unknow"/>
    <s v="Unknow"/>
    <s v="manufacturer"/>
    <n v="0"/>
    <x v="0"/>
    <x v="2"/>
    <x v="0"/>
  </r>
  <r>
    <s v="5ee85f64aafcce6b24e3e1171a475ea6"/>
    <s v="d8887be1427e48581e65fed5faf03bce"/>
    <s v="33dd30594303eb0ebe12a556d612c437"/>
    <s v="d3d1e91a157ea7f90548eef82f1955e3"/>
    <x v="494"/>
    <x v="5"/>
    <x v="0"/>
    <s v="cat"/>
    <b v="1"/>
    <b v="1"/>
    <s v="1-5"/>
    <s v="reseller"/>
    <n v="30"/>
    <x v="16"/>
    <x v="3"/>
    <x v="2"/>
  </r>
  <r>
    <s v="2fdef625a264874c1a4081ca24dd479d"/>
    <s v="5670f4db5b62c43d542e1b2d56b0cf7c"/>
    <s v="9d12ef1a7eca3ec58c545c678af7869c"/>
    <s v="4ef15afb4b2723d8f3d81e51ec7afefe"/>
    <x v="495"/>
    <x v="4"/>
    <x v="2"/>
    <s v="eagle"/>
    <s v="Unknow"/>
    <s v="Unknow"/>
    <s v="Unknow"/>
    <s v="reseller"/>
    <n v="0"/>
    <x v="0"/>
    <x v="2"/>
    <x v="0"/>
  </r>
  <r>
    <s v="b8a54e345fa5fa48d9f72b7cd514240d"/>
    <s v="98151b0a22aa6e9ac06a7bb854fa6959"/>
    <s v="4b339f9567d060bcea4f5136b9f5949e"/>
    <s v="85fc447d336637ba1df43e793199fbc8"/>
    <x v="496"/>
    <x v="12"/>
    <x v="1"/>
    <s v="cat"/>
    <s v="Unknow"/>
    <s v="Unknow"/>
    <s v="Unknow"/>
    <s v="manufacturer"/>
    <n v="0"/>
    <x v="0"/>
    <x v="0"/>
    <x v="0"/>
  </r>
  <r>
    <s v="a78562b316f0578286ddea6e6eaf2c63"/>
    <s v="929f342384a6607afe143d789ade1316"/>
    <s v="a8387c01a09e99ce014107505b92388c"/>
    <s v="4ef15afb4b2723d8f3d81e51ec7afefe"/>
    <x v="497"/>
    <x v="7"/>
    <x v="3"/>
    <s v="cat"/>
    <s v="Unknow"/>
    <s v="Unknow"/>
    <s v="Unknow"/>
    <s v="reseller"/>
    <n v="0"/>
    <x v="0"/>
    <x v="3"/>
    <x v="0"/>
  </r>
  <r>
    <s v="c0760e4171db0cd649bda18fcd314e33"/>
    <s v="4c18691b6037662be2df78a765d98ab5"/>
    <s v="fdb16d3cbbeb5798f2f66c4096be026d"/>
    <s v="fbf4aef3f6915dc0c3c97d6812522f6a"/>
    <x v="498"/>
    <x v="6"/>
    <x v="3"/>
    <s v="Unknow"/>
    <s v="Unknow"/>
    <s v="Unknow"/>
    <s v="Unknow"/>
    <s v="reseller"/>
    <n v="0"/>
    <x v="0"/>
    <x v="3"/>
    <x v="0"/>
  </r>
  <r>
    <s v="9ef248df74556f4768271660f5ef5f7b"/>
    <s v="aa2640d851ec322526f1295bbeb20092"/>
    <s v="4b339f9567d060bcea4f5136b9f5949e"/>
    <s v="6565aa9ce3178a5caf6171827af3a9ba"/>
    <x v="499"/>
    <x v="12"/>
    <x v="0"/>
    <s v="Unknow"/>
    <s v="Unknow"/>
    <s v="Unknow"/>
    <s v="Unknow"/>
    <s v="reseller"/>
    <n v="0"/>
    <x v="0"/>
    <x v="0"/>
    <x v="0"/>
  </r>
  <r>
    <s v="4532f03593699ffdfd5fc1b58540190e"/>
    <s v="19d62d484cba71963c93f0f00ab42013"/>
    <s v="068066e24f0c643eb1d089c7dd20cd73"/>
    <s v="fbf4aef3f6915dc0c3c97d6812522f6a"/>
    <x v="500"/>
    <x v="12"/>
    <x v="5"/>
    <s v="cat"/>
    <s v="Unknow"/>
    <s v="Unknow"/>
    <s v="Unknow"/>
    <s v="manufacturer"/>
    <n v="0"/>
    <x v="0"/>
    <x v="3"/>
    <x v="0"/>
  </r>
  <r>
    <s v="dada30935bcfc75c69e651430ea8815f"/>
    <s v="f2c87addc7e39e1c73457c4ec85ed728"/>
    <s v="33dd30594303eb0ebe12a556d612c437"/>
    <s v="4b339f9567d060bcea4f5136b9f5949e"/>
    <x v="501"/>
    <x v="13"/>
    <x v="0"/>
    <s v="cat"/>
    <b v="0"/>
    <b v="1"/>
    <s v="50-200"/>
    <s v="reseller"/>
    <n v="85"/>
    <x v="0"/>
    <x v="0"/>
    <x v="0"/>
  </r>
  <r>
    <s v="e9631bea70bc3ae4018bff0eac2c0986"/>
    <s v="5b0cc932433fa5184b5b94bfe6bcc256"/>
    <s v="370c9f455f93a9a96cbe9bea48e70033"/>
    <s v="a8387c01a09e99ce014107505b92388c"/>
    <x v="502"/>
    <x v="12"/>
    <x v="0"/>
    <s v="eagle"/>
    <s v="Unknow"/>
    <s v="Unknow"/>
    <s v="Unknow"/>
    <s v="manufacturer"/>
    <n v="0"/>
    <x v="0"/>
    <x v="5"/>
    <x v="0"/>
  </r>
  <r>
    <s v="1dbafa1bd602541ba5249cf8cc388acf"/>
    <s v="252b493131fc46ee4a19fbfcbd565676"/>
    <s v="0a0fb2b07d841f84fb6714e35c723075"/>
    <s v="4ef15afb4b2723d8f3d81e51ec7afefe"/>
    <x v="503"/>
    <x v="5"/>
    <x v="0"/>
    <s v="cat"/>
    <s v="Unknow"/>
    <s v="Unknow"/>
    <s v="Unknow"/>
    <s v="reseller"/>
    <n v="0"/>
    <x v="0"/>
    <x v="0"/>
    <x v="0"/>
  </r>
  <r>
    <s v="d92949512f85bf2db92ad19b662922f6"/>
    <s v="0502e5d79bd91b34b68cef9b3b45230c"/>
    <s v="9d12ef1a7eca3ec58c545c678af7869c"/>
    <s v="068066e24f0c643eb1d089c7dd20cd73"/>
    <x v="504"/>
    <x v="4"/>
    <x v="0"/>
    <s v="eagle"/>
    <s v="Unknow"/>
    <s v="Unknow"/>
    <s v="Unknow"/>
    <s v="reseller"/>
    <n v="0"/>
    <x v="0"/>
    <x v="3"/>
    <x v="0"/>
  </r>
  <r>
    <s v="dcee66ccb49a492ae42c446c0cc01b3a"/>
    <s v="cd2169d9f31ff6fbb9ca3373b0c9e354"/>
    <s v="068066e24f0c643eb1d089c7dd20cd73"/>
    <s v="85fc447d336637ba1df43e793199fbc8"/>
    <x v="505"/>
    <x v="19"/>
    <x v="0"/>
    <s v="cat"/>
    <s v="Unknow"/>
    <s v="Unknow"/>
    <s v="Unknow"/>
    <s v="reseller"/>
    <n v="0"/>
    <x v="0"/>
    <x v="2"/>
    <x v="0"/>
  </r>
  <r>
    <s v="4a357e43fba47afd6d96c6f6524ade53"/>
    <s v="9aa388272ee334b6ae07bc73706e254a"/>
    <s v="068066e24f0c643eb1d089c7dd20cd73"/>
    <s v="d3d1e91a157ea7f90548eef82f1955e3"/>
    <x v="506"/>
    <x v="13"/>
    <x v="0"/>
    <s v="Unknow"/>
    <s v="Unknow"/>
    <s v="Unknow"/>
    <s v="Unknow"/>
    <s v="manufacturer"/>
    <n v="0"/>
    <x v="0"/>
    <x v="2"/>
    <x v="0"/>
  </r>
  <r>
    <s v="fceb58eea3ffda92cf9ab32fd9e5fe0d"/>
    <s v="dc00a47754c9e2eda1f84b0bff6ee95e"/>
    <s v="a8387c01a09e99ce014107505b92388c"/>
    <s v="2695de1affa7750089c0455f8ce27021"/>
    <x v="507"/>
    <x v="10"/>
    <x v="4"/>
    <s v="cat"/>
    <s v="Unknow"/>
    <s v="Unknow"/>
    <s v="Unknow"/>
    <s v="reseller"/>
    <n v="0"/>
    <x v="0"/>
    <x v="0"/>
    <x v="0"/>
  </r>
  <r>
    <s v="63d196328512c582293ce6c845521bb6"/>
    <s v="1fe5540d7c1c37a595fefbacd5570d9e"/>
    <s v="0a0fb2b07d841f84fb6714e35c723075"/>
    <s v="34d40cdaf94010a1d05b0d6212f9e909"/>
    <x v="508"/>
    <x v="5"/>
    <x v="0"/>
    <s v="eagle"/>
    <b v="0"/>
    <b v="1"/>
    <s v="50-200"/>
    <s v="reseller"/>
    <n v="0"/>
    <x v="0"/>
    <x v="2"/>
    <x v="0"/>
  </r>
  <r>
    <s v="cd60cded04fede4abccff6e0dea36f6e"/>
    <s v="dd3c4f2160ceb84483c6ef84ddc541e0"/>
    <s v="a8387c01a09e99ce014107505b92388c"/>
    <s v="4ef15afb4b2723d8f3d81e51ec7afefe"/>
    <x v="509"/>
    <x v="29"/>
    <x v="4"/>
    <s v="wolf"/>
    <s v="Unknow"/>
    <s v="Unknow"/>
    <s v="Unknow"/>
    <s v="manufacturer"/>
    <n v="0"/>
    <x v="0"/>
    <x v="0"/>
    <x v="0"/>
  </r>
  <r>
    <s v="6fd8a9e989f62bd98e7d20c2f81b1519"/>
    <s v="bce6a5ecf98e99fd2a8868b15c51f04b"/>
    <s v="068066e24f0c643eb1d089c7dd20cd73"/>
    <s v="d3d1e91a157ea7f90548eef82f1955e3"/>
    <x v="510"/>
    <x v="14"/>
    <x v="0"/>
    <s v="cat"/>
    <s v="Unknow"/>
    <s v="Unknow"/>
    <s v="Unknow"/>
    <s v="reseller"/>
    <n v="0"/>
    <x v="0"/>
    <x v="2"/>
    <x v="0"/>
  </r>
  <r>
    <s v="e03c43e6cfff88b9e06badf1de66b950"/>
    <s v="5f4ffce0fafd72596bcb09d1467981c2"/>
    <s v="0a0fb2b07d841f84fb6714e35c723075"/>
    <s v="068066e24f0c643eb1d089c7dd20cd73"/>
    <x v="511"/>
    <x v="4"/>
    <x v="0"/>
    <s v="eagle"/>
    <s v="Unknow"/>
    <s v="Unknow"/>
    <s v="Unknow"/>
    <s v="manufacturer"/>
    <n v="0"/>
    <x v="0"/>
    <x v="2"/>
    <x v="0"/>
  </r>
  <r>
    <s v="33d81348225fe436802063fc73e6f2c5"/>
    <s v="902c99f1ac505c0d18778b61bcd636f7"/>
    <s v="a8387c01a09e99ce014107505b92388c"/>
    <s v="85fc447d336637ba1df43e793199fbc8"/>
    <x v="512"/>
    <x v="31"/>
    <x v="0"/>
    <s v="cat"/>
    <s v="Unknow"/>
    <s v="Unknow"/>
    <s v="Unknow"/>
    <s v="reseller"/>
    <n v="0"/>
    <x v="0"/>
    <x v="0"/>
    <x v="0"/>
  </r>
  <r>
    <s v="ac2adbbec7f0d2fffad8e21d5e8a58e1"/>
    <s v="2e7ea2aafec5835e781b21d6d1faf1f1"/>
    <s v="068066e24f0c643eb1d089c7dd20cd73"/>
    <s v="495d4e95a8cf8bbf8b432b612a2aa328"/>
    <x v="513"/>
    <x v="4"/>
    <x v="0"/>
    <s v="cat"/>
    <s v="Unknow"/>
    <s v="Unknow"/>
    <s v="Unknow"/>
    <s v="reseller"/>
    <n v="0"/>
    <x v="0"/>
    <x v="6"/>
    <x v="0"/>
  </r>
  <r>
    <s v="8dcedd6884e553e55dfb6298a6f6cd94"/>
    <s v="b3809b8d4394588a47c8470ea331e135"/>
    <s v="370c9f455f93a9a96cbe9bea48e70033"/>
    <s v="85fc447d336637ba1df43e793199fbc8"/>
    <x v="514"/>
    <x v="19"/>
    <x v="0"/>
    <s v="cat"/>
    <s v="Unknow"/>
    <s v="Unknow"/>
    <s v="Unknow"/>
    <s v="reseller"/>
    <n v="0"/>
    <x v="0"/>
    <x v="4"/>
    <x v="0"/>
  </r>
  <r>
    <s v="ba0773260354774c193b04f6af910192"/>
    <s v="674207551483fec113276b67b0d871ff"/>
    <s v="4b339f9567d060bcea4f5136b9f5949e"/>
    <s v="6565aa9ce3178a5caf6171827af3a9ba"/>
    <x v="515"/>
    <x v="6"/>
    <x v="0"/>
    <s v="wolf"/>
    <s v="Unknow"/>
    <s v="Unknow"/>
    <s v="Unknow"/>
    <s v="manufacturer"/>
    <n v="0"/>
    <x v="0"/>
    <x v="4"/>
    <x v="0"/>
  </r>
  <r>
    <s v="f5772c97a8e2bcf909674d8701480d55"/>
    <s v="63c6951772f3f4fc4e40ffd24207fd19"/>
    <s v="4b339f9567d060bcea4f5136b9f5949e"/>
    <s v="060c0a26f19f4d66b42e0d8796688490"/>
    <x v="516"/>
    <x v="27"/>
    <x v="2"/>
    <s v="cat"/>
    <s v="Unknow"/>
    <s v="Unknow"/>
    <s v="Unknow"/>
    <s v="reseller"/>
    <n v="0"/>
    <x v="0"/>
    <x v="0"/>
    <x v="0"/>
  </r>
  <r>
    <s v="4926b735eb624e5de200880635cc272a"/>
    <s v="2ec7ffe99ecc5afc2e48920c9d1fbff6"/>
    <s v="56bf83c4bb35763a51c2baab501b4c67"/>
    <s v="4ef15afb4b2723d8f3d81e51ec7afefe"/>
    <x v="517"/>
    <x v="26"/>
    <x v="2"/>
    <s v="Unknow"/>
    <s v="Unknow"/>
    <s v="Unknow"/>
    <s v="Unknow"/>
    <s v="reseller"/>
    <n v="0"/>
    <x v="0"/>
    <x v="0"/>
    <x v="0"/>
  </r>
  <r>
    <s v="28f36aa85fbadc0663c2df15a5af35db"/>
    <s v="455befea1bb853c75ccbca94cff26e5c"/>
    <s v="f42a2bd194f7802ab052a815c8de65b7"/>
    <s v="de63de0d10a6012430098db33c679b0b"/>
    <x v="518"/>
    <x v="27"/>
    <x v="4"/>
    <s v="cat"/>
    <s v="Unknow"/>
    <s v="Unknow"/>
    <s v="Unknow"/>
    <s v="Unknow"/>
    <n v="0"/>
    <x v="0"/>
    <x v="0"/>
    <x v="0"/>
  </r>
  <r>
    <s v="0383bd4aa37e8dd109be3864bc703eda"/>
    <s v="9fbe791853dbd2e3894d85162a8ff934"/>
    <s v="45749fb708130f78d0db07d8d80f030b"/>
    <s v="4b339f9567d060bcea4f5136b9f5949e"/>
    <x v="519"/>
    <x v="1"/>
    <x v="0"/>
    <s v="cat"/>
    <b v="1"/>
    <b v="1"/>
    <s v="5-20"/>
    <s v="reseller"/>
    <n v="75"/>
    <x v="9"/>
    <x v="2"/>
    <x v="1"/>
  </r>
  <r>
    <s v="80f3f5f7b631b0e974a4a4627672e73a"/>
    <s v="dace965ca58120f92f8d742a9fa1864b"/>
    <s v="de63de0d10a6012430098db33c679b0b"/>
    <s v="d3d1e91a157ea7f90548eef82f1955e3"/>
    <x v="520"/>
    <x v="4"/>
    <x v="6"/>
    <s v="Unknow"/>
    <s v="Unknow"/>
    <s v="Unknow"/>
    <s v="Unknow"/>
    <s v="reseller"/>
    <n v="0"/>
    <x v="0"/>
    <x v="0"/>
    <x v="0"/>
  </r>
  <r>
    <s v="20c1fd3638caa5d1dce50b6c0b7fc409"/>
    <s v="ea4e9ce63a2134743b4a92777437fcdd"/>
    <s v="9e4d1098a3b0f5da39b0bc48f9876645"/>
    <s v="060c0a26f19f4d66b42e0d8796688490"/>
    <x v="521"/>
    <x v="19"/>
    <x v="0"/>
    <s v="cat"/>
    <s v="Unknow"/>
    <s v="Unknow"/>
    <s v="Unknow"/>
    <s v="manufacturer"/>
    <n v="0"/>
    <x v="0"/>
    <x v="0"/>
    <x v="0"/>
  </r>
  <r>
    <s v="5177d7712d018e49b0015adfdc2bb393"/>
    <s v="19d2a3535e887b30be7081676fb1a499"/>
    <s v="a8387c01a09e99ce014107505b92388c"/>
    <s v="495d4e95a8cf8bbf8b432b612a2aa328"/>
    <x v="510"/>
    <x v="10"/>
    <x v="4"/>
    <s v="cat"/>
    <s v="Unknow"/>
    <s v="Unknow"/>
    <s v="Unknow"/>
    <s v="reseller"/>
    <n v="0"/>
    <x v="0"/>
    <x v="6"/>
    <x v="0"/>
  </r>
  <r>
    <s v="3f972cdb5e257034c5ad72bd3b0ed184"/>
    <s v="a0ed0c00bfd64109d4ea03c97cc12486"/>
    <s v="0a0fb2b07d841f84fb6714e35c723075"/>
    <s v="068066e24f0c643eb1d089c7dd20cd73"/>
    <x v="522"/>
    <x v="12"/>
    <x v="0"/>
    <s v="wolf"/>
    <b v="1"/>
    <b v="1"/>
    <s v="1-5"/>
    <s v="reseller"/>
    <n v="70"/>
    <x v="5"/>
    <x v="3"/>
    <x v="1"/>
  </r>
  <r>
    <s v="b440cc1f36911a5256b3dc30a1d599ba"/>
    <s v="8116eb23b96c15ec02dd90632371494c"/>
    <s v="de63de0d10a6012430098db33c679b0b"/>
    <s v="9ae085775a198122c5586fa830ff7f2b"/>
    <x v="523"/>
    <x v="21"/>
    <x v="6"/>
    <s v="Unknow"/>
    <s v="Unknow"/>
    <s v="Unknow"/>
    <s v="Unknow"/>
    <s v="manufacturer"/>
    <n v="0"/>
    <x v="0"/>
    <x v="4"/>
    <x v="0"/>
  </r>
  <r>
    <s v="5b7fc89c42ee0f99a9db33e8baed5c52"/>
    <s v="39cd336c2436c88d88096f7ef9305026"/>
    <s v="9e4d1098a3b0f5da39b0bc48f9876645"/>
    <s v="85fc447d336637ba1df43e793199fbc8"/>
    <x v="524"/>
    <x v="12"/>
    <x v="0"/>
    <s v="cat"/>
    <s v="Unknow"/>
    <s v="Unknow"/>
    <s v="Unknow"/>
    <s v="manufacturer"/>
    <n v="0"/>
    <x v="0"/>
    <x v="0"/>
    <x v="0"/>
  </r>
  <r>
    <s v="d3acf9ea06733ab725beeec8333da403"/>
    <s v="48e954b2da4f6a750c844173b347ed40"/>
    <s v="4b339f9567d060bcea4f5136b9f5949e"/>
    <s v="d3d1e91a157ea7f90548eef82f1955e3"/>
    <x v="525"/>
    <x v="3"/>
    <x v="3"/>
    <s v="Unknow"/>
    <s v="Unknow"/>
    <s v="Unknow"/>
    <s v="Unknow"/>
    <s v="reseller"/>
    <n v="0"/>
    <x v="0"/>
    <x v="5"/>
    <x v="0"/>
  </r>
  <r>
    <s v="bfa4c8f989b5998d069da0a75550a7ce"/>
    <s v="694892adec9a8e54155c2a2e99b6bd0c"/>
    <s v="9d12ef1a7eca3ec58c545c678af7869c"/>
    <s v="de63de0d10a6012430098db33c679b0b"/>
    <x v="526"/>
    <x v="1"/>
    <x v="4"/>
    <s v="cat"/>
    <s v="Unknow"/>
    <s v="Unknow"/>
    <s v="Unknow"/>
    <s v="reseller"/>
    <n v="0"/>
    <x v="0"/>
    <x v="0"/>
    <x v="0"/>
  </r>
  <r>
    <s v="0dabd1a1be08da96cd6fa993b9afb0a8"/>
    <s v="a0b6a15b3b776d289bb0eca2d9115eaa"/>
    <s v="e7dff61b78bebffa71678e126ce669ad"/>
    <s v="de63de0d10a6012430098db33c679b0b"/>
    <x v="527"/>
    <x v="8"/>
    <x v="0"/>
    <s v="eagle"/>
    <b v="1"/>
    <b v="1"/>
    <s v="5-20"/>
    <s v="reseller"/>
    <n v="100"/>
    <x v="17"/>
    <x v="2"/>
    <x v="2"/>
  </r>
  <r>
    <s v="9ab8da6ebb84a25f23233a3a2e8cfc11"/>
    <s v="f177c11663deb4c3c07af399b26f5110"/>
    <s v="068066e24f0c643eb1d089c7dd20cd73"/>
    <s v="9ae085775a198122c5586fa830ff7f2b"/>
    <x v="528"/>
    <x v="1"/>
    <x v="0"/>
    <s v="Unknow"/>
    <s v="Unknow"/>
    <s v="Unknow"/>
    <s v="Unknow"/>
    <s v="reseller"/>
    <n v="0"/>
    <x v="0"/>
    <x v="5"/>
    <x v="0"/>
  </r>
  <r>
    <s v="80a19b2bee623d67010812c64f360300"/>
    <s v="abc39d62971a3ef6d4b285f65513006f"/>
    <s v="370c9f455f93a9a96cbe9bea48e70033"/>
    <s v="068066e24f0c643eb1d089c7dd20cd73"/>
    <x v="529"/>
    <x v="24"/>
    <x v="0"/>
    <s v="wolf"/>
    <s v="Unknow"/>
    <s v="Unknow"/>
    <s v="5-20"/>
    <s v="reseller"/>
    <n v="30"/>
    <x v="0"/>
    <x v="3"/>
    <x v="0"/>
  </r>
  <r>
    <s v="820f7970418d010d52a1c1db2d3c1d65"/>
    <s v="28c7d8743fbc8679f484868cc0fcaefb"/>
    <s v="9d12ef1a7eca3ec58c545c678af7869c"/>
    <s v="4ef15afb4b2723d8f3d81e51ec7afefe"/>
    <x v="530"/>
    <x v="4"/>
    <x v="4"/>
    <s v="wolf"/>
    <s v="Unknow"/>
    <s v="Unknow"/>
    <s v="Unknow"/>
    <s v="reseller"/>
    <n v="0"/>
    <x v="0"/>
    <x v="5"/>
    <x v="0"/>
  </r>
  <r>
    <s v="c22f68de5bdce96fee03e21ca08d898d"/>
    <s v="b15dd2f0fabf60d00bb3bc95834fb45d"/>
    <s v="33dd30594303eb0ebe12a556d612c437"/>
    <s v="068066e24f0c643eb1d089c7dd20cd73"/>
    <x v="531"/>
    <x v="7"/>
    <x v="4"/>
    <s v="cat"/>
    <b v="1"/>
    <b v="1"/>
    <s v="5-20"/>
    <s v="reseller"/>
    <n v="10"/>
    <x v="0"/>
    <x v="2"/>
    <x v="0"/>
  </r>
  <r>
    <s v="0456932dafd6f6b56f142efaa19ea8ed"/>
    <s v="c38c6d00a783927b6a3df86ea650ed4f"/>
    <s v="068066e24f0c643eb1d089c7dd20cd73"/>
    <s v="d3d1e91a157ea7f90548eef82f1955e3"/>
    <x v="532"/>
    <x v="19"/>
    <x v="3"/>
    <s v="cat"/>
    <s v="Unknow"/>
    <s v="Unknow"/>
    <s v="Unknow"/>
    <s v="reseller"/>
    <n v="0"/>
    <x v="0"/>
    <x v="3"/>
    <x v="0"/>
  </r>
  <r>
    <s v="c9535ee549d198a4b146a5a81e0a6450"/>
    <s v="186cdd1b2df32caa72cfb410bba768d3"/>
    <s v="4b339f9567d060bcea4f5136b9f5949e"/>
    <s v="060c0a26f19f4d66b42e0d8796688490"/>
    <x v="533"/>
    <x v="6"/>
    <x v="3"/>
    <s v="wolf"/>
    <s v="Unknow"/>
    <s v="Unknow"/>
    <s v="Unknow"/>
    <s v="reseller"/>
    <n v="0"/>
    <x v="0"/>
    <x v="3"/>
    <x v="0"/>
  </r>
  <r>
    <s v="6fb435d98ce368e0b727cec0f8a2ccfb"/>
    <s v="fac1a9017ade7bdc94058fc1c969f355"/>
    <s v="4b339f9567d060bcea4f5136b9f5949e"/>
    <s v="fbf4aef3f6915dc0c3c97d6812522f6a"/>
    <x v="534"/>
    <x v="5"/>
    <x v="0"/>
    <s v="wolf"/>
    <s v="Unknow"/>
    <s v="Unknow"/>
    <s v="Unknow"/>
    <s v="reseller"/>
    <n v="0"/>
    <x v="0"/>
    <x v="3"/>
    <x v="0"/>
  </r>
  <r>
    <s v="719a6e5ecb3067f0725a36f477404c5c"/>
    <s v="269c5fc9fcadee614364c3620c30a1f9"/>
    <s v="370c9f455f93a9a96cbe9bea48e70033"/>
    <s v="6565aa9ce3178a5caf6171827af3a9ba"/>
    <x v="535"/>
    <x v="21"/>
    <x v="4"/>
    <s v="wolf"/>
    <s v="Unknow"/>
    <s v="Unknow"/>
    <s v="Unknow"/>
    <s v="reseller"/>
    <n v="0"/>
    <x v="0"/>
    <x v="2"/>
    <x v="0"/>
  </r>
  <r>
    <s v="e0bcbf50b9afa71ee130b94dfe8bcf2e"/>
    <s v="516e7738bd8f735ac19a010ee5450d8d"/>
    <s v="9d12ef1a7eca3ec58c545c678af7869c"/>
    <s v="495d4e95a8cf8bbf8b432b612a2aa328"/>
    <x v="536"/>
    <x v="4"/>
    <x v="3"/>
    <s v="cat"/>
    <s v="Unknow"/>
    <s v="Unknow"/>
    <s v="Unknow"/>
    <s v="reseller"/>
    <n v="0"/>
    <x v="0"/>
    <x v="2"/>
    <x v="0"/>
  </r>
  <r>
    <s v="10d6786c2646e4ef82973b3045096882"/>
    <s v="fb66238168277301f44d960416bf5c1f"/>
    <s v="34d40cdaf94010a1d05b0d6212f9e909"/>
    <s v="9ae085775a198122c5586fa830ff7f2b"/>
    <x v="537"/>
    <x v="15"/>
    <x v="3"/>
    <s v="cat"/>
    <s v="Unknow"/>
    <s v="Unknow"/>
    <s v="Unknow"/>
    <s v="manufacturer"/>
    <n v="0"/>
    <x v="0"/>
    <x v="5"/>
    <x v="0"/>
  </r>
  <r>
    <s v="79304cca1ad8a247a9bafffd5f4db436"/>
    <s v="8ba4b332e611171e234324cf3f9f28e3"/>
    <s v="fdb16d3cbbeb5798f2f66c4096be026d"/>
    <s v="060c0a26f19f4d66b42e0d8796688490"/>
    <x v="538"/>
    <x v="3"/>
    <x v="1"/>
    <s v="Unknow"/>
    <s v="Unknow"/>
    <s v="Unknow"/>
    <s v="Unknow"/>
    <s v="manufacturer"/>
    <n v="0"/>
    <x v="0"/>
    <x v="0"/>
    <x v="0"/>
  </r>
  <r>
    <s v="8999714b474171439f0c56236609a287"/>
    <s v="4ac30efebddcd090914475c8201899b4"/>
    <s v="fdb16d3cbbeb5798f2f66c4096be026d"/>
    <s v="9ae085775a198122c5586fa830ff7f2b"/>
    <x v="539"/>
    <x v="12"/>
    <x v="1"/>
    <s v="Unknow"/>
    <s v="Unknow"/>
    <s v="Unknow"/>
    <s v="Unknow"/>
    <s v="reseller"/>
    <n v="0"/>
    <x v="0"/>
    <x v="0"/>
    <x v="0"/>
  </r>
  <r>
    <s v="d8bbc05a9852cf8c785e2b05c5ba1bd9"/>
    <s v="5544a079319b0984ee5d3ea03ea57da2"/>
    <s v="56bf83c4bb35763a51c2baab501b4c67"/>
    <s v="c638112b43f1d1b86dcabb0da720c901"/>
    <x v="540"/>
    <x v="5"/>
    <x v="0"/>
    <s v="cat"/>
    <s v="Unknow"/>
    <s v="Unknow"/>
    <s v="Unknow"/>
    <s v="reseller"/>
    <n v="0"/>
    <x v="0"/>
    <x v="3"/>
    <x v="0"/>
  </r>
  <r>
    <s v="b37245bd5e22836dea166c9bf1ce3715"/>
    <s v="8caafb23d9d6b7e75485fcc2bdc260e0"/>
    <s v="9d12ef1a7eca3ec58c545c678af7869c"/>
    <s v="fbf4aef3f6915dc0c3c97d6812522f6a"/>
    <x v="541"/>
    <x v="2"/>
    <x v="0"/>
    <s v="eagle"/>
    <s v="Unknow"/>
    <s v="Unknow"/>
    <s v="Unknow"/>
    <s v="reseller"/>
    <n v="0"/>
    <x v="0"/>
    <x v="3"/>
    <x v="0"/>
  </r>
  <r>
    <s v="98f57d973e7f90b1b813f13e5ebd847c"/>
    <s v="dd27d8e77c7920dc26f5da40bf65ce73"/>
    <s v="f42a2bd194f7802ab052a815c8de65b7"/>
    <s v="de63de0d10a6012430098db33c679b0b"/>
    <x v="542"/>
    <x v="1"/>
    <x v="4"/>
    <s v="cat"/>
    <s v="Unknow"/>
    <b v="1"/>
    <s v="Unknow"/>
    <s v="reseller"/>
    <n v="600"/>
    <x v="0"/>
    <x v="2"/>
    <x v="0"/>
  </r>
  <r>
    <s v="8df878a8e746bb16f57beaa0615b5693"/>
    <s v="de83e0600df76319c24c3670ebcb2d5f"/>
    <s v="4b339f9567d060bcea4f5136b9f5949e"/>
    <s v="9e4d1098a3b0f5da39b0bc48f9876645"/>
    <x v="543"/>
    <x v="12"/>
    <x v="3"/>
    <s v="cat"/>
    <s v="Unknow"/>
    <s v="Unknow"/>
    <s v="Unknow"/>
    <s v="manufacturer"/>
    <n v="0"/>
    <x v="0"/>
    <x v="5"/>
    <x v="0"/>
  </r>
  <r>
    <s v="07c70f3b440791aa82c370d17910f32f"/>
    <s v="85182120f8a3331fcddb54f27a77dda2"/>
    <s v="4b339f9567d060bcea4f5136b9f5949e"/>
    <s v="fbf4aef3f6915dc0c3c97d6812522f6a"/>
    <x v="544"/>
    <x v="9"/>
    <x v="0"/>
    <s v="Unknow"/>
    <s v="Unknow"/>
    <s v="Unknow"/>
    <s v="Unknow"/>
    <s v="reseller"/>
    <n v="0"/>
    <x v="0"/>
    <x v="0"/>
    <x v="0"/>
  </r>
  <r>
    <s v="bf38970e96dee81ef0b4b76c2feb1a2a"/>
    <s v="bb219facd42c2384181e8f3330b42df9"/>
    <s v="068066e24f0c643eb1d089c7dd20cd73"/>
    <s v="495d4e95a8cf8bbf8b432b612a2aa328"/>
    <x v="545"/>
    <x v="25"/>
    <x v="0"/>
    <s v="cat"/>
    <s v="Unknow"/>
    <s v="Unknow"/>
    <s v="Unknow"/>
    <s v="reseller"/>
    <n v="0"/>
    <x v="0"/>
    <x v="3"/>
    <x v="0"/>
  </r>
  <r>
    <s v="c14a716bc18a0f87296c2ec10bfe8929"/>
    <s v="788e857f317e53de488d393e65a80f45"/>
    <s v="4b339f9567d060bcea4f5136b9f5949e"/>
    <s v="4ef15afb4b2723d8f3d81e51ec7afefe"/>
    <x v="546"/>
    <x v="21"/>
    <x v="0"/>
    <s v="wolf"/>
    <s v="Unknow"/>
    <s v="Unknow"/>
    <s v="Unknow"/>
    <s v="manufacturer"/>
    <n v="0"/>
    <x v="0"/>
    <x v="0"/>
    <x v="0"/>
  </r>
  <r>
    <s v="86b283c5d439e7c9a64dca8e850c5ebc"/>
    <s v="a99634624f85b4f63f87bc334b846962"/>
    <s v="09285259593c61296eef10c734121d5b"/>
    <s v="2695de1affa7750089c0455f8ce27021"/>
    <x v="547"/>
    <x v="12"/>
    <x v="0"/>
    <s v="eagle"/>
    <s v="Unknow"/>
    <s v="Unknow"/>
    <s v="Unknow"/>
    <s v="manufacturer"/>
    <n v="0"/>
    <x v="0"/>
    <x v="2"/>
    <x v="0"/>
  </r>
  <r>
    <s v="d6beac7184414a6487a7edade4c0f2ef"/>
    <s v="b8caedd58f7afe8fea08b95f272bc080"/>
    <s v="370c9f455f93a9a96cbe9bea48e70033"/>
    <s v="56bf83c4bb35763a51c2baab501b4c67"/>
    <x v="548"/>
    <x v="1"/>
    <x v="0"/>
    <s v="cat"/>
    <s v="Unknow"/>
    <s v="Unknow"/>
    <s v="Unknow"/>
    <s v="reseller"/>
    <n v="0"/>
    <x v="0"/>
    <x v="2"/>
    <x v="0"/>
  </r>
  <r>
    <s v="b64eccfaa3c560d142a15ca43a0ddc98"/>
    <s v="3844ab927429de8fcb426e4886024ee9"/>
    <s v="370c9f455f93a9a96cbe9bea48e70033"/>
    <s v="068066e24f0c643eb1d089c7dd20cd73"/>
    <x v="549"/>
    <x v="4"/>
    <x v="0"/>
    <s v="cat, wolf"/>
    <b v="1"/>
    <b v="1"/>
    <s v="50-200"/>
    <s v="reseller"/>
    <n v="50"/>
    <x v="8"/>
    <x v="0"/>
    <x v="1"/>
  </r>
  <r>
    <s v="9678fa54dc9751a0633fe25843f900b4"/>
    <s v="c7471f493e0cf386881d09659a4a32a4"/>
    <s v="de63de0d10a6012430098db33c679b0b"/>
    <s v="6565aa9ce3178a5caf6171827af3a9ba"/>
    <x v="550"/>
    <x v="8"/>
    <x v="4"/>
    <s v="cat"/>
    <s v="Unknow"/>
    <s v="Unknow"/>
    <s v="Unknow"/>
    <s v="reseller"/>
    <n v="0"/>
    <x v="0"/>
    <x v="0"/>
    <x v="0"/>
  </r>
  <r>
    <s v="85ac6feb584b665e85664974c546cfec"/>
    <s v="74636e24f01da9268b0ed88dacd8513e"/>
    <s v="56bf83c4bb35763a51c2baab501b4c67"/>
    <s v="9ae085775a198122c5586fa830ff7f2b"/>
    <x v="551"/>
    <x v="8"/>
    <x v="0"/>
    <s v="cat"/>
    <s v="Unknow"/>
    <s v="Unknow"/>
    <s v="Unknow"/>
    <s v="reseller"/>
    <n v="0"/>
    <x v="0"/>
    <x v="2"/>
    <x v="0"/>
  </r>
  <r>
    <s v="75743dbfcf177f2885a59b460017feee"/>
    <s v="2039c5e51785b5dde7cf93ccb3b7be2c"/>
    <s v="4b339f9567d060bcea4f5136b9f5949e"/>
    <s v="2695de1affa7750089c0455f8ce27021"/>
    <x v="552"/>
    <x v="19"/>
    <x v="6"/>
    <s v="wolf"/>
    <s v="Unknow"/>
    <s v="Unknow"/>
    <s v="Unknow"/>
    <s v="reseller"/>
    <n v="0"/>
    <x v="0"/>
    <x v="2"/>
    <x v="0"/>
  </r>
  <r>
    <s v="418f995ca45e4394daa4447bd637ec4d"/>
    <s v="bb94878eed7bad1bdd88e19f6c322f8e"/>
    <s v="370c9f455f93a9a96cbe9bea48e70033"/>
    <s v="4ef15afb4b2723d8f3d81e51ec7afefe"/>
    <x v="553"/>
    <x v="19"/>
    <x v="0"/>
    <s v="eagle"/>
    <s v="Unknow"/>
    <s v="Unknow"/>
    <s v="Unknow"/>
    <s v="reseller"/>
    <n v="0"/>
    <x v="0"/>
    <x v="0"/>
    <x v="0"/>
  </r>
  <r>
    <s v="37ff30ea1566d0236fbe68c74def55bd"/>
    <s v="9ac4f14370b1e24ddc58be041b7f99df"/>
    <s v="56bf83c4bb35763a51c2baab501b4c67"/>
    <s v="4ef15afb4b2723d8f3d81e51ec7afefe"/>
    <x v="554"/>
    <x v="21"/>
    <x v="0"/>
    <s v="Unknow"/>
    <s v="Unknow"/>
    <s v="Unknow"/>
    <s v="Unknow"/>
    <s v="manufacturer"/>
    <n v="0"/>
    <x v="0"/>
    <x v="4"/>
    <x v="0"/>
  </r>
  <r>
    <s v="803fce03a8d1123afbbdbbbad0c4377d"/>
    <s v="fe53fc6949a462475c07fcb57ead57ce"/>
    <s v="9e4d1098a3b0f5da39b0bc48f9876645"/>
    <s v="9ae085775a198122c5586fa830ff7f2b"/>
    <x v="555"/>
    <x v="12"/>
    <x v="4"/>
    <s v="shark"/>
    <s v="Unknow"/>
    <s v="Unknow"/>
    <s v="Unknow"/>
    <s v="manufacturer"/>
    <n v="0"/>
    <x v="0"/>
    <x v="3"/>
    <x v="0"/>
  </r>
  <r>
    <s v="9bde09f29256de88f4897345646c850c"/>
    <s v="a11a0e0ca67423425691db355cff69b0"/>
    <s v="b90f87164b5f8c2cfa5c8572834dbe3f"/>
    <s v="d3d1e91a157ea7f90548eef82f1955e3"/>
    <x v="396"/>
    <x v="1"/>
    <x v="0"/>
    <s v="cat"/>
    <s v="Unknow"/>
    <s v="Unknow"/>
    <s v="Unknow"/>
    <s v="manufacturer"/>
    <n v="0"/>
    <x v="0"/>
    <x v="2"/>
    <x v="0"/>
  </r>
  <r>
    <s v="1d656ca6611216968c7c89914031e043"/>
    <s v="89757206b887aed36f3e18d858460fea"/>
    <s v="4b339f9567d060bcea4f5136b9f5949e"/>
    <s v="c638112b43f1d1b86dcabb0da720c901"/>
    <x v="556"/>
    <x v="21"/>
    <x v="0"/>
    <s v="wolf"/>
    <s v="Unknow"/>
    <s v="Unknow"/>
    <s v="Unknow"/>
    <s v="reseller"/>
    <n v="0"/>
    <x v="0"/>
    <x v="3"/>
    <x v="0"/>
  </r>
  <r>
    <s v="abcbe3ee8523b90b416337f0abd94a53"/>
    <s v="6bd503a8230299c9316fb0f726933927"/>
    <s v="09285259593c61296eef10c734121d5b"/>
    <s v="068066e24f0c643eb1d089c7dd20cd73"/>
    <x v="557"/>
    <x v="4"/>
    <x v="2"/>
    <s v="wolf"/>
    <s v="Unknow"/>
    <s v="Unknow"/>
    <s v="Unknow"/>
    <s v="reseller"/>
    <n v="0"/>
    <x v="0"/>
    <x v="2"/>
    <x v="0"/>
  </r>
  <r>
    <s v="746ac26956df2d6be2b2c66c26b62fda"/>
    <s v="3903c788ded8dc03b5ebab37a2f3e9a1"/>
    <s v="09285259593c61296eef10c734121d5b"/>
    <s v="d3d1e91a157ea7f90548eef82f1955e3"/>
    <x v="558"/>
    <x v="6"/>
    <x v="2"/>
    <s v="wolf"/>
    <s v="Unknow"/>
    <s v="Unknow"/>
    <s v="Unknow"/>
    <s v="reseller"/>
    <n v="0"/>
    <x v="0"/>
    <x v="3"/>
    <x v="0"/>
  </r>
  <r>
    <s v="7f6401a2da5927d2c2fe3b6b946a9f37"/>
    <s v="837db36e3b34fffca8725343601a74a7"/>
    <s v="09285259593c61296eef10c734121d5b"/>
    <s v="85fc447d336637ba1df43e793199fbc8"/>
    <x v="559"/>
    <x v="3"/>
    <x v="1"/>
    <s v="wolf"/>
    <s v="Unknow"/>
    <s v="Unknow"/>
    <s v="Unknow"/>
    <s v="manufacturer"/>
    <n v="0"/>
    <x v="0"/>
    <x v="3"/>
    <x v="0"/>
  </r>
  <r>
    <s v="51d81424aa2d36bf4248ae8a4a3cc885"/>
    <s v="62b967c1884c0e9ca8b9dba64be0b136"/>
    <s v="323cff2ceea1814239bc2c7e614d260d"/>
    <s v="4b339f9567d060bcea4f5136b9f5949e"/>
    <x v="560"/>
    <x v="19"/>
    <x v="0"/>
    <s v="cat"/>
    <b v="1"/>
    <b v="1"/>
    <s v="50-200"/>
    <s v="reseller"/>
    <n v="0"/>
    <x v="0"/>
    <x v="4"/>
    <x v="0"/>
  </r>
  <r>
    <s v="51b030d05fdce1d571c4f55eed93d323"/>
    <s v="e58a75d874cd483e80fb3ba9aa35db51"/>
    <s v="56bf83c4bb35763a51c2baab501b4c67"/>
    <s v="495d4e95a8cf8bbf8b432b612a2aa328"/>
    <x v="561"/>
    <x v="4"/>
    <x v="3"/>
    <s v="Unknow"/>
    <s v="Unknow"/>
    <s v="Unknow"/>
    <s v="Unknow"/>
    <s v="manufacturer"/>
    <n v="0"/>
    <x v="0"/>
    <x v="2"/>
    <x v="0"/>
  </r>
  <r>
    <s v="62a081b993506561f522af260073cb18"/>
    <s v="094ced053e257ae8cae57205592d6712"/>
    <s v="9e4d1098a3b0f5da39b0bc48f9876645"/>
    <s v="4ef15afb4b2723d8f3d81e51ec7afefe"/>
    <x v="562"/>
    <x v="4"/>
    <x v="0"/>
    <s v="cat"/>
    <s v="Unknow"/>
    <s v="Unknow"/>
    <s v="Unknow"/>
    <s v="reseller"/>
    <n v="0"/>
    <x v="0"/>
    <x v="4"/>
    <x v="0"/>
  </r>
  <r>
    <s v="df2782c019d0d66a88af774011e8ab29"/>
    <s v="2bee35533016f9992645dd6df0eca7e4"/>
    <s v="f6c6ab65a1c732f154b371401448be6d"/>
    <s v="fbf4aef3f6915dc0c3c97d6812522f6a"/>
    <x v="563"/>
    <x v="12"/>
    <x v="0"/>
    <s v="Unknow"/>
    <s v="Unknow"/>
    <s v="Unknow"/>
    <s v="Unknow"/>
    <s v="manufacturer"/>
    <n v="0"/>
    <x v="0"/>
    <x v="0"/>
    <x v="0"/>
  </r>
  <r>
    <s v="bc419ad99b06b6b3e155039d714e2061"/>
    <s v="54583ab379489add547fe47b628db589"/>
    <s v="4b339f9567d060bcea4f5136b9f5949e"/>
    <s v="4ef15afb4b2723d8f3d81e51ec7afefe"/>
    <x v="564"/>
    <x v="25"/>
    <x v="0"/>
    <s v="cat"/>
    <s v="Unknow"/>
    <s v="Unknow"/>
    <s v="Unknow"/>
    <s v="reseller"/>
    <n v="0"/>
    <x v="0"/>
    <x v="3"/>
    <x v="0"/>
  </r>
  <r>
    <s v="92ad56ab29e347d1779a07879d38c67a"/>
    <s v="c846aef46d0aa00378cc6c24fd7fb474"/>
    <s v="9d12ef1a7eca3ec58c545c678af7869c"/>
    <s v="85fc447d336637ba1df43e793199fbc8"/>
    <x v="565"/>
    <x v="6"/>
    <x v="1"/>
    <s v="cat"/>
    <s v="Unknow"/>
    <s v="Unknow"/>
    <s v="Unknow"/>
    <s v="manufacturer"/>
    <n v="0"/>
    <x v="0"/>
    <x v="4"/>
    <x v="0"/>
  </r>
  <r>
    <s v="c92c413cead7d8b67a89850ba352e1d1"/>
    <s v="c092292535a57dacd95a8765f5518f87"/>
    <s v="9e4d1098a3b0f5da39b0bc48f9876645"/>
    <s v="6565aa9ce3178a5caf6171827af3a9ba"/>
    <x v="566"/>
    <x v="7"/>
    <x v="0"/>
    <s v="cat"/>
    <s v="Unknow"/>
    <s v="Unknow"/>
    <s v="Unknow"/>
    <s v="reseller"/>
    <n v="0"/>
    <x v="0"/>
    <x v="10"/>
    <x v="0"/>
  </r>
  <r>
    <s v="00dc5000951c268cc8655294daf67b1b"/>
    <s v="00065220becb8785e2cf78355eb9bf68"/>
    <s v="9d12ef1a7eca3ec58c545c678af7869c"/>
    <s v="de63de0d10a6012430098db33c679b0b"/>
    <x v="567"/>
    <x v="29"/>
    <x v="0"/>
    <s v="cat"/>
    <b v="0"/>
    <b v="0"/>
    <s v="20-50"/>
    <s v="reseller"/>
    <n v="0"/>
    <x v="0"/>
    <x v="2"/>
    <x v="0"/>
  </r>
  <r>
    <s v="7b6ad2297d3beb569ddf3ee1ce22ffa8"/>
    <s v="c70c1b0d8ca86052f45a432a38b73958"/>
    <s v="9e4d1098a3b0f5da39b0bc48f9876645"/>
    <s v="060c0a26f19f4d66b42e0d8796688490"/>
    <x v="568"/>
    <x v="4"/>
    <x v="0"/>
    <s v="shark"/>
    <s v="Unknow"/>
    <s v="Unknow"/>
    <s v="Unknow"/>
    <s v="reseller"/>
    <n v="0"/>
    <x v="0"/>
    <x v="2"/>
    <x v="0"/>
  </r>
  <r>
    <s v="07e3b175a6c00f310d4e7e4b17df1304"/>
    <s v="8ec9a02e1c573e5ebf9133968d9b0042"/>
    <s v="9e4d1098a3b0f5da39b0bc48f9876645"/>
    <s v="495d4e95a8cf8bbf8b432b612a2aa328"/>
    <x v="569"/>
    <x v="22"/>
    <x v="1"/>
    <s v="cat"/>
    <s v="Unknow"/>
    <s v="Unknow"/>
    <s v="Unknow"/>
    <s v="manufacturer"/>
    <n v="0"/>
    <x v="0"/>
    <x v="0"/>
    <x v="0"/>
  </r>
  <r>
    <s v="64c6e872abc90f8a480908b92521e25a"/>
    <s v="a53f60f05f822b5c621a50ff6a5cb362"/>
    <s v="4b339f9567d060bcea4f5136b9f5949e"/>
    <s v="85fc447d336637ba1df43e793199fbc8"/>
    <x v="570"/>
    <x v="12"/>
    <x v="2"/>
    <s v="wolf"/>
    <s v="Unknow"/>
    <s v="Unknow"/>
    <s v="Unknow"/>
    <s v="manufacturer"/>
    <n v="0"/>
    <x v="0"/>
    <x v="0"/>
    <x v="0"/>
  </r>
  <r>
    <s v="d75057842b733134576d690d1d9509a2"/>
    <s v="a86bf7a9ba609d0527f10ea8f0a5446c"/>
    <s v="f42a2bd194f7802ab052a815c8de65b7"/>
    <s v="6565aa9ce3178a5caf6171827af3a9ba"/>
    <x v="571"/>
    <x v="9"/>
    <x v="4"/>
    <s v="eagle"/>
    <s v="Unknow"/>
    <s v="Unknow"/>
    <s v="Unknow"/>
    <s v="manufacturer"/>
    <n v="0"/>
    <x v="0"/>
    <x v="3"/>
    <x v="0"/>
  </r>
  <r>
    <s v="89599d85cfa823d8886146af161ea5b3"/>
    <s v="88ef59b51bdaa941d10a853429f2b6ce"/>
    <s v="9d12ef1a7eca3ec58c545c678af7869c"/>
    <s v="fbf4aef3f6915dc0c3c97d6812522f6a"/>
    <x v="572"/>
    <x v="19"/>
    <x v="0"/>
    <s v="cat"/>
    <s v="Unknow"/>
    <s v="Unknow"/>
    <s v="Unknow"/>
    <s v="reseller"/>
    <n v="0"/>
    <x v="0"/>
    <x v="0"/>
    <x v="0"/>
  </r>
  <r>
    <s v="d6f0ffd9dd59848ed1b74ad799489755"/>
    <s v="7d81e74a4755b552267cd5e081563028"/>
    <s v="a8387c01a09e99ce014107505b92388c"/>
    <s v="a8387c01a09e99ce014107505b92388c"/>
    <x v="573"/>
    <x v="7"/>
    <x v="1"/>
    <s v="cat"/>
    <s v="Unknow"/>
    <s v="Unknow"/>
    <s v="Unknow"/>
    <s v="manufacturer"/>
    <n v="0"/>
    <x v="0"/>
    <x v="2"/>
    <x v="0"/>
  </r>
  <r>
    <s v="9af787c1e7409f0866ade669dba8f697"/>
    <s v="9b1f656ca3060f8af17a50d8a024b533"/>
    <s v="370c9f455f93a9a96cbe9bea48e70033"/>
    <s v="a8387c01a09e99ce014107505b92388c"/>
    <x v="574"/>
    <x v="7"/>
    <x v="0"/>
    <s v="eagle"/>
    <s v="Unknow"/>
    <s v="Unknow"/>
    <s v="Unknow"/>
    <s v="reseller"/>
    <n v="0"/>
    <x v="0"/>
    <x v="0"/>
    <x v="0"/>
  </r>
  <r>
    <s v="6e668e75a724c96385d31729d5f7759b"/>
    <s v="f50d9d5fa45cba8c1a6b643987810c34"/>
    <s v="b34f6eba10f46bf9a657a01c108a8284"/>
    <s v="85fc447d336637ba1df43e793199fbc8"/>
    <x v="575"/>
    <x v="7"/>
    <x v="2"/>
    <s v="cat"/>
    <b v="1"/>
    <b v="1"/>
    <s v="50-200"/>
    <s v="reseller"/>
    <n v="300"/>
    <x v="0"/>
    <x v="2"/>
    <x v="0"/>
  </r>
  <r>
    <s v="d5f8ca8f1c429e41c73b370ad2fb45a1"/>
    <s v="f3c747c1913de1af068d8feb79900063"/>
    <s v="09285259593c61296eef10c734121d5b"/>
    <s v="fbf4aef3f6915dc0c3c97d6812522f6a"/>
    <x v="576"/>
    <x v="32"/>
    <x v="3"/>
    <s v="cat"/>
    <s v="Unknow"/>
    <s v="Unknow"/>
    <s v="Unknow"/>
    <s v="manufacturer"/>
    <n v="0"/>
    <x v="0"/>
    <x v="3"/>
    <x v="0"/>
  </r>
  <r>
    <s v="30c1778642a506dbd803a0fa5ece533e"/>
    <s v="157497483bb7876340ea4441c9bd1774"/>
    <s v="f42a2bd194f7802ab052a815c8de65b7"/>
    <s v="495d4e95a8cf8bbf8b432b612a2aa328"/>
    <x v="577"/>
    <x v="0"/>
    <x v="1"/>
    <s v="wolf"/>
    <s v="Unknow"/>
    <s v="Unknow"/>
    <s v="50-200"/>
    <s v="reseller"/>
    <n v="50"/>
    <x v="18"/>
    <x v="0"/>
    <x v="1"/>
  </r>
  <r>
    <s v="95f2351eb791917e3e1cee823cf25969"/>
    <s v="b031973a2fadbc89767531a45ca39e40"/>
    <s v="09285259593c61296eef10c734121d5b"/>
    <s v="2695de1affa7750089c0455f8ce27021"/>
    <x v="578"/>
    <x v="4"/>
    <x v="4"/>
    <s v="cat"/>
    <s v="Unknow"/>
    <s v="Unknow"/>
    <s v="Unknow"/>
    <s v="reseller"/>
    <n v="0"/>
    <x v="0"/>
    <x v="3"/>
    <x v="0"/>
  </r>
  <r>
    <s v="4388a23da67b154b780b78dd7ea4636e"/>
    <s v="0255dc67cb6bad298606136951ab1877"/>
    <s v="4b339f9567d060bcea4f5136b9f5949e"/>
    <s v="6565aa9ce3178a5caf6171827af3a9ba"/>
    <x v="579"/>
    <x v="5"/>
    <x v="0"/>
    <s v="wolf"/>
    <s v="Unknow"/>
    <s v="Unknow"/>
    <s v="Unknow"/>
    <s v="reseller"/>
    <n v="0"/>
    <x v="0"/>
    <x v="0"/>
    <x v="0"/>
  </r>
  <r>
    <s v="c262b62c257bb4e97a9618c9bf4bacf5"/>
    <s v="a2d528e2abdf88afe0d245519b3b3d65"/>
    <s v="370c9f455f93a9a96cbe9bea48e70033"/>
    <s v="de63de0d10a6012430098db33c679b0b"/>
    <x v="107"/>
    <x v="1"/>
    <x v="1"/>
    <s v="eagle"/>
    <s v="Unknow"/>
    <s v="Unknow"/>
    <s v="Unknow"/>
    <s v="manufacturer"/>
    <n v="0"/>
    <x v="0"/>
    <x v="6"/>
    <x v="0"/>
  </r>
  <r>
    <s v="bd47dc58209bc820d555f935bf055e40"/>
    <s v="77a515caa36327151d1cc6c32a9f00e1"/>
    <s v="de63de0d10a6012430098db33c679b0b"/>
    <s v="4ef15afb4b2723d8f3d81e51ec7afefe"/>
    <x v="580"/>
    <x v="10"/>
    <x v="1"/>
    <s v="cat"/>
    <s v="Unknow"/>
    <s v="Unknow"/>
    <s v="Unknow"/>
    <s v="manufacturer"/>
    <n v="0"/>
    <x v="0"/>
    <x v="2"/>
    <x v="0"/>
  </r>
  <r>
    <s v="8257329475414b1eaf3dc731440e01a7"/>
    <s v="ba90964cff9b9e0e6f32b23b82465f7b"/>
    <s v="56bf83c4bb35763a51c2baab501b4c67"/>
    <s v="c638112b43f1d1b86dcabb0da720c901"/>
    <x v="581"/>
    <x v="18"/>
    <x v="8"/>
    <s v="cat"/>
    <s v="Unknow"/>
    <s v="Unknow"/>
    <s v="Unknow"/>
    <s v="reseller"/>
    <n v="0"/>
    <x v="0"/>
    <x v="0"/>
    <x v="0"/>
  </r>
  <r>
    <s v="8661d5d36e6ade1beb145e7154f96310"/>
    <s v="791a644d62fbd7a1fdabda6fc610bf33"/>
    <s v="4b339f9567d060bcea4f5136b9f5949e"/>
    <s v="d3d1e91a157ea7f90548eef82f1955e3"/>
    <x v="582"/>
    <x v="1"/>
    <x v="1"/>
    <s v="shark"/>
    <s v="Unknow"/>
    <s v="Unknow"/>
    <s v="Unknow"/>
    <s v="manufacturer"/>
    <n v="0"/>
    <x v="0"/>
    <x v="2"/>
    <x v="0"/>
  </r>
  <r>
    <s v="d0dde222e608c66b65d44776bd8b4092"/>
    <s v="df1183c2b82ee7ce304ed60ced00949c"/>
    <s v="4b339f9567d060bcea4f5136b9f5949e"/>
    <s v="060c0a26f19f4d66b42e0d8796688490"/>
    <x v="583"/>
    <x v="4"/>
    <x v="4"/>
    <s v="cat"/>
    <s v="Unknow"/>
    <s v="Unknow"/>
    <s v="Unknow"/>
    <s v="reseller"/>
    <n v="0"/>
    <x v="0"/>
    <x v="0"/>
    <x v="0"/>
  </r>
  <r>
    <s v="33bedbbf5f4322acc36ecf15bd34cc57"/>
    <s v="0ffe89723de9b21041556d02e9b21a8b"/>
    <s v="de63de0d10a6012430098db33c679b0b"/>
    <s v="d3d1e91a157ea7f90548eef82f1955e3"/>
    <x v="584"/>
    <x v="12"/>
    <x v="0"/>
    <s v="Unknow"/>
    <s v="Unknow"/>
    <s v="Unknow"/>
    <s v="Unknow"/>
    <s v="reseller"/>
    <n v="0"/>
    <x v="0"/>
    <x v="3"/>
    <x v="0"/>
  </r>
  <r>
    <s v="5f1a8a8fddbc8a5ff4bf0f111dc69ff4"/>
    <s v="43402bdf22aa2310e8f99e2f94f78628"/>
    <s v="a8387c01a09e99ce014107505b92388c"/>
    <s v="85fc447d336637ba1df43e793199fbc8"/>
    <x v="585"/>
    <x v="22"/>
    <x v="1"/>
    <s v="cat"/>
    <s v="Unknow"/>
    <s v="Unknow"/>
    <s v="Unknow"/>
    <s v="manufacturer"/>
    <n v="0"/>
    <x v="0"/>
    <x v="3"/>
    <x v="0"/>
  </r>
  <r>
    <s v="3559ec2c1c4f29266d1c1eb0f1164549"/>
    <s v="28f10b1c5e5abb9d4857745bede6147c"/>
    <s v="370c9f455f93a9a96cbe9bea48e70033"/>
    <s v="85fc447d336637ba1df43e793199fbc8"/>
    <x v="586"/>
    <x v="19"/>
    <x v="2"/>
    <s v="cat"/>
    <s v="Unknow"/>
    <s v="Unknow"/>
    <s v="Unknow"/>
    <s v="reseller"/>
    <n v="0"/>
    <x v="0"/>
    <x v="5"/>
    <x v="0"/>
  </r>
  <r>
    <s v="efe655d620d2d3d55ab8b2b6c86a945d"/>
    <s v="414cc02d780baaa13439c37bd89641ef"/>
    <s v="56bf83c4bb35763a51c2baab501b4c67"/>
    <s v="c638112b43f1d1b86dcabb0da720c901"/>
    <x v="587"/>
    <x v="1"/>
    <x v="0"/>
    <s v="cat"/>
    <s v="Unknow"/>
    <s v="Unknow"/>
    <s v="Unknow"/>
    <s v="reseller"/>
    <n v="0"/>
    <x v="0"/>
    <x v="2"/>
    <x v="0"/>
  </r>
  <r>
    <s v="ddbfc14f2f93b8eeb75d4b11a876b7ba"/>
    <s v="1961c3e1272bfeceb05d0b78b5bbfdaf"/>
    <s v="b90f87164b5f8c2cfa5c8572834dbe3f"/>
    <s v="495d4e95a8cf8bbf8b432b612a2aa328"/>
    <x v="588"/>
    <x v="33"/>
    <x v="0"/>
    <s v="eagle, cat"/>
    <s v="Unknow"/>
    <s v="Unknow"/>
    <s v="Unknow"/>
    <s v="reseller"/>
    <n v="0"/>
    <x v="0"/>
    <x v="3"/>
    <x v="0"/>
  </r>
  <r>
    <s v="b6b8870c2b130a562fbe89fb0bb9518a"/>
    <s v="68175a6b26cdbc4b3a51ed5353276e4d"/>
    <s v="fdb16d3cbbeb5798f2f66c4096be026d"/>
    <s v="4ef15afb4b2723d8f3d81e51ec7afefe"/>
    <x v="589"/>
    <x v="22"/>
    <x v="1"/>
    <s v="Unknow"/>
    <s v="Unknow"/>
    <s v="Unknow"/>
    <s v="Unknow"/>
    <s v="manufacturer"/>
    <n v="0"/>
    <x v="0"/>
    <x v="2"/>
    <x v="0"/>
  </r>
  <r>
    <s v="1dec44d3b8974e86ab337f1755cd893e"/>
    <s v="7adbd3210a7b3cc2235e225eef33574d"/>
    <s v="370c9f455f93a9a96cbe9bea48e70033"/>
    <s v="85fc447d336637ba1df43e793199fbc8"/>
    <x v="590"/>
    <x v="6"/>
    <x v="0"/>
    <s v="cat"/>
    <s v="Unknow"/>
    <s v="Unknow"/>
    <s v="Unknow"/>
    <s v="reseller"/>
    <n v="0"/>
    <x v="0"/>
    <x v="0"/>
    <x v="0"/>
  </r>
  <r>
    <s v="356222b46d95b7fb1215f652ea9fd2f3"/>
    <s v="0b9164d3b23215d4dfee8a045a3a1b3d"/>
    <s v="4b339f9567d060bcea4f5136b9f5949e"/>
    <s v="85fc447d336637ba1df43e793199fbc8"/>
    <x v="591"/>
    <x v="12"/>
    <x v="4"/>
    <s v="cat"/>
    <s v="Unknow"/>
    <s v="Unknow"/>
    <s v="Unknow"/>
    <s v="reseller"/>
    <n v="0"/>
    <x v="0"/>
    <x v="9"/>
    <x v="0"/>
  </r>
  <r>
    <s v="b39ac02ff5021fed10cb9988a23d5d02"/>
    <s v="7c7d0dee362960b1d9b01fe7284e19ba"/>
    <s v="6aa3b86a83d784b05f0e37e26b20860d"/>
    <s v="56bf83c4bb35763a51c2baab501b4c67"/>
    <x v="592"/>
    <x v="12"/>
    <x v="3"/>
    <s v="shark"/>
    <b v="1"/>
    <b v="1"/>
    <s v="Unknow"/>
    <s v="manufacturer"/>
    <n v="400"/>
    <x v="18"/>
    <x v="5"/>
    <x v="1"/>
  </r>
  <r>
    <s v="bc916355c4b4bff29473d27f0a214b84"/>
    <s v="9f716fbca2fbec913c646e6c60f25b60"/>
    <s v="de63de0d10a6012430098db33c679b0b"/>
    <s v="4ef15afb4b2723d8f3d81e51ec7afefe"/>
    <x v="593"/>
    <x v="4"/>
    <x v="1"/>
    <s v="Unknow"/>
    <s v="Unknow"/>
    <s v="Unknow"/>
    <s v="Unknow"/>
    <s v="reseller"/>
    <n v="0"/>
    <x v="0"/>
    <x v="3"/>
    <x v="0"/>
  </r>
  <r>
    <s v="19d0170c5a9f7120fdcb2c34e9373f68"/>
    <s v="b8cb8fd0484ee4f796b41e363dcd303d"/>
    <s v="9d12ef1a7eca3ec58c545c678af7869c"/>
    <s v="068066e24f0c643eb1d089c7dd20cd73"/>
    <x v="594"/>
    <x v="5"/>
    <x v="4"/>
    <s v="eagle"/>
    <s v="Unknow"/>
    <s v="Unknow"/>
    <s v="Unknow"/>
    <s v="reseller"/>
    <n v="0"/>
    <x v="0"/>
    <x v="1"/>
    <x v="0"/>
  </r>
  <r>
    <s v="1ce04284ef15be769958c668292573b8"/>
    <s v="33cbbec1e7e1044aaf11d152172c776f"/>
    <s v="de63de0d10a6012430098db33c679b0b"/>
    <s v="6565aa9ce3178a5caf6171827af3a9ba"/>
    <x v="595"/>
    <x v="6"/>
    <x v="2"/>
    <s v="Unknow"/>
    <s v="Unknow"/>
    <s v="Unknow"/>
    <s v="Unknow"/>
    <s v="reseller"/>
    <n v="0"/>
    <x v="0"/>
    <x v="3"/>
    <x v="0"/>
  </r>
  <r>
    <s v="dc5cd6ec5b2df75ead63c98d5963e732"/>
    <s v="d82168bc00226dc72728bc957d2539bc"/>
    <s v="e7dff61b78bebffa71678e126ce669ad"/>
    <s v="2695de1affa7750089c0455f8ce27021"/>
    <x v="596"/>
    <x v="29"/>
    <x v="3"/>
    <s v="cat"/>
    <s v="Unknow"/>
    <s v="Unknow"/>
    <s v="Unknow"/>
    <s v="manufacturer"/>
    <n v="0"/>
    <x v="0"/>
    <x v="0"/>
    <x v="0"/>
  </r>
  <r>
    <s v="ca7ca7ea7912312362a50c3754c1cc2d"/>
    <s v="97e50a621f8e801f4baf69e08687c192"/>
    <s v="de63de0d10a6012430098db33c679b0b"/>
    <s v="4ef15afb4b2723d8f3d81e51ec7afefe"/>
    <x v="597"/>
    <x v="8"/>
    <x v="3"/>
    <s v="Unknow"/>
    <s v="Unknow"/>
    <s v="Unknow"/>
    <s v="Unknow"/>
    <s v="reseller"/>
    <n v="0"/>
    <x v="0"/>
    <x v="5"/>
    <x v="0"/>
  </r>
  <r>
    <s v="f46657d673d95ccf8d12b1075ab7c653"/>
    <s v="f0ec78809fe0bc3edb11c9fe5b97b059"/>
    <s v="4b339f9567d060bcea4f5136b9f5949e"/>
    <s v="060c0a26f19f4d66b42e0d8796688490"/>
    <x v="598"/>
    <x v="6"/>
    <x v="0"/>
    <s v="cat"/>
    <s v="Unknow"/>
    <s v="Unknow"/>
    <s v="Unknow"/>
    <s v="reseller"/>
    <n v="0"/>
    <x v="0"/>
    <x v="3"/>
    <x v="0"/>
  </r>
  <r>
    <s v="7a2c5f44c553096c00bd05e62c4f3771"/>
    <s v="6ebf4eceee4dd9847201c82e77ef8123"/>
    <s v="09285259593c61296eef10c734121d5b"/>
    <s v="9ae085775a198122c5586fa830ff7f2b"/>
    <x v="599"/>
    <x v="4"/>
    <x v="6"/>
    <s v="cat"/>
    <s v="Unknow"/>
    <s v="Unknow"/>
    <s v="Unknow"/>
    <s v="reseller"/>
    <n v="0"/>
    <x v="0"/>
    <x v="4"/>
    <x v="0"/>
  </r>
  <r>
    <s v="ac894bcbadb0692e692ba49e19bc219b"/>
    <s v="02df983480ff75ead8a031a3c7a849ad"/>
    <s v="370c9f455f93a9a96cbe9bea48e70033"/>
    <s v="4ef15afb4b2723d8f3d81e51ec7afefe"/>
    <x v="600"/>
    <x v="27"/>
    <x v="4"/>
    <s v="eagle"/>
    <s v="Unknow"/>
    <s v="Unknow"/>
    <s v="Unknow"/>
    <s v="reseller"/>
    <n v="0"/>
    <x v="0"/>
    <x v="2"/>
    <x v="0"/>
  </r>
  <r>
    <s v="796e2f57fd87b9b44251e692e269f0bf"/>
    <s v="594f9aaa48e5bf431f011ddc5669b0d5"/>
    <s v="068066e24f0c643eb1d089c7dd20cd73"/>
    <s v="56bf83c4bb35763a51c2baab501b4c67"/>
    <x v="601"/>
    <x v="21"/>
    <x v="0"/>
    <s v="cat"/>
    <s v="Unknow"/>
    <s v="Unknow"/>
    <s v="Unknow"/>
    <s v="reseller"/>
    <n v="0"/>
    <x v="0"/>
    <x v="2"/>
    <x v="0"/>
  </r>
  <r>
    <s v="b9e0ea8939615cd9008530f5f4e5e54d"/>
    <s v="4675c38ffdf3a0c9e9665f629c5c713b"/>
    <s v="de63de0d10a6012430098db33c679b0b"/>
    <s v="c638112b43f1d1b86dcabb0da720c901"/>
    <x v="602"/>
    <x v="12"/>
    <x v="0"/>
    <s v="Unknow"/>
    <s v="Unknow"/>
    <s v="Unknow"/>
    <s v="Unknow"/>
    <s v="reseller"/>
    <n v="0"/>
    <x v="0"/>
    <x v="2"/>
    <x v="0"/>
  </r>
  <r>
    <s v="f5baaf0afe419681731ec3d30dafd954"/>
    <s v="fb6e76ca64c0cc2c2dee53219e685f4b"/>
    <s v="4b339f9567d060bcea4f5136b9f5949e"/>
    <s v="d3d1e91a157ea7f90548eef82f1955e3"/>
    <x v="603"/>
    <x v="33"/>
    <x v="2"/>
    <s v="cat"/>
    <s v="Unknow"/>
    <s v="Unknow"/>
    <s v="Unknow"/>
    <s v="reseller"/>
    <n v="0"/>
    <x v="0"/>
    <x v="7"/>
    <x v="0"/>
  </r>
  <r>
    <s v="15aea757696aaf9af950992f299b6789"/>
    <s v="e504a4e2efaa45cbff7e268a2c58c956"/>
    <s v="4b339f9567d060bcea4f5136b9f5949e"/>
    <s v="c638112b43f1d1b86dcabb0da720c901"/>
    <x v="604"/>
    <x v="12"/>
    <x v="1"/>
    <s v="wolf"/>
    <s v="Unknow"/>
    <s v="Unknow"/>
    <s v="Unknow"/>
    <s v="manufacturer"/>
    <n v="0"/>
    <x v="0"/>
    <x v="0"/>
    <x v="0"/>
  </r>
  <r>
    <s v="8ba72c13888964788024b12e39aef6de"/>
    <s v="6b90f847357d8981edd79a1eb1bf0acb"/>
    <s v="f42a2bd194f7802ab052a815c8de65b7"/>
    <s v="d3d1e91a157ea7f90548eef82f1955e3"/>
    <x v="605"/>
    <x v="7"/>
    <x v="0"/>
    <s v="cat"/>
    <s v="Unknow"/>
    <s v="Unknow"/>
    <s v="Unknow"/>
    <s v="reseller"/>
    <n v="0"/>
    <x v="0"/>
    <x v="0"/>
    <x v="0"/>
  </r>
  <r>
    <s v="5b2aad03528f0d771e8332451010d045"/>
    <s v="eaeec4fdcdc91ead735718ae9bebcd8e"/>
    <s v="56bf83c4bb35763a51c2baab501b4c67"/>
    <s v="c638112b43f1d1b86dcabb0da720c901"/>
    <x v="606"/>
    <x v="4"/>
    <x v="4"/>
    <s v="cat"/>
    <s v="Unknow"/>
    <s v="Unknow"/>
    <s v="Unknow"/>
    <s v="manufacturer"/>
    <n v="0"/>
    <x v="0"/>
    <x v="5"/>
    <x v="0"/>
  </r>
  <r>
    <s v="cc7ae92e162840095c5bfa89acbcc478"/>
    <s v="5a4236931428800e9d9cc04af0987118"/>
    <s v="4b339f9567d060bcea4f5136b9f5949e"/>
    <s v="6565aa9ce3178a5caf6171827af3a9ba"/>
    <x v="607"/>
    <x v="6"/>
    <x v="0"/>
    <s v="cat"/>
    <s v="Unknow"/>
    <s v="Unknow"/>
    <s v="Unknow"/>
    <s v="reseller"/>
    <n v="0"/>
    <x v="0"/>
    <x v="2"/>
    <x v="0"/>
  </r>
  <r>
    <s v="fea6d3c362395ffa975ea4fd8d5d8ebb"/>
    <s v="9e96cf88816c531ac19a680a2fdb78a7"/>
    <s v="56bf83c4bb35763a51c2baab501b4c67"/>
    <s v="d3d1e91a157ea7f90548eef82f1955e3"/>
    <x v="608"/>
    <x v="22"/>
    <x v="2"/>
    <s v="eagle"/>
    <s v="Unknow"/>
    <s v="Unknow"/>
    <s v="Unknow"/>
    <s v="manufacturer"/>
    <n v="0"/>
    <x v="0"/>
    <x v="0"/>
    <x v="0"/>
  </r>
  <r>
    <s v="6fec8c1ba9b9aa79bd26e09fc8aae3eb"/>
    <s v="603bb4eeb3f0927e59e253357a9ca06b"/>
    <s v="9e4d1098a3b0f5da39b0bc48f9876645"/>
    <s v="85fc447d336637ba1df43e793199fbc8"/>
    <x v="609"/>
    <x v="29"/>
    <x v="4"/>
    <s v="cat"/>
    <s v="Unknow"/>
    <s v="Unknow"/>
    <s v="Unknow"/>
    <s v="manufacturer"/>
    <n v="0"/>
    <x v="0"/>
    <x v="0"/>
    <x v="0"/>
  </r>
  <r>
    <s v="f4812a8b0f238b290cb25f11a975edf3"/>
    <s v="5e7730e8ae6bffdee755a8d31e6b77a4"/>
    <s v="4b339f9567d060bcea4f5136b9f5949e"/>
    <s v="4ef15afb4b2723d8f3d81e51ec7afefe"/>
    <x v="610"/>
    <x v="18"/>
    <x v="1"/>
    <s v="wolf"/>
    <s v="Unknow"/>
    <s v="Unknow"/>
    <s v="Unknow"/>
    <s v="manufacturer"/>
    <n v="0"/>
    <x v="0"/>
    <x v="2"/>
    <x v="0"/>
  </r>
  <r>
    <s v="34aba6f934aa1a8de795d088a6875d28"/>
    <s v="2c2c9832d1bb38c5b0034a3b47d313ee"/>
    <s v="9d12ef1a7eca3ec58c545c678af7869c"/>
    <s v="fbf4aef3f6915dc0c3c97d6812522f6a"/>
    <x v="611"/>
    <x v="4"/>
    <x v="1"/>
    <s v="cat"/>
    <s v="Unknow"/>
    <s v="Unknow"/>
    <s v="Unknow"/>
    <s v="manufacturer"/>
    <n v="0"/>
    <x v="0"/>
    <x v="2"/>
    <x v="0"/>
  </r>
  <r>
    <s v="d79c868179307f1cf78d0a12c56e2bf9"/>
    <s v="25ca84afdd32ede184dba55631c55274"/>
    <s v="e7dff61b78bebffa71678e126ce669ad"/>
    <s v="068066e24f0c643eb1d089c7dd20cd73"/>
    <x v="612"/>
    <x v="5"/>
    <x v="2"/>
    <s v="shark, wolf"/>
    <b v="1"/>
    <b v="1"/>
    <s v="5-20"/>
    <s v="reseller"/>
    <n v="47"/>
    <x v="19"/>
    <x v="0"/>
    <x v="1"/>
  </r>
  <r>
    <s v="a2de60ae969948c62475144651c21281"/>
    <s v="08220245c361752c4f7bdc9a39821dbe"/>
    <s v="a8387c01a09e99ce014107505b92388c"/>
    <s v="9e4d1098a3b0f5da39b0bc48f9876645"/>
    <x v="613"/>
    <x v="1"/>
    <x v="0"/>
    <s v="cat"/>
    <s v="Unknow"/>
    <s v="Unknow"/>
    <s v="Unknow"/>
    <s v="manufacturer"/>
    <n v="0"/>
    <x v="0"/>
    <x v="2"/>
    <x v="0"/>
  </r>
  <r>
    <s v="f2e5f6f0caaa54cb5161d5cd753cf57f"/>
    <s v="d622a61456dcbf4cc960221e15ac48b7"/>
    <s v="56bf83c4bb35763a51c2baab501b4c67"/>
    <s v="4ef15afb4b2723d8f3d81e51ec7afefe"/>
    <x v="614"/>
    <x v="25"/>
    <x v="4"/>
    <s v="eagle"/>
    <s v="Unknow"/>
    <s v="Unknow"/>
    <s v="Unknow"/>
    <s v="reseller"/>
    <n v="0"/>
    <x v="0"/>
    <x v="4"/>
    <x v="0"/>
  </r>
  <r>
    <s v="2d425507027fe5ccf5e23dc6bf98af4b"/>
    <s v="34fe2ce0770697c1b8b35c13a8e2f7d4"/>
    <s v="f42a2bd194f7802ab052a815c8de65b7"/>
    <s v="de63de0d10a6012430098db33c679b0b"/>
    <x v="615"/>
    <x v="14"/>
    <x v="6"/>
    <s v="cat"/>
    <b v="1"/>
    <b v="1"/>
    <s v="5-20"/>
    <s v="reseller"/>
    <n v="12"/>
    <x v="20"/>
    <x v="5"/>
    <x v="2"/>
  </r>
  <r>
    <s v="9af7ea3259a69623a41b6e8bf98a52b4"/>
    <s v="1832c08bba48a37868d4093259e8c288"/>
    <s v="5b7ce8c2b0fe4c2f52a0763046914ef4"/>
    <s v="9d12ef1a7eca3ec58c545c678af7869c"/>
    <x v="616"/>
    <x v="12"/>
    <x v="4"/>
    <s v="cat"/>
    <s v="Unknow"/>
    <b v="1"/>
    <s v="20-50"/>
    <s v="reseller"/>
    <n v="120"/>
    <x v="19"/>
    <x v="4"/>
    <x v="1"/>
  </r>
  <r>
    <s v="45f4ec2f92cda096fc01052b9f53dd89"/>
    <s v="d63f306de130e0391d38a792541723b8"/>
    <s v="9d12ef1a7eca3ec58c545c678af7869c"/>
    <s v="4ef15afb4b2723d8f3d81e51ec7afefe"/>
    <x v="617"/>
    <x v="1"/>
    <x v="0"/>
    <s v="cat"/>
    <s v="Unknow"/>
    <s v="Unknow"/>
    <s v="Unknow"/>
    <s v="reseller"/>
    <n v="0"/>
    <x v="0"/>
    <x v="0"/>
    <x v="0"/>
  </r>
  <r>
    <s v="88a7d45c0b4b7c6d948ffff9e0be1de4"/>
    <s v="49388b546c8a96b96e9f15b5980b1cd7"/>
    <s v="de63de0d10a6012430098db33c679b0b"/>
    <s v="060c0a26f19f4d66b42e0d8796688490"/>
    <x v="618"/>
    <x v="13"/>
    <x v="6"/>
    <s v="wolf"/>
    <s v="Unknow"/>
    <s v="Unknow"/>
    <s v="Unknow"/>
    <s v="reseller"/>
    <n v="0"/>
    <x v="0"/>
    <x v="0"/>
    <x v="0"/>
  </r>
  <r>
    <s v="26b54d75fad5660ca6471905fe1793cf"/>
    <s v="596849622429351f47b32e6cae1055ff"/>
    <s v="a8387c01a09e99ce014107505b92388c"/>
    <s v="56bf83c4bb35763a51c2baab501b4c67"/>
    <x v="619"/>
    <x v="27"/>
    <x v="0"/>
    <s v="cat"/>
    <s v="Unknow"/>
    <s v="Unknow"/>
    <s v="Unknow"/>
    <s v="reseller"/>
    <n v="0"/>
    <x v="0"/>
    <x v="3"/>
    <x v="0"/>
  </r>
  <r>
    <s v="8e8336b19eec4f492acff4a97a5a4bf4"/>
    <s v="9140ef75cc8211c4035935e80e567204"/>
    <s v="34d40cdaf94010a1d05b0d6212f9e909"/>
    <s v="4ef15afb4b2723d8f3d81e51ec7afefe"/>
    <x v="620"/>
    <x v="0"/>
    <x v="1"/>
    <s v="eagle"/>
    <s v="Unknow"/>
    <s v="Unknow"/>
    <s v="Unknow"/>
    <s v="manufacturer"/>
    <n v="0"/>
    <x v="0"/>
    <x v="2"/>
    <x v="0"/>
  </r>
  <r>
    <s v="2b35567523c67c1a9c32ef101ae7bc73"/>
    <s v="7dd3be74c6cd6800d809935ff47bd3bf"/>
    <s v="9e4d1098a3b0f5da39b0bc48f9876645"/>
    <s v="fbf4aef3f6915dc0c3c97d6812522f6a"/>
    <x v="621"/>
    <x v="4"/>
    <x v="4"/>
    <s v="cat"/>
    <s v="Unknow"/>
    <s v="Unknow"/>
    <s v="Unknow"/>
    <s v="manufacturer"/>
    <n v="0"/>
    <x v="0"/>
    <x v="7"/>
    <x v="0"/>
  </r>
  <r>
    <s v="5ce2c548b89181fc2a9b18df3882603e"/>
    <s v="5fff4dd813a9fe1ce972a80407e16457"/>
    <s v="a8387c01a09e99ce014107505b92388c"/>
    <s v="6565aa9ce3178a5caf6171827af3a9ba"/>
    <x v="622"/>
    <x v="12"/>
    <x v="6"/>
    <s v="cat"/>
    <s v="Unknow"/>
    <s v="Unknow"/>
    <s v="Unknow"/>
    <s v="manufacturer"/>
    <n v="0"/>
    <x v="0"/>
    <x v="3"/>
    <x v="0"/>
  </r>
  <r>
    <s v="c9be6fa4a4d011709bfa79908b2a1238"/>
    <s v="465b4d6f3d04fac8957c6017541df171"/>
    <s v="a8387c01a09e99ce014107505b92388c"/>
    <s v="c638112b43f1d1b86dcabb0da720c901"/>
    <x v="623"/>
    <x v="4"/>
    <x v="6"/>
    <s v="cat"/>
    <s v="Unknow"/>
    <s v="Unknow"/>
    <s v="Unknow"/>
    <s v="manufacturer"/>
    <n v="0"/>
    <x v="0"/>
    <x v="3"/>
    <x v="0"/>
  </r>
  <r>
    <s v="e66292f43e32d3b92d2c00229a6afe55"/>
    <s v="7614a7c196be837b0eba0a3811e51b29"/>
    <s v="4b339f9567d060bcea4f5136b9f5949e"/>
    <s v="4ef15afb4b2723d8f3d81e51ec7afefe"/>
    <x v="624"/>
    <x v="13"/>
    <x v="2"/>
    <s v="wolf"/>
    <s v="Unknow"/>
    <s v="Unknow"/>
    <s v="Unknow"/>
    <s v="manufacturer"/>
    <n v="0"/>
    <x v="0"/>
    <x v="0"/>
    <x v="0"/>
  </r>
  <r>
    <s v="92c9627a1529f28cb04691b9fe1f6ec8"/>
    <s v="63972c86dd9a38da4f3d8b5ccec2ee60"/>
    <s v="0a0fb2b07d841f84fb6714e35c723075"/>
    <s v="9ae085775a198122c5586fa830ff7f2b"/>
    <x v="625"/>
    <x v="16"/>
    <x v="4"/>
    <s v="Unknow"/>
    <s v="Unknow"/>
    <s v="Unknow"/>
    <s v="Unknow"/>
    <s v="reseller"/>
    <n v="0"/>
    <x v="0"/>
    <x v="0"/>
    <x v="0"/>
  </r>
  <r>
    <s v="44c115ec4cfd1287a92e824ff941aa3e"/>
    <s v="493a261e134421b6d9d997900fa56a5f"/>
    <s v="4b339f9567d060bcea4f5136b9f5949e"/>
    <s v="4ef15afb4b2723d8f3d81e51ec7afefe"/>
    <x v="626"/>
    <x v="7"/>
    <x v="2"/>
    <s v="wolf"/>
    <s v="Unknow"/>
    <s v="Unknow"/>
    <s v="Unknow"/>
    <s v="reseller"/>
    <n v="0"/>
    <x v="0"/>
    <x v="3"/>
    <x v="0"/>
  </r>
  <r>
    <s v="1f539e92146eac32306bcb0f8ba374ec"/>
    <s v="8ff95b78fd27130aef0a3b68b7124c51"/>
    <s v="4b339f9567d060bcea4f5136b9f5949e"/>
    <s v="c638112b43f1d1b86dcabb0da720c901"/>
    <x v="627"/>
    <x v="17"/>
    <x v="4"/>
    <s v="Unknow"/>
    <s v="Unknow"/>
    <s v="Unknow"/>
    <s v="Unknow"/>
    <s v="manufacturer"/>
    <n v="0"/>
    <x v="0"/>
    <x v="3"/>
    <x v="0"/>
  </r>
  <r>
    <s v="e758533feded97683d573154714a195b"/>
    <s v="985c92cc412091f8529c12d7f23d3fef"/>
    <s v="a8387c01a09e99ce014107505b92388c"/>
    <s v="d3d1e91a157ea7f90548eef82f1955e3"/>
    <x v="628"/>
    <x v="4"/>
    <x v="4"/>
    <s v="eagle"/>
    <s v="Unknow"/>
    <s v="Unknow"/>
    <s v="Unknow"/>
    <s v="reseller"/>
    <n v="0"/>
    <x v="0"/>
    <x v="1"/>
    <x v="0"/>
  </r>
  <r>
    <s v="6456e5e81dd87446f811df77548e6a6b"/>
    <s v="76e8c36299440e255379b5fa7f03f272"/>
    <s v="45749fb708130f78d0db07d8d80f030b"/>
    <s v="34d40cdaf94010a1d05b0d6212f9e909"/>
    <x v="629"/>
    <x v="3"/>
    <x v="4"/>
    <s v="cat, wolf"/>
    <b v="1"/>
    <b v="1"/>
    <s v="5-20"/>
    <s v="reseller"/>
    <n v="50"/>
    <x v="8"/>
    <x v="0"/>
    <x v="1"/>
  </r>
  <r>
    <s v="e8caf5068d097fe43a132fbc1152bdd8"/>
    <s v="26677ff8d8321b864317019c728ac010"/>
    <s v="4b339f9567d060bcea4f5136b9f5949e"/>
    <s v="de63de0d10a6012430098db33c679b0b"/>
    <x v="630"/>
    <x v="7"/>
    <x v="0"/>
    <s v="cat"/>
    <s v="Unknow"/>
    <s v="Unknow"/>
    <s v="Unknow"/>
    <s v="reseller"/>
    <n v="0"/>
    <x v="0"/>
    <x v="6"/>
    <x v="0"/>
  </r>
  <r>
    <s v="9ea89671c9ac8a9c53062381b303f4d4"/>
    <s v="c7bb64409aa480bb7d0335faaaf3d242"/>
    <s v="09285259593c61296eef10c734121d5b"/>
    <s v="495d4e95a8cf8bbf8b432b612a2aa328"/>
    <x v="631"/>
    <x v="1"/>
    <x v="2"/>
    <s v="cat"/>
    <s v="Unknow"/>
    <s v="Unknow"/>
    <s v="Unknow"/>
    <s v="reseller"/>
    <n v="0"/>
    <x v="0"/>
    <x v="4"/>
    <x v="0"/>
  </r>
  <r>
    <s v="5d23750fc8ccf6284ca2ef9063c7b395"/>
    <s v="1e26c56af8d48424e1df0140a2401f83"/>
    <s v="9e4d1098a3b0f5da39b0bc48f9876645"/>
    <s v="fbf4aef3f6915dc0c3c97d6812522f6a"/>
    <x v="632"/>
    <x v="7"/>
    <x v="4"/>
    <s v="cat"/>
    <s v="Unknow"/>
    <s v="Unknow"/>
    <s v="Unknow"/>
    <s v="reseller"/>
    <n v="0"/>
    <x v="0"/>
    <x v="1"/>
    <x v="0"/>
  </r>
  <r>
    <s v="058172f0764ed2bfad2c7aa7cb9ae15f"/>
    <s v="8c818d927ba4145304edccf74293f8b6"/>
    <s v="b90f87164b5f8c2cfa5c8572834dbe3f"/>
    <s v="34d40cdaf94010a1d05b0d6212f9e909"/>
    <x v="633"/>
    <x v="6"/>
    <x v="1"/>
    <s v="eagle"/>
    <s v="Unknow"/>
    <s v="Unknow"/>
    <s v="Unknow"/>
    <s v="manufacturer"/>
    <n v="20"/>
    <x v="16"/>
    <x v="0"/>
    <x v="2"/>
  </r>
  <r>
    <s v="3138f2d16a2894a0b029ac115da88f8f"/>
    <s v="daf565f087a52def0fd5c5825b3661bc"/>
    <s v="a8387c01a09e99ce014107505b92388c"/>
    <s v="6565aa9ce3178a5caf6171827af3a9ba"/>
    <x v="634"/>
    <x v="12"/>
    <x v="2"/>
    <s v="cat"/>
    <s v="Unknow"/>
    <s v="Unknow"/>
    <s v="Unknow"/>
    <s v="reseller"/>
    <n v="0"/>
    <x v="0"/>
    <x v="0"/>
    <x v="0"/>
  </r>
  <r>
    <s v="b4994d8000b83caf4875f9cf28664194"/>
    <s v="7ee00840eff17f731c41f35b12184c96"/>
    <s v="9749123c950bf8363ace42cb1c2d0815"/>
    <s v="a8387c01a09e99ce014107505b92388c"/>
    <x v="635"/>
    <x v="5"/>
    <x v="6"/>
    <s v="cat"/>
    <s v="Unknow"/>
    <s v="Unknow"/>
    <s v="Unknow"/>
    <s v="reseller"/>
    <n v="0"/>
    <x v="0"/>
    <x v="0"/>
    <x v="0"/>
  </r>
  <r>
    <s v="acc0e9c96173c579c90c05de205a2b63"/>
    <s v="9c7fd21e0aa159b20da593371f08ff7c"/>
    <s v="4b339f9567d060bcea4f5136b9f5949e"/>
    <s v="2695de1affa7750089c0455f8ce27021"/>
    <x v="636"/>
    <x v="19"/>
    <x v="0"/>
    <s v="cat"/>
    <s v="Unknow"/>
    <s v="Unknow"/>
    <s v="Unknow"/>
    <s v="reseller"/>
    <n v="0"/>
    <x v="0"/>
    <x v="3"/>
    <x v="0"/>
  </r>
  <r>
    <s v="df5f39b59210605db5d0afb2ddac38a6"/>
    <s v="f002671b6ff4042e52a52aaccba44c0e"/>
    <s v="9e4d1098a3b0f5da39b0bc48f9876645"/>
    <s v="2695de1affa7750089c0455f8ce27021"/>
    <x v="637"/>
    <x v="29"/>
    <x v="3"/>
    <s v="cat"/>
    <s v="Unknow"/>
    <s v="Unknow"/>
    <s v="Unknow"/>
    <s v="manufacturer"/>
    <n v="0"/>
    <x v="0"/>
    <x v="2"/>
    <x v="0"/>
  </r>
  <r>
    <s v="d78e4f87a5a597a1c8f2663af303e65b"/>
    <s v="cb141ec6f444a4cb7a2400aaf80b6fc3"/>
    <s v="370c9f455f93a9a96cbe9bea48e70033"/>
    <s v="85fc447d336637ba1df43e793199fbc8"/>
    <x v="638"/>
    <x v="4"/>
    <x v="0"/>
    <s v="cat"/>
    <s v="Unknow"/>
    <s v="Unknow"/>
    <s v="Unknow"/>
    <s v="reseller"/>
    <n v="0"/>
    <x v="0"/>
    <x v="3"/>
    <x v="0"/>
  </r>
  <r>
    <s v="f487c050e3c1f3c31f85b9f818ccc0c2"/>
    <s v="508808d438fe2ff972ed13bb8f4a82e2"/>
    <s v="370c9f455f93a9a96cbe9bea48e70033"/>
    <s v="34d40cdaf94010a1d05b0d6212f9e909"/>
    <x v="639"/>
    <x v="12"/>
    <x v="2"/>
    <s v="cat"/>
    <s v="Unknow"/>
    <s v="Unknow"/>
    <s v="Unknow"/>
    <s v="reseller"/>
    <n v="0"/>
    <x v="0"/>
    <x v="5"/>
    <x v="0"/>
  </r>
  <r>
    <s v="ff3e7e5ca2f0e0d94bff1aabf7ed6ff3"/>
    <s v="5084f696554075b9a98403b769f31cd5"/>
    <s v="9e4d1098a3b0f5da39b0bc48f9876645"/>
    <s v="495d4e95a8cf8bbf8b432b612a2aa328"/>
    <x v="640"/>
    <x v="12"/>
    <x v="0"/>
    <s v="cat"/>
    <s v="Unknow"/>
    <s v="Unknow"/>
    <s v="Unknow"/>
    <s v="manufacturer"/>
    <n v="0"/>
    <x v="0"/>
    <x v="3"/>
    <x v="0"/>
  </r>
  <r>
    <s v="ec2f34a30d5b87ed1d3e9de2741ddabc"/>
    <s v="246eefbebdc0c11402ec404e1589de43"/>
    <s v="0a0fb2b07d841f84fb6714e35c723075"/>
    <s v="85fc447d336637ba1df43e793199fbc8"/>
    <x v="641"/>
    <x v="4"/>
    <x v="3"/>
    <s v="eagle"/>
    <s v="Unknow"/>
    <s v="Unknow"/>
    <s v="Unknow"/>
    <s v="manufacturer"/>
    <n v="0"/>
    <x v="0"/>
    <x v="3"/>
    <x v="0"/>
  </r>
  <r>
    <s v="dedd5db8f760f36dd41fba0d5e94308b"/>
    <s v="41da412d33e8da4f22baf55cb1bde82c"/>
    <s v="f6c6ab65a1c732f154b371401448be6d"/>
    <s v="060c0a26f19f4d66b42e0d8796688490"/>
    <x v="642"/>
    <x v="11"/>
    <x v="1"/>
    <s v="Unknow"/>
    <s v="Unknow"/>
    <s v="Unknow"/>
    <s v="Unknow"/>
    <s v="manufacturer"/>
    <n v="0"/>
    <x v="0"/>
    <x v="2"/>
    <x v="0"/>
  </r>
  <r>
    <s v="0a634763cc1a09532dd8cbf0e74e3d48"/>
    <s v="8c4e430c5e662c328d3c84d334871709"/>
    <s v="323cff2ceea1814239bc2c7e614d260d"/>
    <s v="9ae085775a198122c5586fa830ff7f2b"/>
    <x v="643"/>
    <x v="0"/>
    <x v="6"/>
    <s v="wolf"/>
    <b v="1"/>
    <b v="1"/>
    <s v="5-20"/>
    <s v="reseller"/>
    <n v="0"/>
    <x v="0"/>
    <x v="5"/>
    <x v="0"/>
  </r>
  <r>
    <s v="7ac6d80c42fdb4020030b1cb9ed708f5"/>
    <s v="cfe94489ddd337d1e29e12f2a7205d10"/>
    <s v="4b339f9567d060bcea4f5136b9f5949e"/>
    <s v="9ae085775a198122c5586fa830ff7f2b"/>
    <x v="644"/>
    <x v="7"/>
    <x v="0"/>
    <s v="Unknow"/>
    <s v="Unknow"/>
    <s v="Unknow"/>
    <s v="Unknow"/>
    <s v="reseller"/>
    <n v="0"/>
    <x v="0"/>
    <x v="3"/>
    <x v="0"/>
  </r>
  <r>
    <s v="d62e62abe24dcaa94f9e1b3678477b51"/>
    <s v="c611f4ce9ce875bcc063fa97fd4d7d12"/>
    <s v="4b339f9567d060bcea4f5136b9f5949e"/>
    <s v="85fc447d336637ba1df43e793199fbc8"/>
    <x v="645"/>
    <x v="7"/>
    <x v="0"/>
    <s v="cat"/>
    <s v="Unknow"/>
    <s v="Unknow"/>
    <s v="Unknow"/>
    <s v="manufacturer"/>
    <n v="0"/>
    <x v="0"/>
    <x v="7"/>
    <x v="0"/>
  </r>
  <r>
    <s v="b97dc9b1917a076d96da7c0ae4e2ed72"/>
    <s v="376643e536ea9ab265065925112a876a"/>
    <s v="9d12ef1a7eca3ec58c545c678af7869c"/>
    <s v="fbf4aef3f6915dc0c3c97d6812522f6a"/>
    <x v="646"/>
    <x v="6"/>
    <x v="1"/>
    <s v="eagle"/>
    <s v="Unknow"/>
    <s v="Unknow"/>
    <s v="Unknow"/>
    <s v="manufacturer"/>
    <n v="0"/>
    <x v="0"/>
    <x v="0"/>
    <x v="0"/>
  </r>
  <r>
    <s v="7f95cccd5ccfb40b086d93e209d08ebf"/>
    <s v="b28c0625f1f26655cfa0f370be1164ac"/>
    <s v="370c9f455f93a9a96cbe9bea48e70033"/>
    <s v="b90f87164b5f8c2cfa5c8572834dbe3f"/>
    <x v="647"/>
    <x v="11"/>
    <x v="0"/>
    <s v="eagle"/>
    <b v="1"/>
    <b v="1"/>
    <s v="1-5"/>
    <s v="reseller"/>
    <n v="1000"/>
    <x v="0"/>
    <x v="2"/>
    <x v="0"/>
  </r>
  <r>
    <s v="59d49e1ef1cc5496dfde1a1cc0c74004"/>
    <s v="196964603e568f36848694f9274a2acd"/>
    <s v="09285259593c61296eef10c734121d5b"/>
    <s v="2695de1affa7750089c0455f8ce27021"/>
    <x v="648"/>
    <x v="23"/>
    <x v="3"/>
    <s v="eagle"/>
    <s v="Unknow"/>
    <s v="Unknow"/>
    <s v="Unknow"/>
    <s v="reseller"/>
    <n v="0"/>
    <x v="0"/>
    <x v="3"/>
    <x v="0"/>
  </r>
  <r>
    <s v="dbf25bb9667ad45905359f401d0ffb60"/>
    <s v="189ca3538ce9f920cacf0f982cbe223b"/>
    <s v="9d12ef1a7eca3ec58c545c678af7869c"/>
    <s v="fbf4aef3f6915dc0c3c97d6812522f6a"/>
    <x v="649"/>
    <x v="10"/>
    <x v="0"/>
    <s v="cat"/>
    <s v="Unknow"/>
    <s v="Unknow"/>
    <s v="Unknow"/>
    <s v="manufacturer"/>
    <n v="0"/>
    <x v="0"/>
    <x v="2"/>
    <x v="0"/>
  </r>
  <r>
    <s v="ff8ee6aac61c11f16443646cdf467146"/>
    <s v="7877194d40c496d36a88ae5957c5e7d1"/>
    <s v="a8387c01a09e99ce014107505b92388c"/>
    <s v="4ef15afb4b2723d8f3d81e51ec7afefe"/>
    <x v="510"/>
    <x v="1"/>
    <x v="1"/>
    <s v="cat"/>
    <s v="Unknow"/>
    <s v="Unknow"/>
    <s v="Unknow"/>
    <s v="manufacturer"/>
    <n v="0"/>
    <x v="0"/>
    <x v="4"/>
    <x v="0"/>
  </r>
  <r>
    <s v="4c3419c75074a0734e4d1851aa66eb8b"/>
    <s v="9ffca1681e7428db3d75eb4b69ee9599"/>
    <s v="068066e24f0c643eb1d089c7dd20cd73"/>
    <s v="495d4e95a8cf8bbf8b432b612a2aa328"/>
    <x v="650"/>
    <x v="4"/>
    <x v="0"/>
    <s v="Unknow"/>
    <s v="Unknow"/>
    <s v="Unknow"/>
    <s v="Unknow"/>
    <s v="manufacturer"/>
    <n v="0"/>
    <x v="0"/>
    <x v="0"/>
    <x v="0"/>
  </r>
  <r>
    <s v="2dfbe1c802c78a8b1f75ef13b70c1124"/>
    <s v="382229d1e840115ffe3dbf5ff460e417"/>
    <s v="4b339f9567d060bcea4f5136b9f5949e"/>
    <s v="495d4e95a8cf8bbf8b432b612a2aa328"/>
    <x v="651"/>
    <x v="6"/>
    <x v="2"/>
    <s v="shark"/>
    <s v="Unknow"/>
    <s v="Unknow"/>
    <s v="Unknow"/>
    <s v="reseller"/>
    <n v="0"/>
    <x v="0"/>
    <x v="0"/>
    <x v="0"/>
  </r>
  <r>
    <s v="5db98ad3d38184a2f9db88f5bb1c62c1"/>
    <s v="5bc24d989e71e93c33e50a7782431b0e"/>
    <s v="9d12ef1a7eca3ec58c545c678af7869c"/>
    <s v="de63de0d10a6012430098db33c679b0b"/>
    <x v="652"/>
    <x v="1"/>
    <x v="0"/>
    <s v="cat"/>
    <s v="Unknow"/>
    <s v="Unknow"/>
    <s v="Unknow"/>
    <s v="manufacturer"/>
    <n v="0"/>
    <x v="0"/>
    <x v="2"/>
    <x v="0"/>
  </r>
  <r>
    <s v="b91cf8812365f50ff4bda4bcd6206b05"/>
    <s v="5e063e85d44b0f5c3e6ec3131103a57e"/>
    <s v="a8387c01a09e99ce014107505b92388c"/>
    <s v="495d4e95a8cf8bbf8b432b612a2aa328"/>
    <x v="653"/>
    <x v="4"/>
    <x v="2"/>
    <s v="cat"/>
    <s v="Unknow"/>
    <s v="Unknow"/>
    <s v="Unknow"/>
    <s v="reseller"/>
    <n v="0"/>
    <x v="0"/>
    <x v="0"/>
    <x v="0"/>
  </r>
  <r>
    <s v="6ddd8f436b40ded89a268f4b38a30b35"/>
    <s v="164471825a8de8c31eb8cb9375b27243"/>
    <s v="068066e24f0c643eb1d089c7dd20cd73"/>
    <s v="fbf4aef3f6915dc0c3c97d6812522f6a"/>
    <x v="654"/>
    <x v="5"/>
    <x v="0"/>
    <s v="cat"/>
    <s v="Unknow"/>
    <s v="Unknow"/>
    <s v="Unknow"/>
    <s v="reseller"/>
    <n v="0"/>
    <x v="0"/>
    <x v="3"/>
    <x v="0"/>
  </r>
  <r>
    <s v="3d2c7bb8be9ea80c1477b6778fbd2cf6"/>
    <s v="bd585fa4d871cd7600ec8a2b90c57a4e"/>
    <s v="f42a2bd194f7802ab052a815c8de65b7"/>
    <s v="9d12ef1a7eca3ec58c545c678af7869c"/>
    <x v="655"/>
    <x v="1"/>
    <x v="0"/>
    <s v="cat, wolf"/>
    <b v="1"/>
    <b v="1"/>
    <s v="0n"/>
    <s v="reseller"/>
    <n v="700"/>
    <x v="21"/>
    <x v="2"/>
    <x v="1"/>
  </r>
  <r>
    <s v="9e5523333afdebe2911f20c3e5b452df"/>
    <s v="698f5fa55a5f73d0740e9d9a773e8093"/>
    <s v="9e4d1098a3b0f5da39b0bc48f9876645"/>
    <s v="495d4e95a8cf8bbf8b432b612a2aa328"/>
    <x v="656"/>
    <x v="4"/>
    <x v="4"/>
    <s v="eagle"/>
    <s v="Unknow"/>
    <s v="Unknow"/>
    <s v="Unknow"/>
    <s v="reseller"/>
    <n v="0"/>
    <x v="0"/>
    <x v="2"/>
    <x v="0"/>
  </r>
  <r>
    <s v="d54be8a176d25fedda751546f6276fb6"/>
    <s v="0f5f7caa3e6a2b466fabe6bfaf25b06b"/>
    <s v="9e4d1098a3b0f5da39b0bc48f9876645"/>
    <s v="c638112b43f1d1b86dcabb0da720c901"/>
    <x v="657"/>
    <x v="19"/>
    <x v="0"/>
    <s v="cat"/>
    <s v="Unknow"/>
    <s v="Unknow"/>
    <s v="Unknow"/>
    <s v="reseller"/>
    <n v="0"/>
    <x v="0"/>
    <x v="2"/>
    <x v="0"/>
  </r>
  <r>
    <s v="4653dc197e56d94547c86d7a3af40833"/>
    <s v="e1dc0754bada9ee4cfe9713f22f61292"/>
    <s v="56bf83c4bb35763a51c2baab501b4c67"/>
    <s v="4ef15afb4b2723d8f3d81e51ec7afefe"/>
    <x v="658"/>
    <x v="8"/>
    <x v="0"/>
    <s v="eagle"/>
    <s v="Unknow"/>
    <s v="Unknow"/>
    <s v="Unknow"/>
    <s v="reseller"/>
    <n v="0"/>
    <x v="0"/>
    <x v="0"/>
    <x v="0"/>
  </r>
  <r>
    <s v="8ac5c69653a6ec0c8a96f304c13fb1d6"/>
    <s v="e58a5b390e28abc0b216cfb0e07d27d7"/>
    <s v="068066e24f0c643eb1d089c7dd20cd73"/>
    <s v="495d4e95a8cf8bbf8b432b612a2aa328"/>
    <x v="659"/>
    <x v="21"/>
    <x v="0"/>
    <s v="Unknow"/>
    <s v="Unknow"/>
    <s v="Unknow"/>
    <s v="Unknow"/>
    <s v="reseller"/>
    <n v="0"/>
    <x v="0"/>
    <x v="0"/>
    <x v="0"/>
  </r>
  <r>
    <s v="b02c6bdb3693e65bd8e9b75df65fe2c4"/>
    <s v="588e81a6924bcffd4e366453885e72b1"/>
    <s v="0a0fb2b07d841f84fb6714e35c723075"/>
    <s v="2695de1affa7750089c0455f8ce27021"/>
    <x v="660"/>
    <x v="19"/>
    <x v="0"/>
    <s v="eagle"/>
    <s v="Unknow"/>
    <s v="Unknow"/>
    <s v="Unknow"/>
    <s v="manufacturer"/>
    <n v="100"/>
    <x v="0"/>
    <x v="2"/>
    <x v="0"/>
  </r>
  <r>
    <s v="423b036257e9b247694318b327fdef68"/>
    <s v="aae5e7b457a3c72ee230a47d98fceda5"/>
    <s v="fdb16d3cbbeb5798f2f66c4096be026d"/>
    <s v="9ae085775a198122c5586fa830ff7f2b"/>
    <x v="661"/>
    <x v="13"/>
    <x v="1"/>
    <s v="Unknow"/>
    <s v="Unknow"/>
    <s v="Unknow"/>
    <s v="Unknow"/>
    <s v="manufacturer"/>
    <n v="0"/>
    <x v="0"/>
    <x v="2"/>
    <x v="0"/>
  </r>
  <r>
    <s v="ac029f072468dd8c97c15f0a9fa96f00"/>
    <s v="dfa0c4c6229ab200a4a1336b4d7128ff"/>
    <s v="f42a2bd194f7802ab052a815c8de65b7"/>
    <s v="6565aa9ce3178a5caf6171827af3a9ba"/>
    <x v="662"/>
    <x v="12"/>
    <x v="0"/>
    <s v="eagle"/>
    <s v="Unknow"/>
    <s v="Unknow"/>
    <s v="Unknow"/>
    <s v="reseller"/>
    <n v="0"/>
    <x v="0"/>
    <x v="2"/>
    <x v="0"/>
  </r>
  <r>
    <s v="e77cae9fcdb3fd588d797921ac663823"/>
    <s v="a31ed365258882cc2a1e25d6710704ea"/>
    <s v="370c9f455f93a9a96cbe9bea48e70033"/>
    <s v="6565aa9ce3178a5caf6171827af3a9ba"/>
    <x v="663"/>
    <x v="19"/>
    <x v="0"/>
    <s v="eagle"/>
    <s v="Unknow"/>
    <s v="Unknow"/>
    <s v="Unknow"/>
    <s v="reseller"/>
    <n v="0"/>
    <x v="0"/>
    <x v="5"/>
    <x v="0"/>
  </r>
  <r>
    <s v="8d4af10effffa338cc97d3ef4b2507dd"/>
    <s v="53088c75f948b48a7ece173ac17f0c12"/>
    <s v="34d40cdaf94010a1d05b0d6212f9e909"/>
    <s v="068066e24f0c643eb1d089c7dd20cd73"/>
    <x v="664"/>
    <x v="4"/>
    <x v="4"/>
    <s v="eagle"/>
    <s v="Unknow"/>
    <s v="Unknow"/>
    <s v="Unknow"/>
    <s v="reseller"/>
    <n v="0"/>
    <x v="0"/>
    <x v="3"/>
    <x v="0"/>
  </r>
  <r>
    <s v="01409f7f7f2bd5ec0c1755b362e9db6e"/>
    <s v="eada4a0629faf243de4159916c10cd1a"/>
    <s v="fdb16d3cbbeb5798f2f66c4096be026d"/>
    <s v="2695de1affa7750089c0455f8ce27021"/>
    <x v="665"/>
    <x v="4"/>
    <x v="2"/>
    <s v="cat"/>
    <s v="Unknow"/>
    <s v="Unknow"/>
    <s v="Unknow"/>
    <s v="reseller"/>
    <n v="0"/>
    <x v="0"/>
    <x v="9"/>
    <x v="0"/>
  </r>
  <r>
    <s v="214ace4c93ff3e251c239e9d47d1517b"/>
    <s v="0c1d290fe8e252b31ebc2ead30634efc"/>
    <s v="4b339f9567d060bcea4f5136b9f5949e"/>
    <s v="9e4d1098a3b0f5da39b0bc48f9876645"/>
    <x v="666"/>
    <x v="4"/>
    <x v="0"/>
    <s v="eagle"/>
    <s v="Unknow"/>
    <s v="Unknow"/>
    <s v="Unknow"/>
    <s v="reseller"/>
    <n v="0"/>
    <x v="0"/>
    <x v="0"/>
    <x v="0"/>
  </r>
  <r>
    <s v="9dde4d7713ae64986ab6f5c9f9cf94d3"/>
    <s v="c33e6d3ad32fd5bec1b0f2522f668213"/>
    <s v="19f3cd308f1455b3fa09a282e0d496f4"/>
    <s v="a8387c01a09e99ce014107505b92388c"/>
    <x v="667"/>
    <x v="20"/>
    <x v="7"/>
    <s v="cat"/>
    <s v="Unknow"/>
    <s v="Unknow"/>
    <s v="Unknow"/>
    <s v="other"/>
    <n v="100"/>
    <x v="22"/>
    <x v="0"/>
    <x v="1"/>
  </r>
  <r>
    <s v="07da1921cbc124b15d105b3e13d67eb5"/>
    <s v="fd5564b7d093f9d64d1a5f223dfe43bc"/>
    <s v="de63de0d10a6012430098db33c679b0b"/>
    <s v="d3d1e91a157ea7f90548eef82f1955e3"/>
    <x v="668"/>
    <x v="1"/>
    <x v="4"/>
    <s v="cat"/>
    <s v="Unknow"/>
    <s v="Unknow"/>
    <s v="Unknow"/>
    <s v="reseller"/>
    <n v="0"/>
    <x v="0"/>
    <x v="3"/>
    <x v="0"/>
  </r>
  <r>
    <s v="b17d646e36f5fb120b2ea74c14d39f5c"/>
    <s v="2e311c110b108aece4a48ab7165f28b3"/>
    <s v="4b339f9567d060bcea4f5136b9f5949e"/>
    <s v="4ef15afb4b2723d8f3d81e51ec7afefe"/>
    <x v="669"/>
    <x v="6"/>
    <x v="0"/>
    <s v="Unknow"/>
    <s v="Unknow"/>
    <s v="Unknow"/>
    <s v="Unknow"/>
    <s v="reseller"/>
    <n v="0"/>
    <x v="0"/>
    <x v="1"/>
    <x v="0"/>
  </r>
  <r>
    <s v="b4a52d5e8d7a56355abf7597fe5b2bbd"/>
    <s v="da43bc6766501a2ad1aba35b09b7c9ac"/>
    <s v="4b339f9567d060bcea4f5136b9f5949e"/>
    <s v="4ef15afb4b2723d8f3d81e51ec7afefe"/>
    <x v="670"/>
    <x v="14"/>
    <x v="4"/>
    <s v="wolf"/>
    <s v="Unknow"/>
    <s v="Unknow"/>
    <s v="Unknow"/>
    <s v="reseller"/>
    <n v="0"/>
    <x v="0"/>
    <x v="0"/>
    <x v="0"/>
  </r>
  <r>
    <s v="61681a30d47dc8b1ec5180ccdec26ba5"/>
    <s v="4a4da369ad50f14d48337aa52eb826f5"/>
    <s v="068066e24f0c643eb1d089c7dd20cd73"/>
    <s v="6565aa9ce3178a5caf6171827af3a9ba"/>
    <x v="671"/>
    <x v="4"/>
    <x v="0"/>
    <s v="Unknow"/>
    <s v="Unknow"/>
    <s v="Unknow"/>
    <s v="Unknow"/>
    <s v="reseller"/>
    <n v="0"/>
    <x v="0"/>
    <x v="7"/>
    <x v="0"/>
  </r>
  <r>
    <s v="27ce438e6e1f602971ea0443f5d4428e"/>
    <s v="05e107217c7266362fd44b75b2cd4cc4"/>
    <s v="f42a2bd194f7802ab052a815c8de65b7"/>
    <s v="85fc447d336637ba1df43e793199fbc8"/>
    <x v="672"/>
    <x v="10"/>
    <x v="0"/>
    <s v="wolf"/>
    <s v="Unknow"/>
    <s v="Unknow"/>
    <s v="Unknow"/>
    <s v="reseller"/>
    <n v="0"/>
    <x v="0"/>
    <x v="0"/>
    <x v="0"/>
  </r>
  <r>
    <s v="b48c62590e6d0cda7b99d3c4053a412b"/>
    <s v="7f49fc7a8336278ab1287ed28d565258"/>
    <s v="370c9f455f93a9a96cbe9bea48e70033"/>
    <s v="2695de1affa7750089c0455f8ce27021"/>
    <x v="673"/>
    <x v="11"/>
    <x v="1"/>
    <s v="cat"/>
    <s v="Unknow"/>
    <s v="Unknow"/>
    <s v="Unknow"/>
    <s v="manufacturer"/>
    <n v="0"/>
    <x v="0"/>
    <x v="3"/>
    <x v="0"/>
  </r>
  <r>
    <s v="7bf1f5c2051159d32a588de7a73c8edf"/>
    <s v="c510bc1718f0f2961eaa42a23330681a"/>
    <s v="370c9f455f93a9a96cbe9bea48e70033"/>
    <s v="4ef15afb4b2723d8f3d81e51ec7afefe"/>
    <x v="674"/>
    <x v="25"/>
    <x v="2"/>
    <s v="eagle"/>
    <s v="Unknow"/>
    <s v="Unknow"/>
    <s v="Unknow"/>
    <s v="reseller"/>
    <n v="0"/>
    <x v="0"/>
    <x v="3"/>
    <x v="0"/>
  </r>
  <r>
    <s v="4f2a5cee950dff883ba2d52715c97bb3"/>
    <s v="ae1e6f638fc33a9cdbc2871bf60c6635"/>
    <s v="068066e24f0c643eb1d089c7dd20cd73"/>
    <s v="56bf83c4bb35763a51c2baab501b4c67"/>
    <x v="675"/>
    <x v="12"/>
    <x v="0"/>
    <s v="cat"/>
    <s v="Unknow"/>
    <s v="Unknow"/>
    <s v="Unknow"/>
    <s v="manufacturer"/>
    <n v="0"/>
    <x v="0"/>
    <x v="4"/>
    <x v="0"/>
  </r>
  <r>
    <s v="2f68c2e0cd8964d59dbbcfa48196b499"/>
    <s v="4c1c7281388a33dd06daac44f9fadbd1"/>
    <s v="9e4d1098a3b0f5da39b0bc48f9876645"/>
    <s v="4ef15afb4b2723d8f3d81e51ec7afefe"/>
    <x v="676"/>
    <x v="10"/>
    <x v="0"/>
    <s v="cat"/>
    <s v="Unknow"/>
    <s v="Unknow"/>
    <s v="Unknow"/>
    <s v="reseller"/>
    <n v="0"/>
    <x v="0"/>
    <x v="5"/>
    <x v="0"/>
  </r>
  <r>
    <s v="6ff169c8d96bc9b776c14c0e65af28df"/>
    <s v="85ecf03781da592876b7844acc1b729f"/>
    <s v="f42a2bd194f7802ab052a815c8de65b7"/>
    <s v="060c0a26f19f4d66b42e0d8796688490"/>
    <x v="677"/>
    <x v="4"/>
    <x v="0"/>
    <s v="cat"/>
    <s v="Unknow"/>
    <s v="Unknow"/>
    <s v="Unknow"/>
    <s v="reseller"/>
    <n v="0"/>
    <x v="0"/>
    <x v="0"/>
    <x v="0"/>
  </r>
  <r>
    <s v="13c5dfa246046c0beea97e100f32a1a9"/>
    <s v="968268a686aa05d1f529fb07dff08130"/>
    <s v="fdb16d3cbbeb5798f2f66c4096be026d"/>
    <s v="9ae085775a198122c5586fa830ff7f2b"/>
    <x v="678"/>
    <x v="10"/>
    <x v="2"/>
    <s v="Unknow"/>
    <s v="Unknow"/>
    <s v="Unknow"/>
    <s v="Unknow"/>
    <s v="reseller"/>
    <n v="0"/>
    <x v="0"/>
    <x v="1"/>
    <x v="0"/>
  </r>
  <r>
    <s v="0a55079ea003674ae2145b02f03ff27d"/>
    <s v="ae0728a2cb289dec6d1ceb0b7d6b82c5"/>
    <s v="4b339f9567d060bcea4f5136b9f5949e"/>
    <s v="9e4d1098a3b0f5da39b0bc48f9876645"/>
    <x v="679"/>
    <x v="4"/>
    <x v="0"/>
    <s v="cat"/>
    <s v="Unknow"/>
    <s v="Unknow"/>
    <s v="Unknow"/>
    <s v="reseller"/>
    <n v="0"/>
    <x v="0"/>
    <x v="2"/>
    <x v="0"/>
  </r>
  <r>
    <s v="af727f4749d4bccd52b0d84bcd241a28"/>
    <s v="8cd5c90bb5fe7f2d779c81bfd6d9ffcf"/>
    <s v="09285259593c61296eef10c734121d5b"/>
    <s v="fbf4aef3f6915dc0c3c97d6812522f6a"/>
    <x v="680"/>
    <x v="4"/>
    <x v="0"/>
    <s v="cat"/>
    <s v="Unknow"/>
    <s v="Unknow"/>
    <s v="Unknow"/>
    <s v="reseller"/>
    <n v="0"/>
    <x v="0"/>
    <x v="2"/>
    <x v="0"/>
  </r>
  <r>
    <s v="b2385ae6de2a909f2ad7b45f9922af69"/>
    <s v="2d2f1c1a4f518137df3e4d8d5f57beae"/>
    <s v="b90f87164b5f8c2cfa5c8572834dbe3f"/>
    <s v="6565aa9ce3178a5caf6171827af3a9ba"/>
    <x v="681"/>
    <x v="4"/>
    <x v="6"/>
    <s v="eagle"/>
    <s v="Unknow"/>
    <s v="Unknow"/>
    <s v="Unknow"/>
    <s v="manufacturer"/>
    <n v="0"/>
    <x v="0"/>
    <x v="0"/>
    <x v="0"/>
  </r>
  <r>
    <s v="7c23287c6dd3acd5f4fae4175be75c7e"/>
    <s v="106ebccfb024488d2dd7aac29c9a20a3"/>
    <s v="de63de0d10a6012430098db33c679b0b"/>
    <s v="d3d1e91a157ea7f90548eef82f1955e3"/>
    <x v="682"/>
    <x v="5"/>
    <x v="6"/>
    <s v="Unknow"/>
    <s v="Unknow"/>
    <s v="Unknow"/>
    <s v="Unknow"/>
    <s v="reseller"/>
    <n v="0"/>
    <x v="0"/>
    <x v="0"/>
    <x v="0"/>
  </r>
  <r>
    <s v="eb7cd84a106d9862149ce49358dccf98"/>
    <s v="e250d617a0ad591ba9bd663e584a895d"/>
    <s v="4b339f9567d060bcea4f5136b9f5949e"/>
    <s v="fbf4aef3f6915dc0c3c97d6812522f6a"/>
    <x v="683"/>
    <x v="12"/>
    <x v="6"/>
    <s v="Unknow"/>
    <s v="Unknow"/>
    <s v="Unknow"/>
    <s v="Unknow"/>
    <s v="manufacturer"/>
    <n v="0"/>
    <x v="0"/>
    <x v="0"/>
    <x v="0"/>
  </r>
  <r>
    <s v="5c2d8be7b4d5836ebf6e70455ba735df"/>
    <s v="1ab0c07336fcfada1d031cf1c9718ca7"/>
    <s v="de63de0d10a6012430098db33c679b0b"/>
    <s v="d3d1e91a157ea7f90548eef82f1955e3"/>
    <x v="684"/>
    <x v="4"/>
    <x v="2"/>
    <s v="Unknow"/>
    <s v="Unknow"/>
    <s v="Unknow"/>
    <s v="Unknow"/>
    <s v="reseller"/>
    <n v="0"/>
    <x v="0"/>
    <x v="0"/>
    <x v="0"/>
  </r>
  <r>
    <s v="33ce1e734d9d50629fa2c36769285d53"/>
    <s v="53be10ff134691e94a4089b41c75874f"/>
    <s v="2b63542749aa9caf15f21816da1db341"/>
    <s v="d3d1e91a157ea7f90548eef82f1955e3"/>
    <x v="685"/>
    <x v="7"/>
    <x v="3"/>
    <s v="wolf"/>
    <b v="1"/>
    <b v="1"/>
    <s v="50-200"/>
    <s v="reseller"/>
    <n v="400"/>
    <x v="23"/>
    <x v="7"/>
    <x v="1"/>
  </r>
  <r>
    <s v="a38a9af287823928c8b66b29dde21c29"/>
    <s v="aa3d06427142ec11df8f7df0e159b71a"/>
    <s v="de63de0d10a6012430098db33c679b0b"/>
    <s v="495d4e95a8cf8bbf8b432b612a2aa328"/>
    <x v="686"/>
    <x v="6"/>
    <x v="1"/>
    <s v="Unknow"/>
    <s v="Unknow"/>
    <s v="Unknow"/>
    <s v="Unknow"/>
    <s v="manufacturer"/>
    <n v="0"/>
    <x v="0"/>
    <x v="0"/>
    <x v="0"/>
  </r>
  <r>
    <s v="8d31e1ca580336797fc5c552cc86b96b"/>
    <s v="50ca38cf4312fde2e0d35f6169208b54"/>
    <s v="34d40cdaf94010a1d05b0d6212f9e909"/>
    <s v="4ef15afb4b2723d8f3d81e51ec7afefe"/>
    <x v="687"/>
    <x v="12"/>
    <x v="4"/>
    <s v="eagle"/>
    <s v="Unknow"/>
    <s v="Unknow"/>
    <s v="Unknow"/>
    <s v="reseller"/>
    <n v="0"/>
    <x v="0"/>
    <x v="6"/>
    <x v="0"/>
  </r>
  <r>
    <s v="7f06e90b62b8a276308c2756f5afd601"/>
    <s v="7c51de0ab286204ce75ff42bf7c10d92"/>
    <s v="56bf83c4bb35763a51c2baab501b4c67"/>
    <s v="c638112b43f1d1b86dcabb0da720c901"/>
    <x v="688"/>
    <x v="11"/>
    <x v="0"/>
    <s v="Unknow"/>
    <s v="Unknow"/>
    <s v="Unknow"/>
    <s v="Unknow"/>
    <s v="reseller"/>
    <n v="0"/>
    <x v="0"/>
    <x v="4"/>
    <x v="0"/>
  </r>
  <r>
    <s v="fd582eb497bfc1fdf07f3e7d0e259b70"/>
    <s v="6a53b90c3ad9e0b56d9fe5c69165fff5"/>
    <s v="09285259593c61296eef10c734121d5b"/>
    <s v="85fc447d336637ba1df43e793199fbc8"/>
    <x v="689"/>
    <x v="15"/>
    <x v="0"/>
    <s v="cat"/>
    <s v="Unknow"/>
    <s v="Unknow"/>
    <s v="Unknow"/>
    <s v="manufacturer"/>
    <n v="0"/>
    <x v="0"/>
    <x v="0"/>
    <x v="0"/>
  </r>
  <r>
    <s v="c31cd9eb0233c998e5d682c4d826d8c6"/>
    <s v="e10575e8e45d5d8cedfc60d838ac286b"/>
    <s v="0a0fb2b07d841f84fb6714e35c723075"/>
    <s v="fbf4aef3f6915dc0c3c97d6812522f6a"/>
    <x v="690"/>
    <x v="31"/>
    <x v="0"/>
    <s v="eagle"/>
    <s v="Unknow"/>
    <s v="Unknow"/>
    <s v="Unknow"/>
    <s v="reseller"/>
    <n v="0"/>
    <x v="0"/>
    <x v="3"/>
    <x v="0"/>
  </r>
  <r>
    <s v="79c57bf41c34485dfe8b0d15d45a5fa2"/>
    <s v="11742f81550ac064cc9a40f67151d9ad"/>
    <s v="370c9f455f93a9a96cbe9bea48e70033"/>
    <s v="de63de0d10a6012430098db33c679b0b"/>
    <x v="691"/>
    <x v="2"/>
    <x v="0"/>
    <s v="wolf"/>
    <s v="Unknow"/>
    <s v="Unknow"/>
    <s v="Unknow"/>
    <s v="reseller"/>
    <n v="0"/>
    <x v="0"/>
    <x v="2"/>
    <x v="0"/>
  </r>
  <r>
    <s v="b13432d01614c9d18263698af2837e1e"/>
    <s v="429e2324ee8c0a95b565f78b465e8a07"/>
    <s v="370c9f455f93a9a96cbe9bea48e70033"/>
    <s v="4ef15afb4b2723d8f3d81e51ec7afefe"/>
    <x v="692"/>
    <x v="15"/>
    <x v="6"/>
    <s v="cat"/>
    <s v="Unknow"/>
    <s v="Unknow"/>
    <s v="Unknow"/>
    <s v="manufacturer"/>
    <n v="0"/>
    <x v="0"/>
    <x v="6"/>
    <x v="0"/>
  </r>
  <r>
    <s v="8e3a0c64471d95b0099a960973289946"/>
    <s v="e94b64dc6979b302a5a5be1662c83bb6"/>
    <s v="a8387c01a09e99ce014107505b92388c"/>
    <s v="85fc447d336637ba1df43e793199fbc8"/>
    <x v="396"/>
    <x v="12"/>
    <x v="0"/>
    <s v="eagle"/>
    <s v="Unknow"/>
    <s v="Unknow"/>
    <s v="Unknow"/>
    <s v="reseller"/>
    <n v="0"/>
    <x v="0"/>
    <x v="0"/>
    <x v="0"/>
  </r>
  <r>
    <s v="c4b5d00fab66a49d63428f51800130eb"/>
    <s v="52c53edae0e04256ecf6c407608e7e09"/>
    <s v="0a0fb2b07d841f84fb6714e35c723075"/>
    <s v="9e4d1098a3b0f5da39b0bc48f9876645"/>
    <x v="693"/>
    <x v="10"/>
    <x v="1"/>
    <s v="eagle"/>
    <s v="Unknow"/>
    <s v="Unknow"/>
    <s v="Unknow"/>
    <s v="manufacturer"/>
    <n v="0"/>
    <x v="0"/>
    <x v="3"/>
    <x v="0"/>
  </r>
  <r>
    <s v="c0fa242837c43fe0531989b269153441"/>
    <s v="45a9bd664803609f452cce925e21d24d"/>
    <s v="a8387c01a09e99ce014107505b92388c"/>
    <s v="85fc447d336637ba1df43e793199fbc8"/>
    <x v="694"/>
    <x v="1"/>
    <x v="2"/>
    <s v="cat"/>
    <s v="Unknow"/>
    <s v="Unknow"/>
    <s v="Unknow"/>
    <s v="reseller"/>
    <n v="0"/>
    <x v="0"/>
    <x v="0"/>
    <x v="0"/>
  </r>
  <r>
    <s v="e2d1a6e73522ced82377206f4ac503de"/>
    <s v="1444c08e64d55fb3c25f0f09c07ffcf2"/>
    <s v="fdb16d3cbbeb5798f2f66c4096be026d"/>
    <s v="495d4e95a8cf8bbf8b432b612a2aa328"/>
    <x v="695"/>
    <x v="1"/>
    <x v="6"/>
    <s v="Unknow"/>
    <s v="Unknow"/>
    <s v="Unknow"/>
    <s v="Unknow"/>
    <s v="reseller"/>
    <n v="0"/>
    <x v="0"/>
    <x v="0"/>
    <x v="0"/>
  </r>
  <r>
    <s v="cd1c758ef1fa8b3fa90d46efc6e4c66d"/>
    <s v="99d4602ff2c719a03c6d8df853ebedf8"/>
    <s v="9d12ef1a7eca3ec58c545c678af7869c"/>
    <s v="9e4d1098a3b0f5da39b0bc48f9876645"/>
    <x v="696"/>
    <x v="6"/>
    <x v="1"/>
    <s v="cat"/>
    <s v="Unknow"/>
    <s v="Unknow"/>
    <s v="Unknow"/>
    <s v="manufacturer"/>
    <n v="0"/>
    <x v="0"/>
    <x v="2"/>
    <x v="0"/>
  </r>
  <r>
    <s v="0ec14948e088cd74e70ad82de1128b3b"/>
    <s v="d449188091598bf0dbd32c312570f168"/>
    <s v="34d40cdaf94010a1d05b0d6212f9e909"/>
    <s v="495d4e95a8cf8bbf8b432b612a2aa328"/>
    <x v="697"/>
    <x v="19"/>
    <x v="4"/>
    <s v="shark"/>
    <s v="Unknow"/>
    <s v="Unknow"/>
    <s v="Unknow"/>
    <s v="reseller"/>
    <n v="0"/>
    <x v="0"/>
    <x v="5"/>
    <x v="0"/>
  </r>
  <r>
    <s v="7482d965e9c3156079b7ea6423fd41fa"/>
    <s v="a267686cbbbfe674d0834d3ad95df5bb"/>
    <s v="56bf83c4bb35763a51c2baab501b4c67"/>
    <s v="9ae085775a198122c5586fa830ff7f2b"/>
    <x v="698"/>
    <x v="4"/>
    <x v="1"/>
    <s v="Unknow"/>
    <s v="Unknow"/>
    <s v="Unknow"/>
    <s v="Unknow"/>
    <s v="manufacturer"/>
    <n v="0"/>
    <x v="0"/>
    <x v="3"/>
    <x v="0"/>
  </r>
  <r>
    <s v="90da5fb6873f5daa02586c51fec88189"/>
    <s v="9f15313cc96cd611d45e63eab4170bf1"/>
    <s v="4b339f9567d060bcea4f5136b9f5949e"/>
    <s v="060c0a26f19f4d66b42e0d8796688490"/>
    <x v="699"/>
    <x v="1"/>
    <x v="0"/>
    <s v="wolf"/>
    <s v="Unknow"/>
    <s v="Unknow"/>
    <s v="Unknow"/>
    <s v="reseller"/>
    <n v="0"/>
    <x v="0"/>
    <x v="5"/>
    <x v="0"/>
  </r>
  <r>
    <s v="38cdcd4e817aad01e8408901fa10f392"/>
    <s v="a1617fea9bff799a4d5b3db7a7baa713"/>
    <s v="f42a2bd194f7802ab052a815c8de65b7"/>
    <s v="4ef15afb4b2723d8f3d81e51ec7afefe"/>
    <x v="700"/>
    <x v="19"/>
    <x v="0"/>
    <s v="eagle"/>
    <s v="Unknow"/>
    <s v="Unknow"/>
    <s v="Unknow"/>
    <s v="reseller"/>
    <n v="0"/>
    <x v="0"/>
    <x v="5"/>
    <x v="0"/>
  </r>
  <r>
    <s v="40965efa19c345bfd62e38846d71eb85"/>
    <s v="5f57db27027655e6c6a391601daa0258"/>
    <s v="4b339f9567d060bcea4f5136b9f5949e"/>
    <s v="d3d1e91a157ea7f90548eef82f1955e3"/>
    <x v="701"/>
    <x v="6"/>
    <x v="0"/>
    <s v="Unknow"/>
    <s v="Unknow"/>
    <s v="Unknow"/>
    <s v="Unknow"/>
    <s v="reseller"/>
    <n v="0"/>
    <x v="0"/>
    <x v="2"/>
    <x v="0"/>
  </r>
  <r>
    <s v="5490e7d6b0202e0f649d6fba5bf770ec"/>
    <s v="eb9267cccc90f1b49c8d2f9887c7dd97"/>
    <s v="a8387c01a09e99ce014107505b92388c"/>
    <s v="d3d1e91a157ea7f90548eef82f1955e3"/>
    <x v="702"/>
    <x v="9"/>
    <x v="0"/>
    <s v="cat"/>
    <s v="Unknow"/>
    <s v="Unknow"/>
    <s v="Unknow"/>
    <s v="reseller"/>
    <n v="0"/>
    <x v="0"/>
    <x v="0"/>
    <x v="0"/>
  </r>
  <r>
    <s v="23b7bbab67f2caadba743ff405d27b5c"/>
    <s v="abbc2aa191ecd8fbb5be1701d7bb6ef4"/>
    <s v="34d40cdaf94010a1d05b0d6212f9e909"/>
    <s v="56bf83c4bb35763a51c2baab501b4c67"/>
    <x v="703"/>
    <x v="9"/>
    <x v="4"/>
    <s v="cat"/>
    <s v="Unknow"/>
    <s v="Unknow"/>
    <s v="Unknow"/>
    <s v="manufacturer"/>
    <n v="0"/>
    <x v="0"/>
    <x v="0"/>
    <x v="0"/>
  </r>
  <r>
    <s v="b668bbfcf4f79f076b2210cb21e87734"/>
    <s v="ce616e1913288884e7742faac9d981db"/>
    <s v="4b339f9567d060bcea4f5136b9f5949e"/>
    <s v="4ef15afb4b2723d8f3d81e51ec7afefe"/>
    <x v="704"/>
    <x v="7"/>
    <x v="2"/>
    <s v="cat"/>
    <s v="Unknow"/>
    <s v="Unknow"/>
    <s v="Unknow"/>
    <s v="manufacturer"/>
    <n v="0"/>
    <x v="0"/>
    <x v="4"/>
    <x v="0"/>
  </r>
  <r>
    <s v="b368759b56dbed0f9e5818fe1f7ca8bd"/>
    <s v="65b6aa01895e9ddce79b482da06dda9d"/>
    <s v="34d40cdaf94010a1d05b0d6212f9e909"/>
    <s v="9e4d1098a3b0f5da39b0bc48f9876645"/>
    <x v="705"/>
    <x v="8"/>
    <x v="0"/>
    <s v="shark"/>
    <s v="Unknow"/>
    <s v="Unknow"/>
    <s v="Unknow"/>
    <s v="reseller"/>
    <n v="0"/>
    <x v="0"/>
    <x v="3"/>
    <x v="0"/>
  </r>
  <r>
    <s v="1ad74caec14332594a6e910b3d183e87"/>
    <s v="8ed21f7ffec3a30e915d8e85eb3c4f72"/>
    <s v="f42a2bd194f7802ab052a815c8de65b7"/>
    <s v="d3d1e91a157ea7f90548eef82f1955e3"/>
    <x v="706"/>
    <x v="13"/>
    <x v="0"/>
    <s v="eagle"/>
    <s v="Unknow"/>
    <s v="Unknow"/>
    <s v="Unknow"/>
    <s v="reseller"/>
    <n v="0"/>
    <x v="0"/>
    <x v="2"/>
    <x v="0"/>
  </r>
  <r>
    <s v="5527123f5a35a024c0f3bf4689e76e7b"/>
    <s v="6a87cbc1ebb8046bb3a851059feb6df3"/>
    <s v="2b63542749aa9caf15f21816da1db341"/>
    <s v="4ef15afb4b2723d8f3d81e51ec7afefe"/>
    <x v="707"/>
    <x v="12"/>
    <x v="6"/>
    <s v="cat"/>
    <b v="1"/>
    <b v="0"/>
    <s v="50-200"/>
    <s v="manufacturer"/>
    <n v="1200"/>
    <x v="0"/>
    <x v="0"/>
    <x v="0"/>
  </r>
  <r>
    <s v="e7d22b2d896aff8c14d0f1f6c7ff151b"/>
    <s v="88cf19ec1fc2c58f161aee259d57142c"/>
    <s v="9d12ef1a7eca3ec58c545c678af7869c"/>
    <s v="85fc447d336637ba1df43e793199fbc8"/>
    <x v="708"/>
    <x v="6"/>
    <x v="2"/>
    <s v="cat"/>
    <s v="Unknow"/>
    <s v="Unknow"/>
    <s v="Unknow"/>
    <s v="reseller"/>
    <n v="0"/>
    <x v="0"/>
    <x v="0"/>
    <x v="0"/>
  </r>
  <r>
    <s v="062eb81d4674705d10c8ecb848358cb3"/>
    <s v="1c16af6213cf83914774c6490065da81"/>
    <s v="09285259593c61296eef10c734121d5b"/>
    <s v="de63de0d10a6012430098db33c679b0b"/>
    <x v="709"/>
    <x v="13"/>
    <x v="0"/>
    <s v="cat"/>
    <s v="Unknow"/>
    <s v="Unknow"/>
    <s v="Unknow"/>
    <s v="reseller"/>
    <n v="0"/>
    <x v="0"/>
    <x v="3"/>
    <x v="0"/>
  </r>
  <r>
    <s v="c18171305e73faabfa61d61c41a420ae"/>
    <s v="0b1ca3ef18a63d7eb0c8897fa0849c08"/>
    <s v="fdb16d3cbbeb5798f2f66c4096be026d"/>
    <s v="6565aa9ce3178a5caf6171827af3a9ba"/>
    <x v="710"/>
    <x v="4"/>
    <x v="1"/>
    <s v="Unknow"/>
    <s v="Unknow"/>
    <s v="Unknow"/>
    <s v="Unknow"/>
    <s v="manufacturer"/>
    <n v="0"/>
    <x v="0"/>
    <x v="0"/>
    <x v="0"/>
  </r>
  <r>
    <s v="713db6add2b5e85a240d2daffd3e9dab"/>
    <s v="f3c38ab652836d21de61fb8314b69182"/>
    <s v="9d12ef1a7eca3ec58c545c678af7869c"/>
    <s v="4ef15afb4b2723d8f3d81e51ec7afefe"/>
    <x v="711"/>
    <x v="5"/>
    <x v="3"/>
    <s v="cat"/>
    <s v="Unknow"/>
    <s v="Unknow"/>
    <s v="Unknow"/>
    <s v="reseller"/>
    <n v="0"/>
    <x v="0"/>
    <x v="2"/>
    <x v="0"/>
  </r>
  <r>
    <s v="2c30dbced2ca2da386510d7416679269"/>
    <s v="d598f929fc44e1e38678e7f47250ec04"/>
    <s v="56bf83c4bb35763a51c2baab501b4c67"/>
    <s v="495d4e95a8cf8bbf8b432b612a2aa328"/>
    <x v="712"/>
    <x v="1"/>
    <x v="1"/>
    <s v="cat"/>
    <s v="Unknow"/>
    <s v="Unknow"/>
    <s v="Unknow"/>
    <s v="reseller"/>
    <n v="0"/>
    <x v="0"/>
    <x v="0"/>
    <x v="0"/>
  </r>
  <r>
    <s v="a253f7f97019cf1a2c74eed3ce23db58"/>
    <s v="f1fd6779d8d9afe83f4135a22903f22b"/>
    <s v="4b339f9567d060bcea4f5136b9f5949e"/>
    <s v="85fc447d336637ba1df43e793199fbc8"/>
    <x v="713"/>
    <x v="0"/>
    <x v="1"/>
    <s v="cat"/>
    <s v="Unknow"/>
    <s v="Unknow"/>
    <s v="Unknow"/>
    <s v="manufacturer"/>
    <n v="0"/>
    <x v="0"/>
    <x v="3"/>
    <x v="0"/>
  </r>
  <r>
    <s v="f812d76fe4aaf25c32584b9597915c61"/>
    <s v="36637850ddda5031f5bcf5499dd955a3"/>
    <s v="9e4d1098a3b0f5da39b0bc48f9876645"/>
    <s v="4ef15afb4b2723d8f3d81e51ec7afefe"/>
    <x v="714"/>
    <x v="6"/>
    <x v="0"/>
    <s v="cat"/>
    <s v="Unknow"/>
    <s v="Unknow"/>
    <s v="Unknow"/>
    <s v="reseller"/>
    <n v="0"/>
    <x v="0"/>
    <x v="3"/>
    <x v="0"/>
  </r>
  <r>
    <s v="07f26c1e7d2873a9e6860909c00075c2"/>
    <s v="134c69b4dff67e40a022dd8bf81e002e"/>
    <s v="0a0fb2b07d841f84fb6714e35c723075"/>
    <s v="85fc447d336637ba1df43e793199fbc8"/>
    <x v="715"/>
    <x v="7"/>
    <x v="4"/>
    <s v="eagle"/>
    <s v="Unknow"/>
    <s v="Unknow"/>
    <s v="Unknow"/>
    <s v="reseller"/>
    <n v="0"/>
    <x v="0"/>
    <x v="2"/>
    <x v="0"/>
  </r>
  <r>
    <s v="dcb63974e7efcb5cf46738cb2a22edf1"/>
    <s v="34f563c82a85b99ae9e6d60db5fc2e28"/>
    <s v="09285259593c61296eef10c734121d5b"/>
    <s v="d3d1e91a157ea7f90548eef82f1955e3"/>
    <x v="716"/>
    <x v="19"/>
    <x v="0"/>
    <s v="eagle"/>
    <s v="Unknow"/>
    <s v="Unknow"/>
    <s v="Unknow"/>
    <s v="reseller"/>
    <n v="0"/>
    <x v="0"/>
    <x v="0"/>
    <x v="0"/>
  </r>
  <r>
    <s v="9729df58c832dc4574b1c382191df44a"/>
    <s v="a7a9b880c49781da66651ccf4ba9ac38"/>
    <s v="9e4d1098a3b0f5da39b0bc48f9876645"/>
    <s v="85fc447d336637ba1df43e793199fbc8"/>
    <x v="717"/>
    <x v="13"/>
    <x v="4"/>
    <s v="cat"/>
    <s v="Unknow"/>
    <s v="Unknow"/>
    <s v="Unknow"/>
    <s v="reseller"/>
    <n v="0"/>
    <x v="0"/>
    <x v="2"/>
    <x v="0"/>
  </r>
  <r>
    <s v="fa7482659fd71e6e233eadf4dbf3ed4e"/>
    <s v="bf1f3d5402ed867f05bed505a3b2a05a"/>
    <s v="de63de0d10a6012430098db33c679b0b"/>
    <s v="4ef15afb4b2723d8f3d81e51ec7afefe"/>
    <x v="718"/>
    <x v="9"/>
    <x v="4"/>
    <s v="cat"/>
    <s v="Unknow"/>
    <s v="Unknow"/>
    <s v="Unknow"/>
    <s v="reseller"/>
    <n v="0"/>
    <x v="0"/>
    <x v="3"/>
    <x v="0"/>
  </r>
  <r>
    <s v="a6bf24ce0939b46b6536e02a3d244cc3"/>
    <s v="ba87e2cbb33c1412290b8ccc37301672"/>
    <s v="4b339f9567d060bcea4f5136b9f5949e"/>
    <s v="060c0a26f19f4d66b42e0d8796688490"/>
    <x v="719"/>
    <x v="3"/>
    <x v="1"/>
    <s v="wolf"/>
    <s v="Unknow"/>
    <s v="Unknow"/>
    <s v="Unknow"/>
    <s v="manufacturer"/>
    <n v="0"/>
    <x v="0"/>
    <x v="7"/>
    <x v="0"/>
  </r>
  <r>
    <s v="c184064068f67936a71e38a4e6a9e78e"/>
    <s v="28872dc528e978a639754bc8c2ce5a4c"/>
    <s v="4b339f9567d060bcea4f5136b9f5949e"/>
    <s v="de63de0d10a6012430098db33c679b0b"/>
    <x v="720"/>
    <x v="6"/>
    <x v="0"/>
    <s v="cat"/>
    <s v="Unknow"/>
    <s v="Unknow"/>
    <s v="Unknow"/>
    <s v="manufacturer"/>
    <n v="0"/>
    <x v="0"/>
    <x v="2"/>
    <x v="0"/>
  </r>
  <r>
    <s v="205a11a1b97d7e8bdb33aa6c36f3ef2a"/>
    <s v="758fbe94c656fc484d204e7d60808484"/>
    <s v="068066e24f0c643eb1d089c7dd20cd73"/>
    <s v="fbf4aef3f6915dc0c3c97d6812522f6a"/>
    <x v="721"/>
    <x v="7"/>
    <x v="0"/>
    <s v="cat"/>
    <s v="Unknow"/>
    <s v="Unknow"/>
    <s v="Unknow"/>
    <s v="reseller"/>
    <n v="0"/>
    <x v="0"/>
    <x v="4"/>
    <x v="0"/>
  </r>
  <r>
    <s v="a8da3378b39d078f77361620c9481ffb"/>
    <s v="64c9a1db4e73e19aaafd3286dc448c96"/>
    <s v="0a0fb2b07d841f84fb6714e35c723075"/>
    <s v="6565aa9ce3178a5caf6171827af3a9ba"/>
    <x v="722"/>
    <x v="6"/>
    <x v="0"/>
    <s v="cat"/>
    <b v="1"/>
    <b v="1"/>
    <s v="5-20"/>
    <s v="reseller"/>
    <n v="0"/>
    <x v="0"/>
    <x v="0"/>
    <x v="0"/>
  </r>
  <r>
    <s v="3e1d9bee7fa8982cbd0dd0c0aa5ce905"/>
    <s v="271c58a1d139c45eaf3316107c6d3a3b"/>
    <s v="4b339f9567d060bcea4f5136b9f5949e"/>
    <s v="060c0a26f19f4d66b42e0d8796688490"/>
    <x v="723"/>
    <x v="21"/>
    <x v="6"/>
    <s v="cat"/>
    <s v="Unknow"/>
    <s v="Unknow"/>
    <s v="Unknow"/>
    <s v="reseller"/>
    <n v="0"/>
    <x v="0"/>
    <x v="0"/>
    <x v="0"/>
  </r>
  <r>
    <s v="051cb0d72dcd23f16842e894f5c46051"/>
    <s v="6548c2550b6e2d8f18053216e1c7b6f3"/>
    <s v="a8387c01a09e99ce014107505b92388c"/>
    <s v="4ef15afb4b2723d8f3d81e51ec7afefe"/>
    <x v="724"/>
    <x v="6"/>
    <x v="0"/>
    <s v="cat"/>
    <s v="Unknow"/>
    <s v="Unknow"/>
    <s v="Unknow"/>
    <s v="manufacturer"/>
    <n v="0"/>
    <x v="0"/>
    <x v="0"/>
    <x v="0"/>
  </r>
  <r>
    <s v="2008b6bfa59e4d81791f9ecbfd9f1a75"/>
    <s v="41b14765bd56c8ad10971074380f9c0c"/>
    <s v="4b339f9567d060bcea4f5136b9f5949e"/>
    <s v="d3d1e91a157ea7f90548eef82f1955e3"/>
    <x v="725"/>
    <x v="5"/>
    <x v="1"/>
    <s v="Unknow"/>
    <s v="Unknow"/>
    <s v="Unknow"/>
    <s v="Unknow"/>
    <s v="reseller"/>
    <n v="0"/>
    <x v="0"/>
    <x v="2"/>
    <x v="0"/>
  </r>
  <r>
    <s v="5ac050d44e6476acecf88969950cf3a2"/>
    <s v="85222e25007ce95bf79c00f643d1e436"/>
    <s v="56bf83c4bb35763a51c2baab501b4c67"/>
    <s v="4ef15afb4b2723d8f3d81e51ec7afefe"/>
    <x v="726"/>
    <x v="4"/>
    <x v="4"/>
    <s v="Unknow"/>
    <s v="Unknow"/>
    <s v="Unknow"/>
    <s v="Unknow"/>
    <s v="manufacturer"/>
    <n v="0"/>
    <x v="0"/>
    <x v="0"/>
    <x v="0"/>
  </r>
  <r>
    <s v="0e9c14002f9268601c57837930261014"/>
    <s v="6eeed17989b0ae47c9f11ece6f38ea90"/>
    <s v="9d12ef1a7eca3ec58c545c678af7869c"/>
    <s v="fbf4aef3f6915dc0c3c97d6812522f6a"/>
    <x v="727"/>
    <x v="1"/>
    <x v="0"/>
    <s v="eagle"/>
    <s v="Unknow"/>
    <s v="Unknow"/>
    <s v="Unknow"/>
    <s v="reseller"/>
    <n v="0"/>
    <x v="0"/>
    <x v="3"/>
    <x v="0"/>
  </r>
  <r>
    <s v="baf5ecd84c6a8766519b98f66eec1511"/>
    <s v="e5d7bbbca541b3b39e1649f94074b963"/>
    <s v="b90f87164b5f8c2cfa5c8572834dbe3f"/>
    <s v="4ef15afb4b2723d8f3d81e51ec7afefe"/>
    <x v="728"/>
    <x v="4"/>
    <x v="2"/>
    <s v="cat"/>
    <s v="Unknow"/>
    <s v="Unknow"/>
    <s v="Unknow"/>
    <s v="reseller"/>
    <n v="0"/>
    <x v="0"/>
    <x v="7"/>
    <x v="0"/>
  </r>
  <r>
    <s v="7e4bb8c8f3bdcbece5996f24ba507120"/>
    <s v="843c73eda46e28b278031033b616bc8e"/>
    <s v="4b339f9567d060bcea4f5136b9f5949e"/>
    <s v="de63de0d10a6012430098db33c679b0b"/>
    <x v="729"/>
    <x v="12"/>
    <x v="1"/>
    <s v="wolf"/>
    <b v="1"/>
    <b v="1"/>
    <s v="Unknow"/>
    <s v="manufacturer"/>
    <n v="100"/>
    <x v="0"/>
    <x v="2"/>
    <x v="0"/>
  </r>
  <r>
    <s v="b4abf3d319afe2544a5dd0966141ef10"/>
    <s v="876300c1c122f7fafd3ba74a478221f4"/>
    <s v="323cff2ceea1814239bc2c7e614d260d"/>
    <s v="068066e24f0c643eb1d089c7dd20cd73"/>
    <x v="730"/>
    <x v="19"/>
    <x v="0"/>
    <s v="cat"/>
    <b v="1"/>
    <s v="Unknow"/>
    <s v="1-5"/>
    <s v="reseller"/>
    <n v="2"/>
    <x v="2"/>
    <x v="2"/>
    <x v="1"/>
  </r>
  <r>
    <s v="ee68544f42eef8386730823cff7446cc"/>
    <s v="8f28d70a98ca556691300d08ebdddc88"/>
    <s v="370c9f455f93a9a96cbe9bea48e70033"/>
    <s v="4ef15afb4b2723d8f3d81e51ec7afefe"/>
    <x v="731"/>
    <x v="12"/>
    <x v="2"/>
    <s v="cat"/>
    <s v="Unknow"/>
    <s v="Unknow"/>
    <s v="Unknow"/>
    <s v="manufacturer"/>
    <n v="0"/>
    <x v="0"/>
    <x v="2"/>
    <x v="0"/>
  </r>
  <r>
    <s v="01c629f6b8f2460aa362f29caaaa0a8e"/>
    <s v="99cd94252748d2bdde08e17858233602"/>
    <s v="09285259593c61296eef10c734121d5b"/>
    <s v="fbf4aef3f6915dc0c3c97d6812522f6a"/>
    <x v="732"/>
    <x v="0"/>
    <x v="0"/>
    <s v="shark"/>
    <s v="Unknow"/>
    <s v="Unknow"/>
    <s v="Unknow"/>
    <s v="reseller"/>
    <n v="0"/>
    <x v="0"/>
    <x v="5"/>
    <x v="0"/>
  </r>
  <r>
    <s v="287915711d06ce6d90e2c18e1d89d3a6"/>
    <s v="6f83d9e4da896daae20b9b6b2d3ff8d2"/>
    <s v="56bf83c4bb35763a51c2baab501b4c67"/>
    <s v="d3d1e91a157ea7f90548eef82f1955e3"/>
    <x v="733"/>
    <x v="6"/>
    <x v="1"/>
    <s v="eagle"/>
    <s v="Unknow"/>
    <s v="Unknow"/>
    <s v="Unknow"/>
    <s v="reseller"/>
    <n v="0"/>
    <x v="0"/>
    <x v="0"/>
    <x v="0"/>
  </r>
  <r>
    <s v="af8ba6e9ccdd2960424f19b3cfb54baf"/>
    <s v="e6341a38a2e15b8834ac0410015547e4"/>
    <s v="068066e24f0c643eb1d089c7dd20cd73"/>
    <s v="fbf4aef3f6915dc0c3c97d6812522f6a"/>
    <x v="734"/>
    <x v="4"/>
    <x v="1"/>
    <s v="cat"/>
    <s v="Unknow"/>
    <s v="Unknow"/>
    <s v="Unknow"/>
    <s v="reseller"/>
    <n v="0"/>
    <x v="0"/>
    <x v="3"/>
    <x v="0"/>
  </r>
  <r>
    <s v="7f1a58f7b373d68560c1cf8e340e87ae"/>
    <s v="0b7589387392dd2e2458f86606aa2a99"/>
    <s v="370c9f455f93a9a96cbe9bea48e70033"/>
    <s v="34d40cdaf94010a1d05b0d6212f9e909"/>
    <x v="735"/>
    <x v="1"/>
    <x v="0"/>
    <s v="cat"/>
    <s v="Unknow"/>
    <s v="Unknow"/>
    <s v="Unknow"/>
    <s v="reseller"/>
    <n v="0"/>
    <x v="0"/>
    <x v="0"/>
    <x v="0"/>
  </r>
  <r>
    <s v="66ff0b5dbb060ef47f756d33cf170f97"/>
    <s v="dc50afafdfa325eadc890c7fa42a8f4e"/>
    <s v="4b339f9567d060bcea4f5136b9f5949e"/>
    <s v="fbf4aef3f6915dc0c3c97d6812522f6a"/>
    <x v="736"/>
    <x v="19"/>
    <x v="2"/>
    <s v="cat"/>
    <s v="Unknow"/>
    <s v="Unknow"/>
    <s v="Unknow"/>
    <s v="reseller"/>
    <n v="0"/>
    <x v="0"/>
    <x v="7"/>
    <x v="0"/>
  </r>
  <r>
    <s v="d636a570e9dc6d962ffce7426b8b53ad"/>
    <s v="75e645bd511287258a5afc20acd4e338"/>
    <s v="34d40cdaf94010a1d05b0d6212f9e909"/>
    <s v="4ef15afb4b2723d8f3d81e51ec7afefe"/>
    <x v="737"/>
    <x v="21"/>
    <x v="4"/>
    <s v="eagle"/>
    <s v="Unknow"/>
    <s v="Unknow"/>
    <s v="Unknow"/>
    <s v="manufacturer"/>
    <n v="0"/>
    <x v="0"/>
    <x v="5"/>
    <x v="0"/>
  </r>
  <r>
    <s v="3b7585682efa3f3cb07b4e7ae6ec53d4"/>
    <s v="af3ef48d0e13835e529c29ac573c63e5"/>
    <s v="09285259593c61296eef10c734121d5b"/>
    <s v="d3d1e91a157ea7f90548eef82f1955e3"/>
    <x v="738"/>
    <x v="0"/>
    <x v="5"/>
    <s v="cat"/>
    <s v="Unknow"/>
    <s v="Unknow"/>
    <s v="Unknow"/>
    <s v="manufacturer"/>
    <n v="0"/>
    <x v="0"/>
    <x v="3"/>
    <x v="0"/>
  </r>
  <r>
    <s v="680fd12be44eee12aee2a2e023438a5d"/>
    <s v="535bf14f36346c7f59d87cece104d70c"/>
    <s v="45749fb708130f78d0db07d8d80f030b"/>
    <s v="9d12ef1a7eca3ec58c545c678af7869c"/>
    <x v="739"/>
    <x v="12"/>
    <x v="0"/>
    <s v="wolf"/>
    <b v="1"/>
    <b v="0"/>
    <s v="5-20"/>
    <s v="manufacturer"/>
    <n v="0"/>
    <x v="0"/>
    <x v="2"/>
    <x v="0"/>
  </r>
  <r>
    <s v="cb0f32260247ecac66b2954d6320f6be"/>
    <s v="7e165d0fd266781dbf944faf150e265b"/>
    <s v="de63de0d10a6012430098db33c679b0b"/>
    <s v="d3d1e91a157ea7f90548eef82f1955e3"/>
    <x v="740"/>
    <x v="12"/>
    <x v="2"/>
    <s v="wolf"/>
    <b v="1"/>
    <b v="1"/>
    <s v="5-20"/>
    <s v="manufacturer"/>
    <n v="550"/>
    <x v="24"/>
    <x v="0"/>
    <x v="1"/>
  </r>
  <r>
    <s v="962ebbfe9e9c53b566b6c107b19f4bba"/>
    <s v="da3b4c4b11a5be0f29634d1e6bb7dce0"/>
    <s v="068066e24f0c643eb1d089c7dd20cd73"/>
    <s v="495d4e95a8cf8bbf8b432b612a2aa328"/>
    <x v="741"/>
    <x v="4"/>
    <x v="0"/>
    <s v="Unknow"/>
    <s v="Unknow"/>
    <s v="Unknow"/>
    <s v="Unknow"/>
    <s v="reseller"/>
    <n v="0"/>
    <x v="0"/>
    <x v="4"/>
    <x v="0"/>
  </r>
  <r>
    <s v="a7aef852029ddd8bba20bf60b536415b"/>
    <s v="5dc203c7b84a0e71e878a179de05fb9a"/>
    <s v="9e4d1098a3b0f5da39b0bc48f9876645"/>
    <s v="4ef15afb4b2723d8f3d81e51ec7afefe"/>
    <x v="742"/>
    <x v="7"/>
    <x v="1"/>
    <s v="eagle"/>
    <s v="Unknow"/>
    <s v="Unknow"/>
    <s v="Unknow"/>
    <s v="reseller"/>
    <n v="0"/>
    <x v="0"/>
    <x v="0"/>
    <x v="0"/>
  </r>
  <r>
    <s v="ce721edac2d10ef0b2ee26c40924d7a5"/>
    <s v="710b15ab273348b3db04d636937061c3"/>
    <s v="b1b3ec93fc27a19fdb1c1b1fc997776a"/>
    <s v="6aa3b86a83d784b05f0e37e26b20860d"/>
    <x v="743"/>
    <x v="6"/>
    <x v="0"/>
    <s v="cat, wolf"/>
    <b v="1"/>
    <b v="1"/>
    <s v="Unknow"/>
    <s v="reseller"/>
    <n v="50"/>
    <x v="25"/>
    <x v="3"/>
    <x v="2"/>
  </r>
  <r>
    <s v="6548cf02964800e58014e5040bb14e01"/>
    <s v="88cd3681e0a2ba85e190f7d817629c4c"/>
    <s v="b90f87164b5f8c2cfa5c8572834dbe3f"/>
    <s v="2695de1affa7750089c0455f8ce27021"/>
    <x v="744"/>
    <x v="1"/>
    <x v="2"/>
    <s v="eagle"/>
    <s v="Unknow"/>
    <s v="Unknow"/>
    <s v="Unknow"/>
    <s v="reseller"/>
    <n v="0"/>
    <x v="0"/>
    <x v="2"/>
    <x v="0"/>
  </r>
  <r>
    <s v="239771729fe22c7c1bdbf136f7304eed"/>
    <s v="b586cd24c010a13916af621b0325fbba"/>
    <s v="f42a2bd194f7802ab052a815c8de65b7"/>
    <s v="de63de0d10a6012430098db33c679b0b"/>
    <x v="745"/>
    <x v="12"/>
    <x v="6"/>
    <s v="cat"/>
    <s v="Unknow"/>
    <s v="Unknow"/>
    <s v="Unknow"/>
    <s v="reseller"/>
    <n v="0"/>
    <x v="0"/>
    <x v="0"/>
    <x v="0"/>
  </r>
  <r>
    <s v="2f9e00b759f8d090d2d2ecae1347104f"/>
    <s v="fe3d2c21fe1b15298d60a0792621ddf8"/>
    <s v="56bf83c4bb35763a51c2baab501b4c67"/>
    <s v="de63de0d10a6012430098db33c679b0b"/>
    <x v="746"/>
    <x v="1"/>
    <x v="1"/>
    <s v="eagle"/>
    <s v="Unknow"/>
    <s v="Unknow"/>
    <s v="Unknow"/>
    <s v="reseller"/>
    <n v="0"/>
    <x v="0"/>
    <x v="0"/>
    <x v="0"/>
  </r>
  <r>
    <s v="ee577c86d39b672b84ced795d14380dc"/>
    <s v="6836558ca75302628900564ce7c67cf9"/>
    <s v="56bf83c4bb35763a51c2baab501b4c67"/>
    <s v="d3d1e91a157ea7f90548eef82f1955e3"/>
    <x v="747"/>
    <x v="15"/>
    <x v="5"/>
    <s v="Unknow"/>
    <s v="Unknow"/>
    <s v="Unknow"/>
    <s v="Unknow"/>
    <s v="manufacturer"/>
    <n v="0"/>
    <x v="0"/>
    <x v="0"/>
    <x v="0"/>
  </r>
  <r>
    <s v="87db7aea88a3ae9304944ae954c6a420"/>
    <s v="7c8a7bb451a5a4e8813352670a8b9a22"/>
    <s v="09285259593c61296eef10c734121d5b"/>
    <s v="de63de0d10a6012430098db33c679b0b"/>
    <x v="748"/>
    <x v="6"/>
    <x v="0"/>
    <s v="cat"/>
    <s v="Unknow"/>
    <s v="Unknow"/>
    <s v="Unknow"/>
    <s v="reseller"/>
    <n v="0"/>
    <x v="0"/>
    <x v="2"/>
    <x v="0"/>
  </r>
  <r>
    <s v="5f87a3fcca7c117d0f4186749a5c6c59"/>
    <s v="df6a52d41f39ce14aa6df3af06e98e71"/>
    <s v="4b339f9567d060bcea4f5136b9f5949e"/>
    <s v="fbf4aef3f6915dc0c3c97d6812522f6a"/>
    <x v="749"/>
    <x v="4"/>
    <x v="0"/>
    <s v="eagle"/>
    <s v="Unknow"/>
    <s v="Unknow"/>
    <s v="Unknow"/>
    <s v="reseller"/>
    <n v="0"/>
    <x v="0"/>
    <x v="4"/>
    <x v="0"/>
  </r>
  <r>
    <s v="d15288d9955379f7bde91577c9177310"/>
    <s v="6cbd0872de0e3e92a1b90f229aac6e61"/>
    <s v="a8387c01a09e99ce014107505b92388c"/>
    <s v="9ae085775a198122c5586fa830ff7f2b"/>
    <x v="750"/>
    <x v="12"/>
    <x v="0"/>
    <s v="wolf"/>
    <s v="Unknow"/>
    <s v="Unknow"/>
    <s v="Unknow"/>
    <s v="reseller"/>
    <n v="0"/>
    <x v="0"/>
    <x v="3"/>
    <x v="0"/>
  </r>
  <r>
    <s v="186f0892f13de5443c0b6d042a6ddde0"/>
    <s v="d566c37fa119d5e66c4e9052e83ee4ea"/>
    <s v="068066e24f0c643eb1d089c7dd20cd73"/>
    <s v="495d4e95a8cf8bbf8b432b612a2aa328"/>
    <x v="751"/>
    <x v="9"/>
    <x v="2"/>
    <s v="cat"/>
    <s v="Unknow"/>
    <s v="Unknow"/>
    <s v="Unknow"/>
    <s v="reseller"/>
    <n v="0"/>
    <x v="0"/>
    <x v="0"/>
    <x v="0"/>
  </r>
  <r>
    <s v="7fc2067b7f0e5d86dd4dfa1340b93910"/>
    <s v="e116c7455dd26a4d8c3e92532583905f"/>
    <s v="4b339f9567d060bcea4f5136b9f5949e"/>
    <s v="9ae085775a198122c5586fa830ff7f2b"/>
    <x v="644"/>
    <x v="4"/>
    <x v="2"/>
    <s v="Unknow"/>
    <s v="Unknow"/>
    <s v="Unknow"/>
    <s v="Unknow"/>
    <s v="reseller"/>
    <n v="0"/>
    <x v="0"/>
    <x v="3"/>
    <x v="0"/>
  </r>
  <r>
    <s v="a3980fc1d4915887bc4b815080e58a00"/>
    <s v="611aa09794938387efe774f5abf64c03"/>
    <s v="4b339f9567d060bcea4f5136b9f5949e"/>
    <s v="fbf4aef3f6915dc0c3c97d6812522f6a"/>
    <x v="752"/>
    <x v="12"/>
    <x v="0"/>
    <s v="cat"/>
    <s v="Unknow"/>
    <s v="Unknow"/>
    <s v="Unknow"/>
    <s v="reseller"/>
    <n v="0"/>
    <x v="0"/>
    <x v="0"/>
    <x v="0"/>
  </r>
  <r>
    <s v="de4dbaab116c6ce122ca050041e1546f"/>
    <s v="bf00385a5f7fc1ef39a13c2e9ee50a5f"/>
    <s v="de63de0d10a6012430098db33c679b0b"/>
    <s v="9ae085775a198122c5586fa830ff7f2b"/>
    <x v="753"/>
    <x v="19"/>
    <x v="2"/>
    <s v="cat"/>
    <s v="Unknow"/>
    <s v="Unknow"/>
    <s v="Unknow"/>
    <s v="reseller"/>
    <n v="0"/>
    <x v="0"/>
    <x v="5"/>
    <x v="0"/>
  </r>
  <r>
    <s v="af37f5b0de67364f54d9b53d8e8afbfa"/>
    <s v="27bcbf1bcae4a9c14c54627933160f37"/>
    <s v="b90f87164b5f8c2cfa5c8572834dbe3f"/>
    <s v="4b339f9567d060bcea4f5136b9f5949e"/>
    <x v="754"/>
    <x v="12"/>
    <x v="1"/>
    <s v="cat"/>
    <b v="1"/>
    <b v="1"/>
    <s v="200+"/>
    <s v="manufacturer"/>
    <n v="0"/>
    <x v="0"/>
    <x v="0"/>
    <x v="0"/>
  </r>
  <r>
    <s v="660110aa3162f77605b07eec19f1e20a"/>
    <s v="dbc7e4c98a58fa8731412f4da2f43cb4"/>
    <s v="a8387c01a09e99ce014107505b92388c"/>
    <s v="4ef15afb4b2723d8f3d81e51ec7afefe"/>
    <x v="9"/>
    <x v="6"/>
    <x v="6"/>
    <s v="cat"/>
    <s v="Unknow"/>
    <s v="Unknow"/>
    <s v="Unknow"/>
    <s v="reseller"/>
    <n v="0"/>
    <x v="0"/>
    <x v="2"/>
    <x v="0"/>
  </r>
  <r>
    <s v="c2385a5e739790f3b8c1d459abee3e5b"/>
    <s v="7aa286758114fcd93df587a1e23301ed"/>
    <s v="068066e24f0c643eb1d089c7dd20cd73"/>
    <s v="2695de1affa7750089c0455f8ce27021"/>
    <x v="755"/>
    <x v="29"/>
    <x v="0"/>
    <s v="cat"/>
    <s v="Unknow"/>
    <s v="Unknow"/>
    <s v="Unknow"/>
    <s v="manufacturer"/>
    <n v="0"/>
    <x v="0"/>
    <x v="0"/>
    <x v="0"/>
  </r>
  <r>
    <s v="a8aa308791fc464208fb025038454c24"/>
    <s v="818d9691c76fabaf6b491f6a9baefad9"/>
    <s v="0a0fb2b07d841f84fb6714e35c723075"/>
    <s v="de63de0d10a6012430098db33c679b0b"/>
    <x v="756"/>
    <x v="12"/>
    <x v="2"/>
    <s v="cat"/>
    <s v="Unknow"/>
    <s v="Unknow"/>
    <s v="Unknow"/>
    <s v="manufacturer"/>
    <n v="0"/>
    <x v="0"/>
    <x v="0"/>
    <x v="0"/>
  </r>
  <r>
    <s v="144194b941960b62a1217cc9d27ebdbe"/>
    <s v="a46cc8988e2dc21616cc0b2cec80be4b"/>
    <s v="068066e24f0c643eb1d089c7dd20cd73"/>
    <s v="d3d1e91a157ea7f90548eef82f1955e3"/>
    <x v="757"/>
    <x v="7"/>
    <x v="1"/>
    <s v="cat"/>
    <s v="Unknow"/>
    <s v="Unknow"/>
    <s v="Unknow"/>
    <s v="manufacturer"/>
    <n v="0"/>
    <x v="0"/>
    <x v="3"/>
    <x v="0"/>
  </r>
  <r>
    <s v="7e0a3b03133c5c75330162fee599e5f5"/>
    <s v="bb2eca0468c9088bd9a146c8d6c72e0b"/>
    <s v="de63de0d10a6012430098db33c679b0b"/>
    <s v="d3d1e91a157ea7f90548eef82f1955e3"/>
    <x v="758"/>
    <x v="7"/>
    <x v="6"/>
    <s v="Unknow"/>
    <s v="Unknow"/>
    <s v="Unknow"/>
    <s v="Unknow"/>
    <s v="reseller"/>
    <n v="0"/>
    <x v="0"/>
    <x v="0"/>
    <x v="0"/>
  </r>
  <r>
    <s v="b466c22d12d52c8a0d3792d2eb44b828"/>
    <s v="623ad9d0c1e14bb5464a8c72bff7b4af"/>
    <s v="4b339f9567d060bcea4f5136b9f5949e"/>
    <s v="6565aa9ce3178a5caf6171827af3a9ba"/>
    <x v="759"/>
    <x v="6"/>
    <x v="2"/>
    <s v="wolf"/>
    <s v="Unknow"/>
    <s v="Unknow"/>
    <s v="Unknow"/>
    <s v="manufacturer"/>
    <n v="0"/>
    <x v="0"/>
    <x v="2"/>
    <x v="0"/>
  </r>
  <r>
    <s v="de0fcd75c97ecea4ebbb534ea6476743"/>
    <s v="639541c9c4a8a5b34424cac6f81f6be7"/>
    <s v="9d12ef1a7eca3ec58c545c678af7869c"/>
    <s v="6565aa9ce3178a5caf6171827af3a9ba"/>
    <x v="760"/>
    <x v="27"/>
    <x v="0"/>
    <s v="cat"/>
    <s v="Unknow"/>
    <s v="Unknow"/>
    <s v="Unknow"/>
    <s v="reseller"/>
    <n v="0"/>
    <x v="0"/>
    <x v="3"/>
    <x v="0"/>
  </r>
  <r>
    <s v="c2102c66aa81e5c07f72cd88e46d091d"/>
    <s v="649d307ba392e2cc6cedc7888f51923d"/>
    <s v="f42a2bd194f7802ab052a815c8de65b7"/>
    <s v="2695de1affa7750089c0455f8ce27021"/>
    <x v="761"/>
    <x v="1"/>
    <x v="4"/>
    <s v="cat"/>
    <s v="Unknow"/>
    <s v="Unknow"/>
    <s v="Unknow"/>
    <s v="reseller"/>
    <n v="0"/>
    <x v="0"/>
    <x v="3"/>
    <x v="0"/>
  </r>
  <r>
    <s v="caea756b29bd071f00ce526f40645a78"/>
    <s v="fadb07c842a2aef5d5a676b85f220e71"/>
    <s v="4b339f9567d060bcea4f5136b9f5949e"/>
    <s v="d3d1e91a157ea7f90548eef82f1955e3"/>
    <x v="762"/>
    <x v="9"/>
    <x v="0"/>
    <s v="wolf"/>
    <s v="Unknow"/>
    <s v="Unknow"/>
    <s v="Unknow"/>
    <s v="reseller"/>
    <n v="0"/>
    <x v="0"/>
    <x v="3"/>
    <x v="0"/>
  </r>
  <r>
    <s v="7720c6892d447539b71d8bd9e4d1ef60"/>
    <s v="3786da2e9afd5d55617521bd1685dec0"/>
    <s v="f42a2bd194f7802ab052a815c8de65b7"/>
    <s v="a8387c01a09e99ce014107505b92388c"/>
    <x v="763"/>
    <x v="8"/>
    <x v="0"/>
    <s v="eagle, cat"/>
    <b v="1"/>
    <b v="1"/>
    <s v="0n"/>
    <s v="reseller"/>
    <n v="300"/>
    <x v="9"/>
    <x v="0"/>
    <x v="1"/>
  </r>
  <r>
    <s v="21dd2bb7a4d988443cb303e42afb8316"/>
    <s v="b7bff8fe73a12a5e844c7d83ee1202ff"/>
    <s v="9e4d1098a3b0f5da39b0bc48f9876645"/>
    <s v="c638112b43f1d1b86dcabb0da720c901"/>
    <x v="764"/>
    <x v="18"/>
    <x v="3"/>
    <s v="cat"/>
    <s v="Unknow"/>
    <s v="Unknow"/>
    <s v="Unknow"/>
    <s v="manufacturer"/>
    <n v="0"/>
    <x v="0"/>
    <x v="2"/>
    <x v="0"/>
  </r>
  <r>
    <s v="f0affe8ec1361efcafd1816b5b1c2426"/>
    <s v="09175f552e7526624e8100bdc8d0c92d"/>
    <s v="068066e24f0c643eb1d089c7dd20cd73"/>
    <s v="6565aa9ce3178a5caf6171827af3a9ba"/>
    <x v="765"/>
    <x v="3"/>
    <x v="4"/>
    <s v="Unknow"/>
    <s v="Unknow"/>
    <s v="Unknow"/>
    <s v="Unknow"/>
    <s v="reseller"/>
    <n v="0"/>
    <x v="0"/>
    <x v="5"/>
    <x v="0"/>
  </r>
  <r>
    <s v="0ff0a4ce9abf031dc12194a19ced4ef1"/>
    <s v="a64e44665225d19dfc0277eeeaaccc57"/>
    <s v="9d12ef1a7eca3ec58c545c678af7869c"/>
    <s v="068066e24f0c643eb1d089c7dd20cd73"/>
    <x v="766"/>
    <x v="11"/>
    <x v="0"/>
    <s v="cat"/>
    <s v="Unknow"/>
    <s v="Unknow"/>
    <s v="Unknow"/>
    <s v="manufacturer"/>
    <n v="0"/>
    <x v="0"/>
    <x v="3"/>
    <x v="0"/>
  </r>
  <r>
    <s v="a0ab09eb2842e474a3a5aed12e533a2a"/>
    <s v="6b3bd31ad8fcda4b2635ec9f3ff2ecdf"/>
    <s v="de63de0d10a6012430098db33c679b0b"/>
    <s v="d3d1e91a157ea7f90548eef82f1955e3"/>
    <x v="767"/>
    <x v="11"/>
    <x v="3"/>
    <s v="Unknow"/>
    <s v="Unknow"/>
    <s v="Unknow"/>
    <s v="Unknow"/>
    <s v="reseller"/>
    <n v="0"/>
    <x v="0"/>
    <x v="2"/>
    <x v="0"/>
  </r>
  <r>
    <s v="c6a3a2c5533022519407029f38d214fa"/>
    <s v="a84e05448dd8286412b96fddf603db26"/>
    <s v="56bf83c4bb35763a51c2baab501b4c67"/>
    <s v="495d4e95a8cf8bbf8b432b612a2aa328"/>
    <x v="768"/>
    <x v="9"/>
    <x v="0"/>
    <s v="cat"/>
    <s v="Unknow"/>
    <s v="Unknow"/>
    <s v="Unknow"/>
    <s v="manufacturer"/>
    <n v="0"/>
    <x v="0"/>
    <x v="3"/>
    <x v="0"/>
  </r>
  <r>
    <s v="1785cff273aedbd875c814b46928ad7f"/>
    <s v="213fafb0ca06fb3d5886579c2565791b"/>
    <s v="4b339f9567d060bcea4f5136b9f5949e"/>
    <s v="6565aa9ce3178a5caf6171827af3a9ba"/>
    <x v="769"/>
    <x v="19"/>
    <x v="2"/>
    <s v="cat"/>
    <s v="Unknow"/>
    <s v="Unknow"/>
    <s v="Unknow"/>
    <s v="reseller"/>
    <n v="0"/>
    <x v="0"/>
    <x v="7"/>
    <x v="0"/>
  </r>
  <r>
    <s v="a57bf18e19b6b17e3d4fbc20561e2055"/>
    <s v="2a17b229ca84523393b003b7e0bfae63"/>
    <s v="f42a2bd194f7802ab052a815c8de65b7"/>
    <s v="9d12ef1a7eca3ec58c545c678af7869c"/>
    <x v="770"/>
    <x v="8"/>
    <x v="3"/>
    <s v="eagle, cat"/>
    <b v="1"/>
    <b v="0"/>
    <s v="0n"/>
    <s v="manufacturer"/>
    <n v="100"/>
    <x v="21"/>
    <x v="0"/>
    <x v="1"/>
  </r>
  <r>
    <s v="eb454ad6be830064d49727814426bb6e"/>
    <s v="e0a3c37054ade6478d923a6efc10f308"/>
    <s v="4b339f9567d060bcea4f5136b9f5949e"/>
    <s v="56bf83c4bb35763a51c2baab501b4c67"/>
    <x v="771"/>
    <x v="25"/>
    <x v="6"/>
    <s v="cat"/>
    <s v="Unknow"/>
    <s v="Unknow"/>
    <s v="Unknow"/>
    <s v="manufacturer"/>
    <n v="0"/>
    <x v="0"/>
    <x v="2"/>
    <x v="0"/>
  </r>
  <r>
    <s v="b14ab177881b4c06b81317c5f2034ede"/>
    <s v="8fb67a334bacec338885b4e9e1708073"/>
    <s v="9d12ef1a7eca3ec58c545c678af7869c"/>
    <s v="fbf4aef3f6915dc0c3c97d6812522f6a"/>
    <x v="772"/>
    <x v="12"/>
    <x v="0"/>
    <s v="cat"/>
    <s v="Unknow"/>
    <s v="Unknow"/>
    <s v="Unknow"/>
    <s v="manufacturer"/>
    <n v="0"/>
    <x v="0"/>
    <x v="2"/>
    <x v="0"/>
  </r>
  <r>
    <s v="921fc9c7fd3ec362c7276f81fa81baf9"/>
    <s v="4a23adac87cf538689fa600d976f78b2"/>
    <s v="b90f87164b5f8c2cfa5c8572834dbe3f"/>
    <s v="85fc447d336637ba1df43e793199fbc8"/>
    <x v="773"/>
    <x v="4"/>
    <x v="1"/>
    <s v="wolf"/>
    <s v="Unknow"/>
    <s v="Unknow"/>
    <s v="Unknow"/>
    <s v="manufacturer"/>
    <n v="0"/>
    <x v="0"/>
    <x v="2"/>
    <x v="0"/>
  </r>
  <r>
    <s v="45b5846f3d142b0748d3dc2ab223ab6b"/>
    <s v="76ea5315acb3f5f7ade3cd261faf922a"/>
    <s v="34d40cdaf94010a1d05b0d6212f9e909"/>
    <s v="4ef15afb4b2723d8f3d81e51ec7afefe"/>
    <x v="774"/>
    <x v="1"/>
    <x v="2"/>
    <s v="cat"/>
    <s v="Unknow"/>
    <s v="Unknow"/>
    <s v="Unknow"/>
    <s v="reseller"/>
    <n v="0"/>
    <x v="0"/>
    <x v="2"/>
    <x v="0"/>
  </r>
  <r>
    <s v="ce518001633ca4e1f2ae4b02f4dcb11f"/>
    <s v="741eb1606348f827baeb4c099fcf1bdd"/>
    <s v="56bf83c4bb35763a51c2baab501b4c67"/>
    <s v="4ef15afb4b2723d8f3d81e51ec7afefe"/>
    <x v="775"/>
    <x v="11"/>
    <x v="4"/>
    <s v="Unknow"/>
    <s v="Unknow"/>
    <s v="Unknow"/>
    <s v="Unknow"/>
    <s v="reseller"/>
    <n v="0"/>
    <x v="0"/>
    <x v="0"/>
    <x v="0"/>
  </r>
  <r>
    <s v="341d4a2ff35fb1a23abe056798b04d41"/>
    <s v="f88adb15807168d3c43d71021090ce4a"/>
    <s v="9e4d1098a3b0f5da39b0bc48f9876645"/>
    <s v="4ef15afb4b2723d8f3d81e51ec7afefe"/>
    <x v="776"/>
    <x v="31"/>
    <x v="0"/>
    <s v="cat"/>
    <s v="Unknow"/>
    <s v="Unknow"/>
    <s v="Unknow"/>
    <s v="reseller"/>
    <n v="0"/>
    <x v="0"/>
    <x v="2"/>
    <x v="0"/>
  </r>
  <r>
    <s v="9542f2f27285580fe8d6aa82e179ed28"/>
    <s v="a359ed4a476430e29909d1415ecacb1d"/>
    <s v="de63de0d10a6012430098db33c679b0b"/>
    <s v="6565aa9ce3178a5caf6171827af3a9ba"/>
    <x v="777"/>
    <x v="12"/>
    <x v="0"/>
    <s v="Unknow"/>
    <s v="Unknow"/>
    <s v="Unknow"/>
    <s v="Unknow"/>
    <s v="reseller"/>
    <n v="0"/>
    <x v="0"/>
    <x v="7"/>
    <x v="0"/>
  </r>
  <r>
    <s v="1217984b38cadfb4b1c15f30a3212680"/>
    <s v="54c04bdb5ec46762f8f08c7e8f86ed4a"/>
    <s v="4b339f9567d060bcea4f5136b9f5949e"/>
    <s v="4ef15afb4b2723d8f3d81e51ec7afefe"/>
    <x v="778"/>
    <x v="11"/>
    <x v="0"/>
    <s v="Unknow"/>
    <s v="Unknow"/>
    <s v="Unknow"/>
    <s v="Unknow"/>
    <s v="reseller"/>
    <n v="0"/>
    <x v="0"/>
    <x v="0"/>
    <x v="0"/>
  </r>
  <r>
    <s v="1b9d7ffccca875a9079e3b57c24a3113"/>
    <s v="8476243f92442881ddd5b578975cf115"/>
    <s v="56bf83c4bb35763a51c2baab501b4c67"/>
    <s v="fbf4aef3f6915dc0c3c97d6812522f6a"/>
    <x v="779"/>
    <x v="19"/>
    <x v="2"/>
    <s v="Unknow"/>
    <s v="Unknow"/>
    <s v="Unknow"/>
    <s v="Unknow"/>
    <s v="reseller"/>
    <n v="0"/>
    <x v="0"/>
    <x v="3"/>
    <x v="0"/>
  </r>
  <r>
    <s v="8b2112b1064c167cfbccbdeb2b5841f2"/>
    <s v="09bad886111255c5b5030314fc7f1a4a"/>
    <s v="de63de0d10a6012430098db33c679b0b"/>
    <s v="4ef15afb4b2723d8f3d81e51ec7afefe"/>
    <x v="780"/>
    <x v="29"/>
    <x v="4"/>
    <s v="Unknow"/>
    <s v="Unknow"/>
    <s v="Unknow"/>
    <s v="Unknow"/>
    <s v="reseller"/>
    <n v="0"/>
    <x v="0"/>
    <x v="3"/>
    <x v="0"/>
  </r>
  <r>
    <s v="878c57ac87b8629049a172596fb9a67d"/>
    <s v="8b286dd43c391bc2d763668067eca963"/>
    <s v="34d40cdaf94010a1d05b0d6212f9e909"/>
    <s v="068066e24f0c643eb1d089c7dd20cd73"/>
    <x v="781"/>
    <x v="11"/>
    <x v="1"/>
    <s v="cat"/>
    <s v="Unknow"/>
    <s v="Unknow"/>
    <s v="Unknow"/>
    <s v="manufacturer"/>
    <n v="0"/>
    <x v="0"/>
    <x v="0"/>
    <x v="0"/>
  </r>
  <r>
    <s v="b7f3b8bcd964f9e44b212cceabacf877"/>
    <s v="07a9a154056e210f17bbacd5e30c024c"/>
    <s v="4b339f9567d060bcea4f5136b9f5949e"/>
    <s v="de63de0d10a6012430098db33c679b0b"/>
    <x v="782"/>
    <x v="13"/>
    <x v="1"/>
    <s v="cat"/>
    <s v="Unknow"/>
    <s v="Unknow"/>
    <s v="Unknow"/>
    <s v="manufacturer"/>
    <n v="0"/>
    <x v="0"/>
    <x v="3"/>
    <x v="0"/>
  </r>
  <r>
    <s v="ea36a38cfad96a89e2614f339f909549"/>
    <s v="f0418a194da21de7cd01336b10be11a7"/>
    <s v="de63de0d10a6012430098db33c679b0b"/>
    <s v="d3d1e91a157ea7f90548eef82f1955e3"/>
    <x v="783"/>
    <x v="7"/>
    <x v="1"/>
    <s v="eagle"/>
    <s v="Unknow"/>
    <s v="Unknow"/>
    <s v="Unknow"/>
    <s v="reseller"/>
    <n v="0"/>
    <x v="0"/>
    <x v="5"/>
    <x v="0"/>
  </r>
  <r>
    <s v="ebcdc4e2a7e73118fab4921b78200b2b"/>
    <s v="fcc29f9f37cfd89db0038d8de7f97f08"/>
    <s v="9e4d1098a3b0f5da39b0bc48f9876645"/>
    <s v="495d4e95a8cf8bbf8b432b612a2aa328"/>
    <x v="784"/>
    <x v="9"/>
    <x v="2"/>
    <s v="cat"/>
    <s v="Unknow"/>
    <s v="Unknow"/>
    <s v="Unknow"/>
    <s v="reseller"/>
    <n v="0"/>
    <x v="0"/>
    <x v="0"/>
    <x v="0"/>
  </r>
  <r>
    <s v="ae437864746ae2a9e694a6ed2b5824db"/>
    <s v="01266d4c46afa519678d16a8b683d325"/>
    <s v="4b339f9567d060bcea4f5136b9f5949e"/>
    <s v="6565aa9ce3178a5caf6171827af3a9ba"/>
    <x v="785"/>
    <x v="7"/>
    <x v="3"/>
    <s v="cat"/>
    <s v="Unknow"/>
    <s v="Unknow"/>
    <s v="Unknow"/>
    <s v="reseller"/>
    <n v="0"/>
    <x v="0"/>
    <x v="3"/>
    <x v="0"/>
  </r>
  <r>
    <s v="100a1f43c56bb71781a2231a79900488"/>
    <s v="297be0a3c196d803e4e4f013432be4e1"/>
    <s v="370c9f455f93a9a96cbe9bea48e70033"/>
    <s v="56bf83c4bb35763a51c2baab501b4c67"/>
    <x v="786"/>
    <x v="12"/>
    <x v="6"/>
    <s v="eagle"/>
    <s v="Unknow"/>
    <s v="Unknow"/>
    <s v="Unknow"/>
    <s v="manufacturer"/>
    <n v="0"/>
    <x v="0"/>
    <x v="5"/>
    <x v="0"/>
  </r>
  <r>
    <s v="3434cfa4a17f019a5aae78ee0bec24bf"/>
    <s v="9ba337a47628f9761b6bb3939a3f97a9"/>
    <s v="fdb16d3cbbeb5798f2f66c4096be026d"/>
    <s v="495d4e95a8cf8bbf8b432b612a2aa328"/>
    <x v="787"/>
    <x v="12"/>
    <x v="1"/>
    <s v="eagle"/>
    <s v="Unknow"/>
    <s v="Unknow"/>
    <s v="Unknow"/>
    <s v="Unknow"/>
    <n v="0"/>
    <x v="0"/>
    <x v="4"/>
    <x v="0"/>
  </r>
  <r>
    <s v="2852475bf1d02022e4eb5269c452259a"/>
    <s v="1a47a5831effd926ad6bee7ab8beb86c"/>
    <s v="370c9f455f93a9a96cbe9bea48e70033"/>
    <s v="495d4e95a8cf8bbf8b432b612a2aa328"/>
    <x v="788"/>
    <x v="12"/>
    <x v="0"/>
    <s v="wolf"/>
    <s v="Unknow"/>
    <s v="Unknow"/>
    <s v="Unknow"/>
    <s v="reseller"/>
    <n v="0"/>
    <x v="0"/>
    <x v="0"/>
    <x v="0"/>
  </r>
  <r>
    <s v="5a85461739094491a96bb30267640454"/>
    <s v="1cd757f0f38c0847a2f05717d18b8d92"/>
    <s v="9d12ef1a7eca3ec58c545c678af7869c"/>
    <s v="4ef15afb4b2723d8f3d81e51ec7afefe"/>
    <x v="789"/>
    <x v="5"/>
    <x v="1"/>
    <s v="cat"/>
    <s v="Unknow"/>
    <s v="Unknow"/>
    <s v="Unknow"/>
    <s v="reseller"/>
    <n v="0"/>
    <x v="0"/>
    <x v="5"/>
    <x v="0"/>
  </r>
  <r>
    <s v="42d15f0a37b7d0a151bb2ca9cc7e5548"/>
    <s v="9cf787a239c1aa29dbd76f153dc13f9a"/>
    <s v="068066e24f0c643eb1d089c7dd20cd73"/>
    <s v="6565aa9ce3178a5caf6171827af3a9ba"/>
    <x v="790"/>
    <x v="15"/>
    <x v="0"/>
    <s v="Unknow"/>
    <s v="Unknow"/>
    <s v="Unknow"/>
    <s v="Unknow"/>
    <s v="reseller"/>
    <n v="0"/>
    <x v="0"/>
    <x v="3"/>
    <x v="0"/>
  </r>
  <r>
    <s v="862690c612c4c41a2ddceb9bf7a5c848"/>
    <s v="1a932caad4f9d804097d7f8e615baed1"/>
    <s v="de63de0d10a6012430098db33c679b0b"/>
    <s v="9ae085775a198122c5586fa830ff7f2b"/>
    <x v="791"/>
    <x v="7"/>
    <x v="1"/>
    <s v="eagle"/>
    <s v="Unknow"/>
    <s v="Unknow"/>
    <s v="Unknow"/>
    <s v="reseller"/>
    <n v="0"/>
    <x v="0"/>
    <x v="3"/>
    <x v="0"/>
  </r>
  <r>
    <s v="76609909f975f3db5b8e50e4cb9ec136"/>
    <s v="b2d462f41b6b46b0569b20a8a4ebfcae"/>
    <s v="4b339f9567d060bcea4f5136b9f5949e"/>
    <s v="068066e24f0c643eb1d089c7dd20cd73"/>
    <x v="792"/>
    <x v="4"/>
    <x v="0"/>
    <s v="cat"/>
    <s v="Unknow"/>
    <s v="Unknow"/>
    <s v="Unknow"/>
    <s v="reseller"/>
    <n v="0"/>
    <x v="0"/>
    <x v="2"/>
    <x v="0"/>
  </r>
  <r>
    <s v="d5cb61eef98bd237e41bc2225263f823"/>
    <s v="7e1f0755f1c75e301dfa37c21fd01efe"/>
    <s v="e4a6222cdb5b34375400904f03d8e6a5"/>
    <s v="34d40cdaf94010a1d05b0d6212f9e909"/>
    <x v="793"/>
    <x v="20"/>
    <x v="7"/>
    <s v="eagle, wolf"/>
    <b v="1"/>
    <b v="1"/>
    <s v="5-20"/>
    <s v="other"/>
    <n v="305"/>
    <x v="24"/>
    <x v="2"/>
    <x v="1"/>
  </r>
  <r>
    <s v="9c2bfd97ce00ce9553bdc0f34c3532b6"/>
    <s v="ae9cf62cf691b753d4f0d3d40731cc3c"/>
    <s v="370c9f455f93a9a96cbe9bea48e70033"/>
    <s v="de63de0d10a6012430098db33c679b0b"/>
    <x v="794"/>
    <x v="4"/>
    <x v="0"/>
    <s v="shark"/>
    <b v="1"/>
    <b v="1"/>
    <s v="50-200"/>
    <s v="reseller"/>
    <n v="300"/>
    <x v="0"/>
    <x v="2"/>
    <x v="0"/>
  </r>
  <r>
    <s v="6c1f11f779599fe6d280c41d644ed43b"/>
    <s v="0cab2da43793a6f3c5ed8514c5f54627"/>
    <s v="4b339f9567d060bcea4f5136b9f5949e"/>
    <s v="56bf83c4bb35763a51c2baab501b4c67"/>
    <x v="795"/>
    <x v="21"/>
    <x v="4"/>
    <s v="cat"/>
    <s v="Unknow"/>
    <s v="Unknow"/>
    <s v="Unknow"/>
    <s v="reseller"/>
    <n v="0"/>
    <x v="0"/>
    <x v="7"/>
    <x v="0"/>
  </r>
  <r>
    <s v="3223fed48f30bbdc0f6040b466516bcb"/>
    <s v="0d7d5bca59d45d750fb7913b974e9d08"/>
    <s v="068066e24f0c643eb1d089c7dd20cd73"/>
    <s v="9749123c950bf8363ace42cb1c2d0815"/>
    <x v="796"/>
    <x v="7"/>
    <x v="2"/>
    <s v="shark"/>
    <b v="1"/>
    <b v="1"/>
    <s v="Unknow"/>
    <s v="manufacturer"/>
    <n v="10"/>
    <x v="13"/>
    <x v="3"/>
    <x v="1"/>
  </r>
  <r>
    <s v="4b650319cca0b2d0480d58b5c6451a28"/>
    <s v="708cc2c4ffdd3307d5cdee0d7387307b"/>
    <s v="370c9f455f93a9a96cbe9bea48e70033"/>
    <s v="6565aa9ce3178a5caf6171827af3a9ba"/>
    <x v="797"/>
    <x v="19"/>
    <x v="0"/>
    <s v="cat"/>
    <s v="Unknow"/>
    <s v="Unknow"/>
    <s v="Unknow"/>
    <s v="reseller"/>
    <n v="0"/>
    <x v="0"/>
    <x v="2"/>
    <x v="0"/>
  </r>
  <r>
    <s v="d4db78e389387c2d6f0b5404cbc61fc5"/>
    <s v="7210cd29727d674c00741e5e387b3ccd"/>
    <s v="068066e24f0c643eb1d089c7dd20cd73"/>
    <s v="de63de0d10a6012430098db33c679b0b"/>
    <x v="798"/>
    <x v="1"/>
    <x v="0"/>
    <s v="cat"/>
    <s v="Unknow"/>
    <s v="Unknow"/>
    <s v="Unknow"/>
    <s v="reseller"/>
    <n v="0"/>
    <x v="0"/>
    <x v="5"/>
    <x v="0"/>
  </r>
  <r>
    <s v="d4b60729388ac1c3435ee0fcefba1ebe"/>
    <s v="05a48cc8859962767935ab9087417fbb"/>
    <s v="f42a2bd194f7802ab052a815c8de65b7"/>
    <s v="56bf83c4bb35763a51c2baab501b4c67"/>
    <x v="799"/>
    <x v="15"/>
    <x v="6"/>
    <s v="cat"/>
    <s v="Unknow"/>
    <s v="Unknow"/>
    <s v="Unknow"/>
    <s v="reseller"/>
    <n v="0"/>
    <x v="0"/>
    <x v="3"/>
    <x v="0"/>
  </r>
  <r>
    <s v="513622713be8b84fd8d5b783f6fc82b5"/>
    <s v="c65fb4ec11e8d18c95ef150885418aea"/>
    <s v="068066e24f0c643eb1d089c7dd20cd73"/>
    <s v="2695de1affa7750089c0455f8ce27021"/>
    <x v="800"/>
    <x v="6"/>
    <x v="6"/>
    <s v="Unknow"/>
    <s v="Unknow"/>
    <s v="Unknow"/>
    <s v="Unknow"/>
    <s v="reseller"/>
    <n v="0"/>
    <x v="0"/>
    <x v="5"/>
    <x v="0"/>
  </r>
  <r>
    <s v="7d4b139b99fa4e14170492f54032c321"/>
    <s v="3ffabd7292c755d5cebe5b2d6350b850"/>
    <s v="4b339f9567d060bcea4f5136b9f5949e"/>
    <s v="2695de1affa7750089c0455f8ce27021"/>
    <x v="801"/>
    <x v="27"/>
    <x v="2"/>
    <s v="cat"/>
    <s v="Unknow"/>
    <s v="Unknow"/>
    <s v="Unknow"/>
    <s v="reseller"/>
    <n v="0"/>
    <x v="0"/>
    <x v="2"/>
    <x v="0"/>
  </r>
  <r>
    <s v="3e4a3f9ecab2d513b6782748c9e0a884"/>
    <s v="9d681c7e12db302cb261e721040dde65"/>
    <s v="0a0fb2b07d841f84fb6714e35c723075"/>
    <s v="2695de1affa7750089c0455f8ce27021"/>
    <x v="396"/>
    <x v="9"/>
    <x v="3"/>
    <s v="cat"/>
    <s v="Unknow"/>
    <s v="Unknow"/>
    <s v="Unknow"/>
    <s v="reseller"/>
    <n v="0"/>
    <x v="0"/>
    <x v="0"/>
    <x v="0"/>
  </r>
  <r>
    <s v="b3d72af547b23265305eda666dd749f9"/>
    <s v="d984b175957d0e67bc5bf232285ac792"/>
    <s v="fdb16d3cbbeb5798f2f66c4096be026d"/>
    <s v="6565aa9ce3178a5caf6171827af3a9ba"/>
    <x v="802"/>
    <x v="24"/>
    <x v="0"/>
    <s v="Unknow"/>
    <s v="Unknow"/>
    <s v="Unknow"/>
    <s v="Unknow"/>
    <s v="reseller"/>
    <n v="0"/>
    <x v="0"/>
    <x v="0"/>
    <x v="0"/>
  </r>
  <r>
    <s v="9e7c75dad869b2691a339a70cf105f0e"/>
    <s v="f4d969837a2957bb052a71af7d39fc91"/>
    <s v="56bf83c4bb35763a51c2baab501b4c67"/>
    <s v="9ae085775a198122c5586fa830ff7f2b"/>
    <x v="803"/>
    <x v="13"/>
    <x v="6"/>
    <s v="cat"/>
    <s v="Unknow"/>
    <s v="Unknow"/>
    <s v="Unknow"/>
    <s v="reseller"/>
    <n v="0"/>
    <x v="0"/>
    <x v="8"/>
    <x v="0"/>
  </r>
  <r>
    <s v="1db2d761017113fbfd4246f0402ac4e0"/>
    <s v="f1340f6d3347d9fae747fc3d236a2e41"/>
    <s v="e7dff61b78bebffa71678e126ce669ad"/>
    <s v="9ae085775a198122c5586fa830ff7f2b"/>
    <x v="804"/>
    <x v="1"/>
    <x v="0"/>
    <s v="Unknow"/>
    <s v="Unknow"/>
    <s v="Unknow"/>
    <s v="Unknow"/>
    <s v="reseller"/>
    <n v="0"/>
    <x v="0"/>
    <x v="0"/>
    <x v="0"/>
  </r>
  <r>
    <s v="b6bbd11daf9d7d31ffa787379614cd4f"/>
    <s v="4eeb99008a0f59d2c7759c59f9a346eb"/>
    <s v="9d12ef1a7eca3ec58c545c678af7869c"/>
    <s v="6565aa9ce3178a5caf6171827af3a9ba"/>
    <x v="805"/>
    <x v="19"/>
    <x v="0"/>
    <s v="eagle"/>
    <s v="Unknow"/>
    <s v="Unknow"/>
    <s v="Unknow"/>
    <s v="reseller"/>
    <n v="0"/>
    <x v="0"/>
    <x v="2"/>
    <x v="0"/>
  </r>
  <r>
    <s v="ee24544795bf59a8343731c3501c6b4e"/>
    <s v="c013e57c075a06e5b5c48ee03c525719"/>
    <s v="fdb16d3cbbeb5798f2f66c4096be026d"/>
    <s v="9ae085775a198122c5586fa830ff7f2b"/>
    <x v="806"/>
    <x v="0"/>
    <x v="0"/>
    <s v="Unknow"/>
    <s v="Unknow"/>
    <s v="Unknow"/>
    <s v="Unknow"/>
    <s v="reseller"/>
    <n v="0"/>
    <x v="0"/>
    <x v="5"/>
    <x v="0"/>
  </r>
  <r>
    <s v="7998ee341a2b3ffe1f5b8f11c0e78d11"/>
    <s v="b9ec22de23f18567de0e09d776ca0309"/>
    <s v="9d12ef1a7eca3ec58c545c678af7869c"/>
    <s v="495d4e95a8cf8bbf8b432b612a2aa328"/>
    <x v="807"/>
    <x v="10"/>
    <x v="0"/>
    <s v="cat"/>
    <s v="Unknow"/>
    <s v="Unknow"/>
    <s v="Unknow"/>
    <s v="reseller"/>
    <n v="0"/>
    <x v="0"/>
    <x v="3"/>
    <x v="0"/>
  </r>
  <r>
    <s v="98826328c3a60215e53b342560084571"/>
    <s v="f46490624488d3ff7ce78613913a7711"/>
    <s v="9d12ef1a7eca3ec58c545c678af7869c"/>
    <s v="068066e24f0c643eb1d089c7dd20cd73"/>
    <x v="808"/>
    <x v="4"/>
    <x v="2"/>
    <s v="eagle"/>
    <s v="Unknow"/>
    <s v="Unknow"/>
    <s v="Unknow"/>
    <s v="reseller"/>
    <n v="0"/>
    <x v="0"/>
    <x v="8"/>
    <x v="0"/>
  </r>
  <r>
    <s v="dbc6f53e8aa4b30d61366ddc81b17a91"/>
    <s v="7bfe1c6d7a61cccc48bbbebe206390a9"/>
    <s v="068066e24f0c643eb1d089c7dd20cd73"/>
    <s v="de63de0d10a6012430098db33c679b0b"/>
    <x v="809"/>
    <x v="6"/>
    <x v="0"/>
    <s v="cat"/>
    <s v="Unknow"/>
    <s v="Unknow"/>
    <s v="Unknow"/>
    <s v="reseller"/>
    <n v="0"/>
    <x v="0"/>
    <x v="2"/>
    <x v="0"/>
  </r>
  <r>
    <s v="72477e4cbc223fd605cdf76361cbe0a6"/>
    <s v="a9f81449e8f8a47f6c67e5a43b40ed04"/>
    <s v="068066e24f0c643eb1d089c7dd20cd73"/>
    <s v="060c0a26f19f4d66b42e0d8796688490"/>
    <x v="810"/>
    <x v="3"/>
    <x v="1"/>
    <s v="eagle"/>
    <s v="Unknow"/>
    <s v="Unknow"/>
    <s v="Unknow"/>
    <s v="manufacturer"/>
    <n v="0"/>
    <x v="0"/>
    <x v="3"/>
    <x v="0"/>
  </r>
  <r>
    <s v="245710681d51a6dfb80ab06683f3be01"/>
    <s v="7c9130f5f3729edd32aa059141d92484"/>
    <s v="370c9f455f93a9a96cbe9bea48e70033"/>
    <s v="4ef15afb4b2723d8f3d81e51ec7afefe"/>
    <x v="811"/>
    <x v="5"/>
    <x v="8"/>
    <s v="Unknow"/>
    <s v="Unknow"/>
    <s v="Unknow"/>
    <s v="Unknow"/>
    <s v="reseller"/>
    <n v="0"/>
    <x v="0"/>
    <x v="0"/>
    <x v="0"/>
  </r>
  <r>
    <s v="512f3a7ea5520eae3b54a77c0497489e"/>
    <s v="2a1a7b9bb186aba4e126ec76f9607237"/>
    <s v="9ae085775a198122c5586fa830ff7f2b"/>
    <s v="c638112b43f1d1b86dcabb0da720c901"/>
    <x v="812"/>
    <x v="5"/>
    <x v="4"/>
    <s v="Unknow"/>
    <s v="Unknow"/>
    <s v="Unknow"/>
    <s v="Unknow"/>
    <s v="reseller"/>
    <n v="0"/>
    <x v="0"/>
    <x v="10"/>
    <x v="0"/>
  </r>
  <r>
    <s v="b3d5cd16656bd872844d94e6c00ac9f3"/>
    <s v="eeb3e4d4f423780ab2acfe23ea0d5e49"/>
    <s v="09285259593c61296eef10c734121d5b"/>
    <s v="d3d1e91a157ea7f90548eef82f1955e3"/>
    <x v="813"/>
    <x v="11"/>
    <x v="3"/>
    <s v="eagle"/>
    <s v="Unknow"/>
    <s v="Unknow"/>
    <s v="Unknow"/>
    <s v="reseller"/>
    <n v="0"/>
    <x v="0"/>
    <x v="2"/>
    <x v="0"/>
  </r>
  <r>
    <s v="f8e1b8b3a3fe9b27a64dfcaaa8fc6054"/>
    <s v="b6392ab5fdb153fb3c6c7c0e174cdc29"/>
    <s v="4b339f9567d060bcea4f5136b9f5949e"/>
    <s v="4ef15afb4b2723d8f3d81e51ec7afefe"/>
    <x v="814"/>
    <x v="19"/>
    <x v="0"/>
    <s v="Unknow"/>
    <s v="Unknow"/>
    <s v="Unknow"/>
    <s v="Unknow"/>
    <s v="reseller"/>
    <n v="0"/>
    <x v="0"/>
    <x v="0"/>
    <x v="0"/>
  </r>
  <r>
    <s v="cd803c8ab3c2afa5430eeb195bcebe6a"/>
    <s v="33dd941c27854f7625b968cc6195a552"/>
    <s v="a8387c01a09e99ce014107505b92388c"/>
    <s v="85fc447d336637ba1df43e793199fbc8"/>
    <x v="815"/>
    <x v="6"/>
    <x v="0"/>
    <s v="cat"/>
    <s v="Unknow"/>
    <s v="Unknow"/>
    <s v="Unknow"/>
    <s v="reseller"/>
    <n v="0"/>
    <x v="0"/>
    <x v="6"/>
    <x v="0"/>
  </r>
  <r>
    <s v="676207ddcc8087437135a4b461fc07cb"/>
    <s v="c70a353f02429c00775a46a75fb787da"/>
    <s v="370c9f455f93a9a96cbe9bea48e70033"/>
    <s v="4ef15afb4b2723d8f3d81e51ec7afefe"/>
    <x v="816"/>
    <x v="4"/>
    <x v="0"/>
    <s v="cat"/>
    <s v="Unknow"/>
    <s v="Unknow"/>
    <s v="Unknow"/>
    <s v="reseller"/>
    <n v="0"/>
    <x v="0"/>
    <x v="5"/>
    <x v="0"/>
  </r>
  <r>
    <s v="98b18a14a0472c9e4a4eb0bb77ae3592"/>
    <s v="4fe2f67634d00c021aa01f96b6f2d68e"/>
    <s v="9d12ef1a7eca3ec58c545c678af7869c"/>
    <s v="a8387c01a09e99ce014107505b92388c"/>
    <x v="817"/>
    <x v="11"/>
    <x v="3"/>
    <s v="cat"/>
    <s v="Unknow"/>
    <s v="Unknow"/>
    <s v="Unknow"/>
    <s v="reseller"/>
    <n v="0"/>
    <x v="0"/>
    <x v="0"/>
    <x v="0"/>
  </r>
  <r>
    <s v="e7f70a2ff45e44c7399bebacf3e4771d"/>
    <s v="b21768cfefb49b94e9bcd38037e93d1f"/>
    <s v="56bf83c4bb35763a51c2baab501b4c67"/>
    <s v="c638112b43f1d1b86dcabb0da720c901"/>
    <x v="818"/>
    <x v="1"/>
    <x v="0"/>
    <s v="Unknow"/>
    <s v="Unknow"/>
    <s v="Unknow"/>
    <s v="Unknow"/>
    <s v="manufacturer"/>
    <n v="0"/>
    <x v="0"/>
    <x v="0"/>
    <x v="0"/>
  </r>
  <r>
    <s v="df9a2abe2ad3f2d8758b675ac8331ecf"/>
    <s v="bfcc27719640628da877db48b672b169"/>
    <s v="45749fb708130f78d0db07d8d80f030b"/>
    <s v="a8387c01a09e99ce014107505b92388c"/>
    <x v="819"/>
    <x v="12"/>
    <x v="4"/>
    <s v="cat"/>
    <s v="Unknow"/>
    <s v="Unknow"/>
    <s v="Unknow"/>
    <s v="reseller"/>
    <n v="0"/>
    <x v="0"/>
    <x v="0"/>
    <x v="0"/>
  </r>
  <r>
    <s v="8723201570415eb23b4f095d8c20a27c"/>
    <s v="4a82eab98441aeb64566e2776c1fb2b6"/>
    <s v="370c9f455f93a9a96cbe9bea48e70033"/>
    <s v="4b339f9567d060bcea4f5136b9f5949e"/>
    <x v="820"/>
    <x v="7"/>
    <x v="2"/>
    <s v="wolf"/>
    <s v="Unknow"/>
    <s v="Unknow"/>
    <s v="Unknow"/>
    <s v="reseller"/>
    <n v="132"/>
    <x v="26"/>
    <x v="0"/>
    <x v="1"/>
  </r>
  <r>
    <s v="2e57665b8faf05c967a801eb5aedfa0a"/>
    <s v="55031883943971ca22db6894574cfe2c"/>
    <s v="370c9f455f93a9a96cbe9bea48e70033"/>
    <s v="a8387c01a09e99ce014107505b92388c"/>
    <x v="821"/>
    <x v="5"/>
    <x v="0"/>
    <s v="wolf"/>
    <s v="Unknow"/>
    <s v="Unknow"/>
    <s v="Unknow"/>
    <s v="reseller"/>
    <n v="0"/>
    <x v="0"/>
    <x v="2"/>
    <x v="0"/>
  </r>
  <r>
    <s v="40955be51cc85c5a5a6cdd12b19e9f10"/>
    <s v="c0e933c238e41f0cd459d6025ee9b364"/>
    <s v="068066e24f0c643eb1d089c7dd20cd73"/>
    <s v="d3d1e91a157ea7f90548eef82f1955e3"/>
    <x v="822"/>
    <x v="0"/>
    <x v="6"/>
    <s v="cat"/>
    <s v="Unknow"/>
    <s v="Unknow"/>
    <s v="Unknow"/>
    <s v="reseller"/>
    <n v="0"/>
    <x v="0"/>
    <x v="5"/>
    <x v="0"/>
  </r>
  <r>
    <s v="8a6492305a5fbcdcdd1a7f5a90764c07"/>
    <s v="1bba9c94eb5c4e82fba9f7286fe81025"/>
    <s v="56bf83c4bb35763a51c2baab501b4c67"/>
    <s v="de63de0d10a6012430098db33c679b0b"/>
    <x v="823"/>
    <x v="6"/>
    <x v="1"/>
    <s v="eagle"/>
    <s v="Unknow"/>
    <s v="Unknow"/>
    <s v="Unknow"/>
    <s v="manufacturer"/>
    <n v="0"/>
    <x v="0"/>
    <x v="4"/>
    <x v="0"/>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r>
    <s v="Unknow"/>
    <s v="Unknow"/>
    <s v="Unknow"/>
    <s v="Unknow"/>
    <x v="824"/>
    <x v="28"/>
    <x v="8"/>
    <s v="Unknow"/>
    <s v="Unknow"/>
    <s v="Unknow"/>
    <s v="Unknow"/>
    <s v="Unknow"/>
    <n v="0"/>
    <x v="27"/>
    <x v="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66827C-02A3-43DA-A2ED-61709DB1B4C1}" name="PivotTable1" cacheId="10" applyNumberFormats="0" applyBorderFormats="0" applyFontFormats="0" applyPatternFormats="0" applyAlignmentFormats="0" applyWidthHeightFormats="1" dataCaption="Values" missingCaption="-" updatedVersion="8" minRefreshableVersion="3" useAutoFormatting="1" itemPrintTitles="1" createdVersion="8" indent="0" compact="0" compactData="0" multipleFieldFilters="0" chartFormat="7">
  <location ref="A1:E14" firstHeaderRow="1" firstDataRow="2" firstDataCol="1"/>
  <pivotFields count="16">
    <pivotField compact="0" outline="0" showAll="0"/>
    <pivotField compact="0" outline="0" showAll="0"/>
    <pivotField compact="0" outline="0" showAll="0"/>
    <pivotField compact="0" outline="0" showAll="0"/>
    <pivotField compact="0" outline="0" showAll="0">
      <items count="826">
        <item x="824"/>
        <item x="812"/>
        <item x="642"/>
        <item x="561"/>
        <item x="779"/>
        <item x="145"/>
        <item x="168"/>
        <item x="309"/>
        <item x="237"/>
        <item x="221"/>
        <item x="517"/>
        <item x="259"/>
        <item x="62"/>
        <item x="199"/>
        <item x="683"/>
        <item x="251"/>
        <item x="747"/>
        <item x="147"/>
        <item x="314"/>
        <item x="464"/>
        <item x="758"/>
        <item x="661"/>
        <item x="3"/>
        <item x="260"/>
        <item x="78"/>
        <item x="438"/>
        <item x="410"/>
        <item x="258"/>
        <item x="741"/>
        <item x="777"/>
        <item x="72"/>
        <item x="151"/>
        <item x="659"/>
        <item x="644"/>
        <item x="106"/>
        <item x="346"/>
        <item x="498"/>
        <item x="315"/>
        <item x="267"/>
        <item x="678"/>
        <item x="356"/>
        <item x="234"/>
        <item x="126"/>
        <item x="465"/>
        <item x="490"/>
        <item x="790"/>
        <item x="394"/>
        <item x="413"/>
        <item x="584"/>
        <item x="329"/>
        <item x="778"/>
        <item x="17"/>
        <item x="159"/>
        <item x="99"/>
        <item x="539"/>
        <item x="523"/>
        <item x="358"/>
        <item x="710"/>
        <item x="451"/>
        <item x="671"/>
        <item x="143"/>
        <item x="144"/>
        <item x="254"/>
        <item x="371"/>
        <item x="393"/>
        <item x="520"/>
        <item x="88"/>
        <item x="481"/>
        <item x="255"/>
        <item x="181"/>
        <item x="177"/>
        <item x="224"/>
        <item x="554"/>
        <item x="589"/>
        <item x="68"/>
        <item x="112"/>
        <item x="806"/>
        <item x="477"/>
        <item x="249"/>
        <item x="225"/>
        <item x="372"/>
        <item x="440"/>
        <item x="301"/>
        <item x="802"/>
        <item x="682"/>
        <item x="485"/>
        <item x="231"/>
        <item x="483"/>
        <item x="312"/>
        <item x="695"/>
        <item x="38"/>
        <item x="602"/>
        <item x="775"/>
        <item x="499"/>
        <item x="155"/>
        <item x="20"/>
        <item x="482"/>
        <item x="5"/>
        <item x="330"/>
        <item x="593"/>
        <item x="207"/>
        <item x="701"/>
        <item x="650"/>
        <item x="458"/>
        <item x="22"/>
        <item x="456"/>
        <item x="242"/>
        <item x="597"/>
        <item x="26"/>
        <item x="818"/>
        <item x="148"/>
        <item x="75"/>
        <item x="726"/>
        <item x="471"/>
        <item x="581"/>
        <item x="369"/>
        <item x="25"/>
        <item x="93"/>
        <item x="718"/>
        <item x="412"/>
        <item x="538"/>
        <item x="725"/>
        <item x="800"/>
        <item x="525"/>
        <item x="401"/>
        <item x="580"/>
        <item x="141"/>
        <item x="381"/>
        <item x="89"/>
        <item x="232"/>
        <item x="636"/>
        <item x="23"/>
        <item x="292"/>
        <item x="335"/>
        <item x="130"/>
        <item x="506"/>
        <item x="791"/>
        <item x="419"/>
        <item x="540"/>
        <item x="783"/>
        <item x="327"/>
        <item x="545"/>
        <item x="300"/>
        <item x="801"/>
        <item x="686"/>
        <item x="24"/>
        <item x="190"/>
        <item x="48"/>
        <item x="462"/>
        <item x="765"/>
        <item x="476"/>
        <item x="67"/>
        <item x="669"/>
        <item x="627"/>
        <item x="441"/>
        <item x="11"/>
        <item x="550"/>
        <item x="63"/>
        <item x="632"/>
        <item x="787"/>
        <item x="463"/>
        <item x="208"/>
        <item x="195"/>
        <item x="122"/>
        <item x="587"/>
        <item x="0"/>
        <item x="85"/>
        <item x="82"/>
        <item x="186"/>
        <item x="415"/>
        <item x="380"/>
        <item x="398"/>
        <item x="215"/>
        <item x="759"/>
        <item x="313"/>
        <item x="61"/>
        <item x="49"/>
        <item x="556"/>
        <item x="165"/>
        <item x="551"/>
        <item x="374"/>
        <item x="751"/>
        <item x="614"/>
        <item x="272"/>
        <item x="10"/>
        <item x="569"/>
        <item x="344"/>
        <item x="334"/>
        <item x="167"/>
        <item x="354"/>
        <item x="533"/>
        <item x="810"/>
        <item x="699"/>
        <item x="750"/>
        <item x="544"/>
        <item x="658"/>
        <item x="359"/>
        <item x="137"/>
        <item x="318"/>
        <item x="459"/>
        <item x="36"/>
        <item x="595"/>
        <item x="472"/>
        <item x="822"/>
        <item x="665"/>
        <item x="579"/>
        <item x="653"/>
        <item x="310"/>
        <item x="742"/>
        <item x="405"/>
        <item x="253"/>
        <item x="719"/>
        <item x="326"/>
        <item x="427"/>
        <item x="764"/>
        <item x="654"/>
        <item x="213"/>
        <item x="338"/>
        <item x="437"/>
        <item x="676"/>
        <item x="443"/>
        <item x="428"/>
        <item x="516"/>
        <item x="322"/>
        <item x="305"/>
        <item x="721"/>
        <item x="555"/>
        <item x="385"/>
        <item x="431"/>
        <item x="71"/>
        <item x="56"/>
        <item x="618"/>
        <item x="367"/>
        <item x="171"/>
        <item x="755"/>
        <item x="219"/>
        <item x="562"/>
        <item x="110"/>
        <item x="270"/>
        <item x="377"/>
        <item x="767"/>
        <item x="784"/>
        <item x="568"/>
        <item x="768"/>
        <item x="608"/>
        <item x="103"/>
        <item x="492"/>
        <item x="473"/>
        <item x="733"/>
        <item x="487"/>
        <item x="749"/>
        <item x="637"/>
        <item x="500"/>
        <item x="688"/>
        <item x="426"/>
        <item x="298"/>
        <item x="446"/>
        <item x="340"/>
        <item x="656"/>
        <item x="470"/>
        <item x="339"/>
        <item x="424"/>
        <item x="76"/>
        <item x="337"/>
        <item x="626"/>
        <item x="188"/>
        <item x="397"/>
        <item x="361"/>
        <item x="119"/>
        <item x="598"/>
        <item x="416"/>
        <item x="347"/>
        <item x="216"/>
        <item x="291"/>
        <item x="484"/>
        <item x="645"/>
        <item x="521"/>
        <item x="139"/>
        <item x="713"/>
        <item x="652"/>
        <item x="621"/>
        <item x="430"/>
        <item x="623"/>
        <item x="140"/>
        <item x="478"/>
        <item x="422"/>
        <item x="333"/>
        <item x="212"/>
        <item x="328"/>
        <item x="54"/>
        <item x="530"/>
        <item x="360"/>
        <item x="776"/>
        <item x="606"/>
        <item x="454"/>
        <item x="803"/>
        <item x="566"/>
        <item x="657"/>
        <item x="179"/>
        <item x="246"/>
        <item x="495"/>
        <item x="429"/>
        <item x="547"/>
        <item x="263"/>
        <item x="757"/>
        <item x="599"/>
        <item x="460"/>
        <item x="43"/>
        <item x="651"/>
        <item x="524"/>
        <item x="363"/>
        <item x="634"/>
        <item x="233"/>
        <item x="128"/>
        <item x="698"/>
        <item x="711"/>
        <item x="114"/>
        <item x="244"/>
        <item x="604"/>
        <item x="104"/>
        <item x="815"/>
        <item x="279"/>
        <item x="345"/>
        <item x="609"/>
        <item x="157"/>
        <item x="515"/>
        <item x="461"/>
        <item x="47"/>
        <item x="414"/>
        <item x="383"/>
        <item x="813"/>
        <item x="136"/>
        <item x="640"/>
        <item x="52"/>
        <item x="64"/>
        <item x="526"/>
        <item x="73"/>
        <item x="174"/>
        <item x="83"/>
        <item x="455"/>
        <item x="368"/>
        <item x="152"/>
        <item x="362"/>
        <item x="709"/>
        <item x="570"/>
        <item x="716"/>
        <item x="814"/>
        <item x="261"/>
        <item x="173"/>
        <item x="563"/>
        <item x="546"/>
        <item x="121"/>
        <item x="613"/>
        <item x="795"/>
        <item x="585"/>
        <item x="198"/>
        <item x="366"/>
        <item x="668"/>
        <item x="275"/>
        <item x="576"/>
        <item x="746"/>
        <item x="797"/>
        <item x="425"/>
        <item x="101"/>
        <item x="111"/>
        <item x="807"/>
        <item x="805"/>
        <item x="601"/>
        <item x="809"/>
        <item x="27"/>
        <item x="280"/>
        <item x="558"/>
        <item x="160"/>
        <item x="439"/>
        <item x="323"/>
        <item x="447"/>
        <item x="14"/>
        <item x="760"/>
        <item x="586"/>
        <item x="679"/>
        <item x="762"/>
        <item x="218"/>
        <item x="622"/>
        <item x="674"/>
        <item x="670"/>
        <item x="452"/>
        <item x="16"/>
        <item x="514"/>
        <item x="590"/>
        <item x="45"/>
        <item x="714"/>
        <item x="497"/>
        <item x="184"/>
        <item x="373"/>
        <item x="288"/>
        <item x="631"/>
        <item x="591"/>
        <item x="214"/>
        <item x="365"/>
        <item x="630"/>
        <item x="449"/>
        <item x="723"/>
        <item x="480"/>
        <item x="467"/>
        <item x="510"/>
        <item x="583"/>
        <item x="28"/>
        <item x="53"/>
        <item x="182"/>
        <item x="705"/>
        <item x="611"/>
        <item x="675"/>
        <item x="553"/>
        <item x="117"/>
        <item x="731"/>
        <item x="543"/>
        <item x="276"/>
        <item x="619"/>
        <item x="21"/>
        <item x="624"/>
        <item x="423"/>
        <item x="6"/>
        <item x="392"/>
        <item x="680"/>
        <item x="204"/>
        <item x="7"/>
        <item x="798"/>
        <item x="307"/>
        <item x="336"/>
        <item x="94"/>
        <item x="666"/>
        <item x="400"/>
        <item x="321"/>
        <item x="628"/>
        <item x="46"/>
        <item x="29"/>
        <item x="418"/>
        <item x="600"/>
        <item x="296"/>
        <item x="572"/>
        <item x="150"/>
        <item x="274"/>
        <item x="271"/>
        <item x="417"/>
        <item x="357"/>
        <item x="138"/>
        <item x="90"/>
        <item x="317"/>
        <item x="702"/>
        <item x="816"/>
        <item x="161"/>
        <item x="294"/>
        <item x="518"/>
        <item x="734"/>
        <item x="712"/>
        <item x="162"/>
        <item x="257"/>
        <item x="662"/>
        <item x="445"/>
        <item x="673"/>
        <item x="436"/>
        <item x="507"/>
        <item x="74"/>
        <item x="565"/>
        <item x="391"/>
        <item x="724"/>
        <item x="450"/>
        <item x="505"/>
        <item x="9"/>
        <item x="349"/>
        <item x="283"/>
        <item x="299"/>
        <item x="693"/>
        <item x="774"/>
        <item x="32"/>
        <item x="617"/>
        <item x="386"/>
        <item x="290"/>
        <item x="250"/>
        <item x="582"/>
        <item x="696"/>
        <item x="717"/>
        <item x="286"/>
        <item x="382"/>
        <item x="55"/>
        <item x="378"/>
        <item x="84"/>
        <item x="780"/>
        <item x="166"/>
        <item x="169"/>
        <item x="772"/>
        <item x="534"/>
        <item x="256"/>
        <item x="285"/>
        <item x="58"/>
        <item x="149"/>
        <item x="42"/>
        <item x="708"/>
        <item x="238"/>
        <item x="209"/>
        <item x="123"/>
        <item x="77"/>
        <item x="65"/>
        <item x="578"/>
        <item x="402"/>
        <item x="532"/>
        <item x="66"/>
        <item x="80"/>
        <item x="79"/>
        <item x="303"/>
        <item x="107"/>
        <item x="649"/>
        <item x="127"/>
        <item x="264"/>
        <item x="496"/>
        <item x="320"/>
        <item x="727"/>
        <item x="293"/>
        <item x="677"/>
        <item x="489"/>
        <item x="736"/>
        <item x="399"/>
        <item x="113"/>
        <item x="132"/>
        <item x="247"/>
        <item x="690"/>
        <item x="342"/>
        <item x="57"/>
        <item x="663"/>
        <item x="752"/>
        <item x="355"/>
        <item x="823"/>
        <item x="648"/>
        <item x="408"/>
        <item x="548"/>
        <item x="432"/>
        <item x="146"/>
        <item x="133"/>
        <item x="396"/>
        <item x="704"/>
        <item x="91"/>
        <item x="420"/>
        <item x="811"/>
        <item x="164"/>
        <item x="536"/>
        <item x="302"/>
        <item x="748"/>
        <item x="469"/>
        <item x="571"/>
        <item x="1"/>
        <item x="732"/>
        <item x="664"/>
        <item x="720"/>
        <item x="689"/>
        <item x="435"/>
        <item x="738"/>
        <item x="289"/>
        <item x="541"/>
        <item x="109"/>
        <item x="142"/>
        <item x="603"/>
        <item x="239"/>
        <item x="196"/>
        <item x="282"/>
        <item x="217"/>
        <item x="641"/>
        <item x="453"/>
        <item x="411"/>
        <item x="18"/>
        <item x="284"/>
        <item x="297"/>
        <item x="370"/>
        <item x="573"/>
        <item x="479"/>
        <item x="488"/>
        <item x="761"/>
        <item x="105"/>
        <item x="766"/>
        <item x="8"/>
        <item x="325"/>
        <item x="245"/>
        <item x="266"/>
        <item x="610"/>
        <item x="421"/>
        <item x="528"/>
        <item x="715"/>
        <item x="39"/>
        <item x="156"/>
        <item x="197"/>
        <item x="125"/>
        <item x="594"/>
        <item x="574"/>
        <item x="395"/>
        <item x="388"/>
        <item x="672"/>
        <item x="227"/>
        <item x="808"/>
        <item x="681"/>
        <item x="646"/>
        <item x="311"/>
        <item x="502"/>
        <item x="605"/>
        <item x="769"/>
        <item x="201"/>
        <item x="789"/>
        <item x="115"/>
        <item x="268"/>
        <item x="687"/>
        <item x="60"/>
        <item x="504"/>
        <item x="785"/>
        <item x="376"/>
        <item x="364"/>
        <item x="324"/>
        <item x="513"/>
        <item x="406"/>
        <item x="703"/>
        <item x="180"/>
        <item x="557"/>
        <item x="491"/>
        <item x="781"/>
        <item x="12"/>
        <item x="176"/>
        <item x="278"/>
        <item x="269"/>
        <item x="153"/>
        <item x="308"/>
        <item x="409"/>
        <item x="745"/>
        <item x="295"/>
        <item x="135"/>
        <item x="387"/>
        <item x="228"/>
        <item x="771"/>
        <item x="281"/>
        <item x="240"/>
        <item x="403"/>
        <item x="792"/>
        <item x="95"/>
        <item x="799"/>
        <item x="434"/>
        <item x="35"/>
        <item x="564"/>
        <item x="692"/>
        <item x="468"/>
        <item x="241"/>
        <item x="691"/>
        <item x="131"/>
        <item x="756"/>
        <item x="194"/>
        <item x="782"/>
        <item x="503"/>
        <item x="222"/>
        <item x="319"/>
        <item x="343"/>
        <item x="33"/>
        <item x="2"/>
        <item x="620"/>
        <item x="229"/>
        <item x="384"/>
        <item x="120"/>
        <item x="821"/>
        <item x="607"/>
        <item x="348"/>
        <item x="588"/>
        <item x="817"/>
        <item x="304"/>
        <item x="706"/>
        <item x="331"/>
        <item x="50"/>
        <item x="230"/>
        <item x="40"/>
        <item x="185"/>
        <item x="475"/>
        <item x="728"/>
        <item x="684"/>
        <item x="352"/>
        <item x="226"/>
        <item x="13"/>
        <item x="552"/>
        <item x="192"/>
        <item x="351"/>
        <item x="96"/>
        <item x="98"/>
        <item x="92"/>
        <item x="211"/>
        <item x="44"/>
        <item x="694"/>
        <item x="19"/>
        <item x="248"/>
        <item x="448"/>
        <item x="175"/>
        <item x="134"/>
        <item x="183"/>
        <item x="753"/>
        <item x="535"/>
        <item x="203"/>
        <item x="69"/>
        <item x="170"/>
        <item x="262"/>
        <item x="493"/>
        <item x="737"/>
        <item x="788"/>
        <item x="697"/>
        <item x="200"/>
        <item x="375"/>
        <item x="638"/>
        <item x="193"/>
        <item x="4"/>
        <item x="31"/>
        <item x="700"/>
        <item x="433"/>
        <item x="511"/>
        <item x="754"/>
        <item x="744"/>
        <item x="567"/>
        <item x="466"/>
        <item x="172"/>
        <item x="559"/>
        <item x="102"/>
        <item x="512"/>
        <item x="643"/>
        <item x="625"/>
        <item x="189"/>
        <item x="635"/>
        <item x="596"/>
        <item x="804"/>
        <item x="486"/>
        <item x="178"/>
        <item x="30"/>
        <item x="773"/>
        <item x="508"/>
        <item x="509"/>
        <item x="639"/>
        <item x="735"/>
        <item x="265"/>
        <item x="786"/>
        <item x="51"/>
        <item x="206"/>
        <item x="560"/>
        <item x="243"/>
        <item x="158"/>
        <item x="819"/>
        <item x="273"/>
        <item x="87"/>
        <item x="739"/>
        <item x="722"/>
        <item x="97"/>
        <item x="210"/>
        <item x="390"/>
        <item x="163"/>
        <item x="202"/>
        <item x="277"/>
        <item x="729"/>
        <item x="442"/>
        <item x="730"/>
        <item x="316"/>
        <item x="615"/>
        <item x="252"/>
        <item x="116"/>
        <item x="770"/>
        <item x="577"/>
        <item x="407"/>
        <item x="494"/>
        <item x="205"/>
        <item x="549"/>
        <item x="129"/>
        <item x="592"/>
        <item x="287"/>
        <item x="575"/>
        <item x="81"/>
        <item x="353"/>
        <item x="612"/>
        <item x="191"/>
        <item x="457"/>
        <item x="350"/>
        <item x="154"/>
        <item x="59"/>
        <item x="542"/>
        <item x="647"/>
        <item x="531"/>
        <item x="15"/>
        <item x="740"/>
        <item x="794"/>
        <item x="685"/>
        <item x="108"/>
        <item x="223"/>
        <item x="389"/>
        <item x="124"/>
        <item x="629"/>
        <item x="70"/>
        <item x="86"/>
        <item x="404"/>
        <item x="100"/>
        <item x="655"/>
        <item x="37"/>
        <item x="501"/>
        <item x="820"/>
        <item x="235"/>
        <item x="306"/>
        <item x="763"/>
        <item x="519"/>
        <item x="220"/>
        <item x="474"/>
        <item x="537"/>
        <item x="522"/>
        <item x="332"/>
        <item x="444"/>
        <item x="707"/>
        <item x="529"/>
        <item x="187"/>
        <item x="341"/>
        <item x="660"/>
        <item x="633"/>
        <item x="527"/>
        <item x="796"/>
        <item x="118"/>
        <item x="34"/>
        <item x="616"/>
        <item x="379"/>
        <item x="236"/>
        <item x="743"/>
        <item x="667"/>
        <item x="793"/>
        <item x="41"/>
        <item t="default"/>
      </items>
    </pivotField>
    <pivotField compact="0" outline="0" showAll="0">
      <items count="35">
        <item x="26"/>
        <item x="19"/>
        <item x="25"/>
        <item x="21"/>
        <item x="13"/>
        <item x="24"/>
        <item x="1"/>
        <item x="5"/>
        <item x="7"/>
        <item x="15"/>
        <item x="3"/>
        <item x="11"/>
        <item x="33"/>
        <item x="31"/>
        <item x="29"/>
        <item x="4"/>
        <item x="2"/>
        <item x="12"/>
        <item x="22"/>
        <item x="6"/>
        <item x="16"/>
        <item x="23"/>
        <item x="20"/>
        <item x="17"/>
        <item x="30"/>
        <item x="0"/>
        <item x="27"/>
        <item x="32"/>
        <item x="18"/>
        <item x="9"/>
        <item x="10"/>
        <item x="8"/>
        <item x="28"/>
        <item x="14"/>
        <item t="default"/>
      </items>
    </pivotField>
    <pivotField compact="0" outline="0" showAll="0">
      <items count="10">
        <item x="1"/>
        <item x="4"/>
        <item x="6"/>
        <item x="2"/>
        <item x="0"/>
        <item x="3"/>
        <item x="5"/>
        <item x="7"/>
        <item x="8"/>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29">
        <item x="0"/>
        <item x="6"/>
        <item x="20"/>
        <item x="17"/>
        <item x="16"/>
        <item x="3"/>
        <item x="25"/>
        <item x="8"/>
        <item x="12"/>
        <item x="2"/>
        <item x="9"/>
        <item x="5"/>
        <item x="15"/>
        <item x="21"/>
        <item x="19"/>
        <item x="1"/>
        <item x="24"/>
        <item x="23"/>
        <item x="7"/>
        <item x="4"/>
        <item x="26"/>
        <item x="11"/>
        <item x="13"/>
        <item x="18"/>
        <item x="22"/>
        <item x="14"/>
        <item x="10"/>
        <item x="27"/>
        <item t="default"/>
      </items>
    </pivotField>
    <pivotField axis="axisRow" compact="0" outline="0" showAll="0">
      <items count="12">
        <item x="4"/>
        <item x="10"/>
        <item x="6"/>
        <item x="0"/>
        <item x="8"/>
        <item x="9"/>
        <item x="2"/>
        <item x="1"/>
        <item x="5"/>
        <item x="7"/>
        <item x="3"/>
        <item t="default"/>
      </items>
    </pivotField>
    <pivotField axis="axisCol" compact="0" outline="0" showAll="0">
      <items count="4">
        <item x="1"/>
        <item x="0"/>
        <item x="2"/>
        <item t="default"/>
      </items>
    </pivotField>
  </pivotFields>
  <rowFields count="1">
    <field x="14"/>
  </rowFields>
  <rowItems count="12">
    <i>
      <x/>
    </i>
    <i>
      <x v="1"/>
    </i>
    <i>
      <x v="2"/>
    </i>
    <i>
      <x v="3"/>
    </i>
    <i>
      <x v="4"/>
    </i>
    <i>
      <x v="5"/>
    </i>
    <i>
      <x v="6"/>
    </i>
    <i>
      <x v="7"/>
    </i>
    <i>
      <x v="8"/>
    </i>
    <i>
      <x v="9"/>
    </i>
    <i>
      <x v="10"/>
    </i>
    <i t="grand">
      <x/>
    </i>
  </rowItems>
  <colFields count="1">
    <field x="15"/>
  </colFields>
  <colItems count="4">
    <i>
      <x/>
    </i>
    <i>
      <x v="1"/>
    </i>
    <i>
      <x v="2"/>
    </i>
    <i t="grand">
      <x/>
    </i>
  </colItems>
  <dataFields count="1">
    <dataField name="Sum of declared_monthly_revenue" fld="13" baseField="0" baseItem="0"/>
  </dataFields>
  <formats count="1">
    <format dxfId="7">
      <pivotArea dataOnly="0" grandCol="1" outline="0" fieldPosition="0"/>
    </format>
  </formats>
  <conditionalFormats count="3">
    <conditionalFormat priority="3">
      <pivotAreas count="1">
        <pivotArea type="data" outline="0" collapsedLevelsAreSubtotals="1" fieldPosition="0">
          <references count="3">
            <reference field="4294967294" count="1" selected="0">
              <x v="0"/>
            </reference>
            <reference field="14" count="1" selected="0">
              <x v="4"/>
            </reference>
            <reference field="15" count="1" selected="0">
              <x v="1"/>
            </reference>
          </references>
        </pivotArea>
      </pivotAreas>
    </conditionalFormat>
    <conditionalFormat priority="2">
      <pivotAreas count="1">
        <pivotArea type="all" outline="0" fieldPosition="0"/>
      </pivotAreas>
    </conditionalFormat>
    <conditionalFormat priority="1">
      <pivotAreas count="1">
        <pivotArea type="all" outline="0" fieldPosition="0"/>
      </pivotAreas>
    </conditionalFormat>
  </conditionalFormats>
  <chartFormats count="3">
    <chartFormat chart="4" format="32" series="1">
      <pivotArea type="data" outline="0" fieldPosition="0">
        <references count="1">
          <reference field="4294967294" count="1" selected="0">
            <x v="0"/>
          </reference>
        </references>
      </pivotArea>
    </chartFormat>
    <chartFormat chart="4" format="33" series="1">
      <pivotArea type="data" outline="0" fieldPosition="0">
        <references count="2">
          <reference field="4294967294" count="1" selected="0">
            <x v="0"/>
          </reference>
          <reference field="15" count="1" selected="0">
            <x v="1"/>
          </reference>
        </references>
      </pivotArea>
    </chartFormat>
    <chartFormat chart="4" format="34" series="1">
      <pivotArea type="data" outline="0" fieldPosition="0">
        <references count="2">
          <reference field="4294967294" count="1" selected="0">
            <x v="0"/>
          </reference>
          <reference field="15"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8C6AAE07-A0D1-4BDD-A5AE-7F2E50082096}" autoFormatId="16" applyNumberFormats="0" applyBorderFormats="0" applyFontFormats="0" applyPatternFormats="0" applyAlignmentFormats="0" applyWidthHeightFormats="0">
  <queryTableRefresh nextId="5">
    <queryTableFields count="4">
      <queryTableField id="1" name="mql_id" tableColumnId="1"/>
      <queryTableField id="2" name="first_contact_date" tableColumnId="2"/>
      <queryTableField id="3" name="landing_page_id" tableColumnId="3"/>
      <queryTableField id="4" name="origi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6DC7632-0867-46E4-BD13-E7EDF3FA8077}" autoFormatId="16" applyNumberFormats="0" applyBorderFormats="0" applyFontFormats="0" applyPatternFormats="0" applyAlignmentFormats="0" applyWidthHeightFormats="0">
  <queryTableRefresh nextId="19" unboundColumnsRight="2">
    <queryTableFields count="16">
      <queryTableField id="1" name="mql_id" tableColumnId="1"/>
      <queryTableField id="2" name="seller_id" tableColumnId="2"/>
      <queryTableField id="3" name="sdr_id" tableColumnId="3"/>
      <queryTableField id="4" name="sr_id" tableColumnId="4"/>
      <queryTableField id="5" name="won_date" tableColumnId="5"/>
      <queryTableField id="6" name="business_segment" tableColumnId="6"/>
      <queryTableField id="7" name="lead_type" tableColumnId="7"/>
      <queryTableField id="8" name="lead_behaviour_profile" tableColumnId="8"/>
      <queryTableField id="9" name="has_company" tableColumnId="9"/>
      <queryTableField id="10" name="has_gtin" tableColumnId="10"/>
      <queryTableField id="11" name="average_stock" tableColumnId="11"/>
      <queryTableField id="12" name="business_type" tableColumnId="12"/>
      <queryTableField id="13" name="declared_product_catalog_size" tableColumnId="13"/>
      <queryTableField id="14" name="declared_monthly_revenue" tableColumnId="14"/>
      <queryTableField id="16" dataBound="0" tableColumnId="16"/>
      <queryTableField id="17"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87E76DA0-0D20-49B6-A110-260D992EA685}" sourceName="origin">
  <pivotTables>
    <pivotTable tabId="6" name="PivotTable1"/>
  </pivotTables>
  <data>
    <tabular pivotCacheId="400938002">
      <items count="11">
        <i x="4" s="1"/>
        <i x="10" s="1"/>
        <i x="6" s="1"/>
        <i x="0" s="1"/>
        <i x="8" s="1"/>
        <i x="9" s="1"/>
        <i x="2" s="1"/>
        <i x="1" s="1"/>
        <i x="5" s="1"/>
        <i x="7"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category" xr10:uid="{07C84336-7A91-4F6C-8D24-D76702AFE7A3}" sourceName="deal_category">
  <pivotTables>
    <pivotTable tabId="6" name="PivotTable1"/>
  </pivotTables>
  <data>
    <tabular pivotCacheId="40093800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9D2DF83E-E9B3-451E-AAB8-0719E4F4DE21}" sourceName="lead_type">
  <pivotTables>
    <pivotTable tabId="6" name="PivotTable1"/>
  </pivotTables>
  <data>
    <tabular pivotCacheId="400938002">
      <items count="9">
        <i x="1" s="1"/>
        <i x="4" s="1"/>
        <i x="6" s="1"/>
        <i x="2" s="1"/>
        <i x="0" s="1"/>
        <i x="3" s="1"/>
        <i x="5"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 xr10:uid="{E7B8F6DC-02FF-486A-84F5-D0A6C467ABAB}" cache="Slicer_origin" caption="origin" rowHeight="241300"/>
  <slicer name="deal_category" xr10:uid="{A3286B2E-5DF0-4386-AF34-9E9F5B7FC530}" cache="Slicer_deal_category" caption="deal_category" rowHeight="241300"/>
  <slicer name="lead_type" xr10:uid="{1F1B3409-EFF1-4263-963A-F6ABA0B10023}" cache="Slicer_lead_type" caption="lead_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81A009-4872-4E49-A659-87C0B8431108}" name="olist_marketing_qualified_leads_dataset" displayName="olist_marketing_qualified_leads_dataset" ref="A1:D8001" tableType="queryTable" totalsRowShown="0">
  <autoFilter ref="A1:D8001" xr:uid="{4E81A009-4872-4E49-A659-87C0B8431108}"/>
  <tableColumns count="4">
    <tableColumn id="1" xr3:uid="{9865D259-1679-4AFE-85DA-AF25857538DA}" uniqueName="1" name="mql_id" queryTableFieldId="1" dataDxfId="21"/>
    <tableColumn id="2" xr3:uid="{918E29C9-4DE1-4C83-ABA6-763E73BEF6A4}" uniqueName="2" name="first_contact_date" queryTableFieldId="2" dataDxfId="20"/>
    <tableColumn id="3" xr3:uid="{FB3F1FEE-C00E-4A89-9877-D154EFEC35DF}" uniqueName="3" name="landing_page_id" queryTableFieldId="3" dataDxfId="19"/>
    <tableColumn id="4" xr3:uid="{47C22D57-AE0D-4661-8D89-97B869A90786}" uniqueName="4" name="origin" queryTableFieldId="4"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9F5BC7-4E48-41AB-8CE5-2E421B339BAE}" name="olist_closed_deals_dataset" displayName="olist_closed_deals_dataset" ref="A1:P871" tableType="queryTable" totalsRowShown="0">
  <autoFilter ref="A1:P871" xr:uid="{A49F5BC7-4E48-41AB-8CE5-2E421B339BAE}"/>
  <tableColumns count="16">
    <tableColumn id="1" xr3:uid="{01E0B9A6-825D-4924-8320-566CFED8B8C3}" uniqueName="1" name="mql_id" queryTableFieldId="1" dataDxfId="31"/>
    <tableColumn id="2" xr3:uid="{6F94203D-7C3F-41E0-9C1F-7154F498C9FA}" uniqueName="2" name="seller_id" queryTableFieldId="2" dataDxfId="30"/>
    <tableColumn id="3" xr3:uid="{2CC8FA2A-AF30-4FCF-B1FB-3D88B11A44ED}" uniqueName="3" name="sdr_id" queryTableFieldId="3" dataDxfId="29"/>
    <tableColumn id="4" xr3:uid="{75D09C9F-84C4-47A9-ADCE-6D7610A5B98E}" uniqueName="4" name="sr_id" queryTableFieldId="4" dataDxfId="28"/>
    <tableColumn id="5" xr3:uid="{C374053C-3C7C-44DE-8C93-920959F58EC1}" uniqueName="5" name="won_date" queryTableFieldId="5" dataDxfId="27"/>
    <tableColumn id="6" xr3:uid="{FE4EF894-006E-4F8D-A9B3-A44C4F04F16E}" uniqueName="6" name="business_segment" queryTableFieldId="6" dataDxfId="26"/>
    <tableColumn id="7" xr3:uid="{6C2109C6-E8EF-4180-B624-93C46002284F}" uniqueName="7" name="lead_type" queryTableFieldId="7" dataDxfId="25"/>
    <tableColumn id="8" xr3:uid="{B39CD3BC-FD73-46A4-BF11-ED4FDF7A2D14}" uniqueName="8" name="lead_behaviour_profile" queryTableFieldId="8" dataDxfId="24"/>
    <tableColumn id="9" xr3:uid="{172BEE33-7593-42BA-A5CF-5107EF7A7792}" uniqueName="9" name="has_company" queryTableFieldId="9"/>
    <tableColumn id="10" xr3:uid="{B4384F79-F3D4-48A3-B60A-D9F1ABB5AF12}" uniqueName="10" name="has_gtin" queryTableFieldId="10"/>
    <tableColumn id="11" xr3:uid="{E9017024-C899-4F34-A26E-5FA1CD097A00}" uniqueName="11" name="average_stock" queryTableFieldId="11" dataDxfId="23"/>
    <tableColumn id="12" xr3:uid="{18191564-85CD-4138-8ED7-1ACAE74FDDA2}" uniqueName="12" name="business_type" queryTableFieldId="12" dataDxfId="22"/>
    <tableColumn id="13" xr3:uid="{2C146717-536E-4A43-A3AE-903F48F2784B}" uniqueName="13" name="declared_product_catalog_size" queryTableFieldId="13"/>
    <tableColumn id="14" xr3:uid="{F955F4BD-D3B1-454D-9962-2D95FEB16A9B}" uniqueName="14" name="declared_monthly_revenue" queryTableFieldId="14"/>
    <tableColumn id="16" xr3:uid="{A47F8670-441E-409C-B117-8B5648145D2A}" uniqueName="16" name="origin" queryTableFieldId="16">
      <calculatedColumnFormula>_xlfn.XLOOKUP(olist_closed_deals_dataset[[#This Row],[mql_id]], leads!A:A, leads!D:D, "Unknow" )</calculatedColumnFormula>
    </tableColumn>
    <tableColumn id="15" xr3:uid="{A97086C7-F130-48F5-BB4A-3FD5F782B033}" uniqueName="15" name="deal_category" queryTableFieldId="17" dataDxfId="17">
      <calculatedColumnFormula>IF(olist_closed_deals_dataset[[#This Row],[declared_monthly_revenue]] &gt;= 10000, "High Values ", IF(olist_closed_deals_dataset[[#This Row],[declared_monthly_revenue]] &gt; 0, "Stander ", "No Revenue " ))</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59B9F9-AED6-4BD1-BF90-6492D7F7A5DB}" name="Table3" displayName="Table3" ref="A1:G9" totalsRowCount="1">
  <autoFilter ref="A1:G8" xr:uid="{3D59B9F9-AED6-4BD1-BF90-6492D7F7A5DB}"/>
  <tableColumns count="7">
    <tableColumn id="1" xr3:uid="{1679E0C7-E743-4622-8679-0EE585386D46}" name="origin" totalsRowLabel="Total"/>
    <tableColumn id="2" xr3:uid="{E57D92E7-1FF1-47C8-863C-15C95AF9770C}" name="Total Leads" totalsRowFunction="sum" dataDxfId="16">
      <calculatedColumnFormula>COUNTIF(leads!D:D, A2)</calculatedColumnFormula>
    </tableColumn>
    <tableColumn id="3" xr3:uid="{2EFF84F2-5A43-4C49-A5C6-3E6BEB670234}" name="Total Deals" totalsRowFunction="sum" dataDxfId="12">
      <calculatedColumnFormula>COUNTIF(deals!O:O, Table3[[#This Row],[origin]])</calculatedColumnFormula>
    </tableColumn>
    <tableColumn id="4" xr3:uid="{B01E6BA9-0277-4ED4-B57C-5C93BC33FF56}" name="Total Revenue" totalsRowFunction="sum" dataDxfId="10" totalsRowDxfId="9" dataCellStyle="Comma" totalsRowCellStyle="Comma">
      <calculatedColumnFormula>SUMIF(deals!O:O,Table3[[#This Row],[origin]],deals!N:N)</calculatedColumnFormula>
    </tableColumn>
    <tableColumn id="5" xr3:uid="{C57CEC93-84AB-4E23-965E-1A0486089E07}" name="Conversion Rate" totalsRowFunction="custom" dataDxfId="11" totalsRowDxfId="15" dataCellStyle="Percent">
      <calculatedColumnFormula>Table3[[#This Row],[Total Deals]] / Table3[[#This Row],[Total Leads]]</calculatedColumnFormula>
      <totalsRowFormula>C9/B9</totalsRowFormula>
    </tableColumn>
    <tableColumn id="6" xr3:uid="{E7D04157-B8CE-406A-A20A-D3341819749A}" name="High Value Deals" totalsRowFunction="sum" dataDxfId="14">
      <calculatedColumnFormula>COUNTIFS(deals!O:O,Table3[[#This Row],[origin]],deals!P:P, "High Values ")</calculatedColumnFormula>
    </tableColumn>
    <tableColumn id="7" xr3:uid="{8E0051E7-7675-44F8-BFF2-84FA8041E736}" name="Stander Deals" totalsRowFunction="sum" dataDxfId="13">
      <calculatedColumnFormula>COUNTIFS(deals!O:O,Table3[[#This Row],[origin]],deals!P:P,"Stander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6A14-611F-42FA-8A23-81FA1C57ED49}">
  <dimension ref="A1:D8001"/>
  <sheetViews>
    <sheetView workbookViewId="0"/>
  </sheetViews>
  <sheetFormatPr defaultRowHeight="14.25" x14ac:dyDescent="0.2"/>
  <cols>
    <col min="1" max="1" width="33.625" bestFit="1" customWidth="1"/>
    <col min="2" max="2" width="18.875" bestFit="1" customWidth="1"/>
    <col min="3" max="3" width="33.625" bestFit="1" customWidth="1"/>
    <col min="4" max="4" width="14.125" bestFit="1" customWidth="1"/>
  </cols>
  <sheetData>
    <row r="1" spans="1:4" x14ac:dyDescent="0.2">
      <c r="A1" t="s">
        <v>0</v>
      </c>
      <c r="B1" t="s">
        <v>1799</v>
      </c>
      <c r="C1" t="s">
        <v>1800</v>
      </c>
      <c r="D1" t="s">
        <v>1801</v>
      </c>
    </row>
    <row r="2" spans="1:4" x14ac:dyDescent="0.2">
      <c r="A2" t="s">
        <v>1802</v>
      </c>
      <c r="B2" s="2">
        <v>43132</v>
      </c>
      <c r="C2" t="s">
        <v>1803</v>
      </c>
      <c r="D2" t="s">
        <v>1804</v>
      </c>
    </row>
    <row r="3" spans="1:4" x14ac:dyDescent="0.2">
      <c r="A3" t="s">
        <v>1805</v>
      </c>
      <c r="B3" s="2">
        <v>43028</v>
      </c>
      <c r="C3" t="s">
        <v>1806</v>
      </c>
      <c r="D3" t="s">
        <v>1807</v>
      </c>
    </row>
    <row r="4" spans="1:4" x14ac:dyDescent="0.2">
      <c r="A4" t="s">
        <v>1808</v>
      </c>
      <c r="B4" s="2">
        <v>43181</v>
      </c>
      <c r="C4" t="s">
        <v>1809</v>
      </c>
      <c r="D4" t="s">
        <v>1810</v>
      </c>
    </row>
    <row r="5" spans="1:4" x14ac:dyDescent="0.2">
      <c r="A5" t="s">
        <v>1811</v>
      </c>
      <c r="B5" s="2">
        <v>43122</v>
      </c>
      <c r="C5" t="s">
        <v>1812</v>
      </c>
      <c r="D5" t="s">
        <v>1813</v>
      </c>
    </row>
    <row r="6" spans="1:4" x14ac:dyDescent="0.2">
      <c r="A6" t="s">
        <v>14</v>
      </c>
      <c r="B6" s="2">
        <v>43152</v>
      </c>
      <c r="C6" t="s">
        <v>1814</v>
      </c>
      <c r="D6" t="s">
        <v>1810</v>
      </c>
    </row>
    <row r="7" spans="1:4" x14ac:dyDescent="0.2">
      <c r="A7" t="s">
        <v>1815</v>
      </c>
      <c r="B7" s="2">
        <v>43114</v>
      </c>
      <c r="C7" t="s">
        <v>1816</v>
      </c>
      <c r="D7" t="s">
        <v>1810</v>
      </c>
    </row>
    <row r="8" spans="1:4" x14ac:dyDescent="0.2">
      <c r="A8" t="s">
        <v>1817</v>
      </c>
      <c r="B8" s="2">
        <v>43235</v>
      </c>
      <c r="C8" t="s">
        <v>1818</v>
      </c>
      <c r="D8" t="s">
        <v>1813</v>
      </c>
    </row>
    <row r="9" spans="1:4" x14ac:dyDescent="0.2">
      <c r="A9" t="s">
        <v>1819</v>
      </c>
      <c r="B9" s="2">
        <v>43244</v>
      </c>
      <c r="C9" t="s">
        <v>1820</v>
      </c>
      <c r="D9" t="s">
        <v>1813</v>
      </c>
    </row>
    <row r="10" spans="1:4" x14ac:dyDescent="0.2">
      <c r="A10" t="s">
        <v>1821</v>
      </c>
      <c r="B10" s="2">
        <v>43049</v>
      </c>
      <c r="C10" t="s">
        <v>1822</v>
      </c>
      <c r="D10" t="s">
        <v>1810</v>
      </c>
    </row>
    <row r="11" spans="1:4" x14ac:dyDescent="0.2">
      <c r="A11" t="s">
        <v>1823</v>
      </c>
      <c r="B11" s="2">
        <v>43094</v>
      </c>
      <c r="C11" t="s">
        <v>1803</v>
      </c>
      <c r="D11" t="s">
        <v>1804</v>
      </c>
    </row>
    <row r="12" spans="1:4" x14ac:dyDescent="0.2">
      <c r="A12" t="s">
        <v>1824</v>
      </c>
      <c r="B12" s="2">
        <v>43124</v>
      </c>
      <c r="C12" t="s">
        <v>1825</v>
      </c>
      <c r="D12" t="s">
        <v>1031</v>
      </c>
    </row>
    <row r="13" spans="1:4" x14ac:dyDescent="0.2">
      <c r="A13" t="s">
        <v>1826</v>
      </c>
      <c r="B13" s="2">
        <v>43220</v>
      </c>
      <c r="C13" t="s">
        <v>1827</v>
      </c>
      <c r="D13" t="s">
        <v>1807</v>
      </c>
    </row>
    <row r="14" spans="1:4" x14ac:dyDescent="0.2">
      <c r="A14" t="s">
        <v>22</v>
      </c>
      <c r="B14" s="2">
        <v>43194</v>
      </c>
      <c r="C14" t="s">
        <v>1828</v>
      </c>
      <c r="D14" t="s">
        <v>1829</v>
      </c>
    </row>
    <row r="15" spans="1:4" x14ac:dyDescent="0.2">
      <c r="A15" t="s">
        <v>1830</v>
      </c>
      <c r="B15" s="2">
        <v>43243</v>
      </c>
      <c r="C15" t="s">
        <v>1831</v>
      </c>
      <c r="D15" t="s">
        <v>1810</v>
      </c>
    </row>
    <row r="16" spans="1:4" x14ac:dyDescent="0.2">
      <c r="A16" t="s">
        <v>29</v>
      </c>
      <c r="B16" s="2">
        <v>43193</v>
      </c>
      <c r="C16" t="s">
        <v>1832</v>
      </c>
      <c r="D16" t="s">
        <v>1810</v>
      </c>
    </row>
    <row r="17" spans="1:4" x14ac:dyDescent="0.2">
      <c r="A17" t="s">
        <v>1833</v>
      </c>
      <c r="B17" s="2">
        <v>43077</v>
      </c>
      <c r="C17" t="s">
        <v>1834</v>
      </c>
      <c r="D17" t="s">
        <v>1807</v>
      </c>
    </row>
    <row r="18" spans="1:4" x14ac:dyDescent="0.2">
      <c r="A18" t="s">
        <v>1835</v>
      </c>
      <c r="B18" s="2">
        <v>43147</v>
      </c>
      <c r="C18" t="s">
        <v>1836</v>
      </c>
      <c r="D18" t="s">
        <v>1031</v>
      </c>
    </row>
    <row r="19" spans="1:4" x14ac:dyDescent="0.2">
      <c r="A19" t="s">
        <v>1837</v>
      </c>
      <c r="B19" s="2">
        <v>43113</v>
      </c>
      <c r="C19" t="s">
        <v>1838</v>
      </c>
      <c r="D19" t="s">
        <v>1810</v>
      </c>
    </row>
    <row r="20" spans="1:4" x14ac:dyDescent="0.2">
      <c r="A20" t="s">
        <v>1839</v>
      </c>
      <c r="B20" s="2">
        <v>43115</v>
      </c>
      <c r="C20" t="s">
        <v>1816</v>
      </c>
      <c r="D20" t="s">
        <v>1840</v>
      </c>
    </row>
    <row r="21" spans="1:4" x14ac:dyDescent="0.2">
      <c r="A21" t="s">
        <v>1841</v>
      </c>
      <c r="B21" s="2">
        <v>43154</v>
      </c>
      <c r="C21" t="s">
        <v>1809</v>
      </c>
      <c r="D21" t="s">
        <v>1810</v>
      </c>
    </row>
    <row r="22" spans="1:4" x14ac:dyDescent="0.2">
      <c r="A22" t="s">
        <v>1842</v>
      </c>
      <c r="B22" s="2">
        <v>42941</v>
      </c>
      <c r="C22" t="s">
        <v>1843</v>
      </c>
      <c r="D22" t="s">
        <v>1807</v>
      </c>
    </row>
    <row r="23" spans="1:4" x14ac:dyDescent="0.2">
      <c r="A23" t="s">
        <v>1844</v>
      </c>
      <c r="B23" s="2">
        <v>42929</v>
      </c>
      <c r="C23" t="s">
        <v>1845</v>
      </c>
      <c r="D23" t="s">
        <v>1810</v>
      </c>
    </row>
    <row r="24" spans="1:4" x14ac:dyDescent="0.2">
      <c r="A24" t="s">
        <v>1846</v>
      </c>
      <c r="B24" s="2">
        <v>43171</v>
      </c>
      <c r="C24" t="s">
        <v>1809</v>
      </c>
      <c r="D24" t="s">
        <v>1031</v>
      </c>
    </row>
    <row r="25" spans="1:4" x14ac:dyDescent="0.2">
      <c r="A25" t="s">
        <v>1847</v>
      </c>
      <c r="B25" s="2">
        <v>43204</v>
      </c>
      <c r="C25" t="s">
        <v>1816</v>
      </c>
      <c r="D25" t="s">
        <v>1810</v>
      </c>
    </row>
    <row r="26" spans="1:4" x14ac:dyDescent="0.2">
      <c r="A26" t="s">
        <v>1848</v>
      </c>
      <c r="B26" s="2">
        <v>43100</v>
      </c>
      <c r="C26" t="s">
        <v>1816</v>
      </c>
      <c r="D26" t="s">
        <v>1849</v>
      </c>
    </row>
    <row r="27" spans="1:4" x14ac:dyDescent="0.2">
      <c r="A27" t="s">
        <v>1850</v>
      </c>
      <c r="B27" s="2">
        <v>42989</v>
      </c>
      <c r="C27" t="s">
        <v>1814</v>
      </c>
      <c r="D27" t="s">
        <v>1810</v>
      </c>
    </row>
    <row r="28" spans="1:4" x14ac:dyDescent="0.2">
      <c r="A28" t="s">
        <v>1851</v>
      </c>
      <c r="B28" s="2">
        <v>43249</v>
      </c>
      <c r="C28" t="s">
        <v>1852</v>
      </c>
      <c r="D28" t="s">
        <v>1829</v>
      </c>
    </row>
    <row r="29" spans="1:4" x14ac:dyDescent="0.2">
      <c r="A29" t="s">
        <v>1853</v>
      </c>
      <c r="B29" s="2">
        <v>43222</v>
      </c>
      <c r="C29" t="s">
        <v>1854</v>
      </c>
      <c r="D29" t="s">
        <v>1810</v>
      </c>
    </row>
    <row r="30" spans="1:4" x14ac:dyDescent="0.2">
      <c r="A30" t="s">
        <v>1855</v>
      </c>
      <c r="B30" s="2">
        <v>43205</v>
      </c>
      <c r="C30" t="s">
        <v>1816</v>
      </c>
      <c r="D30" t="s">
        <v>1804</v>
      </c>
    </row>
    <row r="31" spans="1:4" x14ac:dyDescent="0.2">
      <c r="A31" t="s">
        <v>1856</v>
      </c>
      <c r="B31" s="2">
        <v>43228</v>
      </c>
      <c r="C31" t="s">
        <v>1857</v>
      </c>
      <c r="D31" t="s">
        <v>1804</v>
      </c>
    </row>
    <row r="32" spans="1:4" x14ac:dyDescent="0.2">
      <c r="A32" t="s">
        <v>1858</v>
      </c>
      <c r="B32" s="2">
        <v>43100</v>
      </c>
      <c r="C32" t="s">
        <v>1859</v>
      </c>
      <c r="D32" t="s">
        <v>1849</v>
      </c>
    </row>
    <row r="33" spans="1:4" x14ac:dyDescent="0.2">
      <c r="A33" t="s">
        <v>1860</v>
      </c>
      <c r="B33" s="2">
        <v>43126</v>
      </c>
      <c r="C33" t="s">
        <v>1816</v>
      </c>
      <c r="D33" t="s">
        <v>1807</v>
      </c>
    </row>
    <row r="34" spans="1:4" x14ac:dyDescent="0.2">
      <c r="A34" t="s">
        <v>1861</v>
      </c>
      <c r="B34" s="2">
        <v>43153</v>
      </c>
      <c r="C34" t="s">
        <v>1809</v>
      </c>
      <c r="D34" t="s">
        <v>1810</v>
      </c>
    </row>
    <row r="35" spans="1:4" x14ac:dyDescent="0.2">
      <c r="A35" t="s">
        <v>1862</v>
      </c>
      <c r="B35" s="2">
        <v>43231</v>
      </c>
      <c r="C35" t="s">
        <v>1863</v>
      </c>
      <c r="D35" t="s">
        <v>1804</v>
      </c>
    </row>
    <row r="36" spans="1:4" x14ac:dyDescent="0.2">
      <c r="A36" t="s">
        <v>1864</v>
      </c>
      <c r="B36" s="2">
        <v>43208</v>
      </c>
      <c r="C36" t="s">
        <v>1865</v>
      </c>
      <c r="D36" t="s">
        <v>1807</v>
      </c>
    </row>
    <row r="37" spans="1:4" x14ac:dyDescent="0.2">
      <c r="A37" t="s">
        <v>1866</v>
      </c>
      <c r="B37" s="2">
        <v>43004</v>
      </c>
      <c r="C37" t="s">
        <v>1867</v>
      </c>
      <c r="D37" t="s">
        <v>1829</v>
      </c>
    </row>
    <row r="38" spans="1:4" x14ac:dyDescent="0.2">
      <c r="A38" t="s">
        <v>1868</v>
      </c>
      <c r="B38" s="2">
        <v>43166</v>
      </c>
      <c r="C38" t="s">
        <v>1825</v>
      </c>
      <c r="D38" t="s">
        <v>1849</v>
      </c>
    </row>
    <row r="39" spans="1:4" x14ac:dyDescent="0.2">
      <c r="A39" t="s">
        <v>1869</v>
      </c>
      <c r="B39" s="2">
        <v>43175</v>
      </c>
      <c r="C39" t="s">
        <v>1836</v>
      </c>
      <c r="D39" t="s">
        <v>1031</v>
      </c>
    </row>
    <row r="40" spans="1:4" x14ac:dyDescent="0.2">
      <c r="A40" t="s">
        <v>1870</v>
      </c>
      <c r="B40" s="2">
        <v>43007</v>
      </c>
      <c r="C40" t="s">
        <v>1825</v>
      </c>
      <c r="D40" t="s">
        <v>1810</v>
      </c>
    </row>
    <row r="41" spans="1:4" x14ac:dyDescent="0.2">
      <c r="A41" t="s">
        <v>35</v>
      </c>
      <c r="B41" s="2">
        <v>43114</v>
      </c>
      <c r="C41" t="s">
        <v>1816</v>
      </c>
      <c r="D41" t="s">
        <v>1807</v>
      </c>
    </row>
    <row r="42" spans="1:4" x14ac:dyDescent="0.2">
      <c r="A42" t="s">
        <v>1871</v>
      </c>
      <c r="B42" s="2">
        <v>43103</v>
      </c>
      <c r="C42" t="s">
        <v>1816</v>
      </c>
      <c r="D42" t="s">
        <v>1829</v>
      </c>
    </row>
    <row r="43" spans="1:4" x14ac:dyDescent="0.2">
      <c r="A43" t="s">
        <v>1872</v>
      </c>
      <c r="B43" s="2">
        <v>43250</v>
      </c>
      <c r="C43" t="s">
        <v>1873</v>
      </c>
      <c r="D43" t="s">
        <v>1807</v>
      </c>
    </row>
    <row r="44" spans="1:4" x14ac:dyDescent="0.2">
      <c r="A44" t="s">
        <v>1874</v>
      </c>
      <c r="B44" s="2">
        <v>43187</v>
      </c>
      <c r="C44" t="s">
        <v>1875</v>
      </c>
      <c r="D44" t="s">
        <v>1840</v>
      </c>
    </row>
    <row r="45" spans="1:4" x14ac:dyDescent="0.2">
      <c r="A45" t="s">
        <v>1876</v>
      </c>
      <c r="B45" s="2">
        <v>43136</v>
      </c>
      <c r="C45" t="s">
        <v>1825</v>
      </c>
      <c r="D45" t="s">
        <v>1810</v>
      </c>
    </row>
    <row r="46" spans="1:4" x14ac:dyDescent="0.2">
      <c r="A46" t="s">
        <v>1877</v>
      </c>
      <c r="B46" s="2">
        <v>43148</v>
      </c>
      <c r="C46" t="s">
        <v>1878</v>
      </c>
      <c r="D46" t="s">
        <v>1810</v>
      </c>
    </row>
    <row r="47" spans="1:4" x14ac:dyDescent="0.2">
      <c r="A47" t="s">
        <v>1879</v>
      </c>
      <c r="B47" s="2">
        <v>42922</v>
      </c>
      <c r="C47" t="s">
        <v>1880</v>
      </c>
      <c r="D47" t="s">
        <v>1031</v>
      </c>
    </row>
    <row r="48" spans="1:4" x14ac:dyDescent="0.2">
      <c r="A48" t="s">
        <v>1881</v>
      </c>
      <c r="B48" s="2">
        <v>43209</v>
      </c>
      <c r="C48" t="s">
        <v>1863</v>
      </c>
      <c r="D48" t="s">
        <v>1804</v>
      </c>
    </row>
    <row r="49" spans="1:4" x14ac:dyDescent="0.2">
      <c r="A49" t="s">
        <v>1882</v>
      </c>
      <c r="B49" s="2">
        <v>43195</v>
      </c>
      <c r="C49" t="s">
        <v>1816</v>
      </c>
      <c r="D49" t="s">
        <v>1840</v>
      </c>
    </row>
    <row r="50" spans="1:4" x14ac:dyDescent="0.2">
      <c r="A50" t="s">
        <v>1883</v>
      </c>
      <c r="B50" s="2">
        <v>43159</v>
      </c>
      <c r="C50" t="s">
        <v>1836</v>
      </c>
      <c r="D50" t="s">
        <v>1810</v>
      </c>
    </row>
    <row r="51" spans="1:4" x14ac:dyDescent="0.2">
      <c r="A51" t="s">
        <v>1884</v>
      </c>
      <c r="B51" s="2">
        <v>43122</v>
      </c>
      <c r="C51" t="s">
        <v>1885</v>
      </c>
      <c r="D51" t="s">
        <v>1807</v>
      </c>
    </row>
    <row r="52" spans="1:4" x14ac:dyDescent="0.2">
      <c r="A52" t="s">
        <v>1886</v>
      </c>
      <c r="B52" s="2">
        <v>43027</v>
      </c>
      <c r="C52" t="s">
        <v>1887</v>
      </c>
      <c r="D52" t="s">
        <v>1813</v>
      </c>
    </row>
    <row r="53" spans="1:4" x14ac:dyDescent="0.2">
      <c r="A53" t="s">
        <v>1888</v>
      </c>
      <c r="B53" s="2">
        <v>43018</v>
      </c>
      <c r="C53" t="s">
        <v>1889</v>
      </c>
      <c r="D53" t="s">
        <v>1807</v>
      </c>
    </row>
    <row r="54" spans="1:4" x14ac:dyDescent="0.2">
      <c r="A54" t="s">
        <v>1890</v>
      </c>
      <c r="B54" s="2">
        <v>42954</v>
      </c>
      <c r="C54" t="s">
        <v>1836</v>
      </c>
      <c r="D54" t="s">
        <v>1810</v>
      </c>
    </row>
    <row r="55" spans="1:4" x14ac:dyDescent="0.2">
      <c r="A55" t="s">
        <v>1891</v>
      </c>
      <c r="B55" s="2">
        <v>42957</v>
      </c>
      <c r="C55" t="s">
        <v>1892</v>
      </c>
      <c r="D55" t="s">
        <v>1810</v>
      </c>
    </row>
    <row r="56" spans="1:4" x14ac:dyDescent="0.2">
      <c r="A56" t="s">
        <v>1893</v>
      </c>
      <c r="B56" s="2">
        <v>42990</v>
      </c>
      <c r="C56" t="s">
        <v>1894</v>
      </c>
      <c r="D56" t="s">
        <v>1804</v>
      </c>
    </row>
    <row r="57" spans="1:4" x14ac:dyDescent="0.2">
      <c r="A57" t="s">
        <v>1895</v>
      </c>
      <c r="B57" s="2">
        <v>43165</v>
      </c>
      <c r="C57" t="s">
        <v>1836</v>
      </c>
      <c r="D57" t="s">
        <v>1031</v>
      </c>
    </row>
    <row r="58" spans="1:4" x14ac:dyDescent="0.2">
      <c r="A58" t="s">
        <v>1896</v>
      </c>
      <c r="B58" s="2">
        <v>42926</v>
      </c>
      <c r="C58" t="s">
        <v>1897</v>
      </c>
      <c r="D58" t="s">
        <v>1804</v>
      </c>
    </row>
    <row r="59" spans="1:4" x14ac:dyDescent="0.2">
      <c r="A59" t="s">
        <v>1898</v>
      </c>
      <c r="B59" s="2">
        <v>43139</v>
      </c>
      <c r="C59" t="s">
        <v>1803</v>
      </c>
      <c r="D59" t="s">
        <v>1804</v>
      </c>
    </row>
    <row r="60" spans="1:4" x14ac:dyDescent="0.2">
      <c r="A60" t="s">
        <v>1899</v>
      </c>
      <c r="B60" s="2">
        <v>43110</v>
      </c>
      <c r="C60" t="s">
        <v>1900</v>
      </c>
      <c r="D60" t="s">
        <v>1840</v>
      </c>
    </row>
    <row r="61" spans="1:4" x14ac:dyDescent="0.2">
      <c r="A61" t="s">
        <v>1901</v>
      </c>
      <c r="B61" s="2">
        <v>43128</v>
      </c>
      <c r="C61" t="s">
        <v>1902</v>
      </c>
      <c r="D61" t="s">
        <v>1796</v>
      </c>
    </row>
    <row r="62" spans="1:4" x14ac:dyDescent="0.2">
      <c r="A62" t="s">
        <v>1903</v>
      </c>
      <c r="B62" s="2">
        <v>43245</v>
      </c>
      <c r="C62" t="s">
        <v>1863</v>
      </c>
      <c r="D62" t="s">
        <v>1804</v>
      </c>
    </row>
    <row r="63" spans="1:4" x14ac:dyDescent="0.2">
      <c r="A63" t="s">
        <v>1904</v>
      </c>
      <c r="B63" s="2">
        <v>43029</v>
      </c>
      <c r="C63" t="s">
        <v>1905</v>
      </c>
      <c r="D63" t="s">
        <v>1840</v>
      </c>
    </row>
    <row r="64" spans="1:4" x14ac:dyDescent="0.2">
      <c r="A64" t="s">
        <v>1906</v>
      </c>
      <c r="B64" s="2">
        <v>43129</v>
      </c>
      <c r="C64" t="s">
        <v>1907</v>
      </c>
      <c r="D64" t="s">
        <v>1807</v>
      </c>
    </row>
    <row r="65" spans="1:4" x14ac:dyDescent="0.2">
      <c r="A65" t="s">
        <v>1908</v>
      </c>
      <c r="B65" s="2">
        <v>43229</v>
      </c>
      <c r="C65" t="s">
        <v>1909</v>
      </c>
      <c r="D65" t="s">
        <v>1910</v>
      </c>
    </row>
    <row r="66" spans="1:4" x14ac:dyDescent="0.2">
      <c r="A66" t="s">
        <v>1911</v>
      </c>
      <c r="B66" s="2">
        <v>43151</v>
      </c>
      <c r="C66" t="s">
        <v>1803</v>
      </c>
      <c r="D66" t="s">
        <v>1804</v>
      </c>
    </row>
    <row r="67" spans="1:4" x14ac:dyDescent="0.2">
      <c r="A67" t="s">
        <v>1912</v>
      </c>
      <c r="B67" s="2">
        <v>43216</v>
      </c>
      <c r="C67" t="s">
        <v>1905</v>
      </c>
      <c r="D67" t="s">
        <v>1810</v>
      </c>
    </row>
    <row r="68" spans="1:4" x14ac:dyDescent="0.2">
      <c r="A68" t="s">
        <v>1913</v>
      </c>
      <c r="B68" s="2">
        <v>43105</v>
      </c>
      <c r="C68" t="s">
        <v>1914</v>
      </c>
      <c r="D68" t="s">
        <v>1810</v>
      </c>
    </row>
    <row r="69" spans="1:4" x14ac:dyDescent="0.2">
      <c r="A69" t="s">
        <v>40</v>
      </c>
      <c r="B69" s="2">
        <v>43017</v>
      </c>
      <c r="C69" t="s">
        <v>1915</v>
      </c>
      <c r="D69" t="s">
        <v>1031</v>
      </c>
    </row>
    <row r="70" spans="1:4" x14ac:dyDescent="0.2">
      <c r="A70" t="s">
        <v>1916</v>
      </c>
      <c r="B70" s="2">
        <v>43240</v>
      </c>
      <c r="C70" t="s">
        <v>1816</v>
      </c>
      <c r="D70" t="s">
        <v>1810</v>
      </c>
    </row>
    <row r="71" spans="1:4" x14ac:dyDescent="0.2">
      <c r="A71" t="s">
        <v>1917</v>
      </c>
      <c r="B71" s="2">
        <v>43202</v>
      </c>
      <c r="C71" t="s">
        <v>1831</v>
      </c>
      <c r="D71" t="s">
        <v>160</v>
      </c>
    </row>
    <row r="72" spans="1:4" x14ac:dyDescent="0.2">
      <c r="A72" t="s">
        <v>1918</v>
      </c>
      <c r="B72" s="2">
        <v>42927</v>
      </c>
      <c r="C72" t="s">
        <v>1919</v>
      </c>
      <c r="D72" t="s">
        <v>160</v>
      </c>
    </row>
    <row r="73" spans="1:4" x14ac:dyDescent="0.2">
      <c r="A73" t="s">
        <v>1920</v>
      </c>
      <c r="B73" s="2">
        <v>42924</v>
      </c>
      <c r="C73" t="s">
        <v>1921</v>
      </c>
      <c r="D73" t="s">
        <v>1810</v>
      </c>
    </row>
    <row r="74" spans="1:4" x14ac:dyDescent="0.2">
      <c r="A74" t="s">
        <v>1922</v>
      </c>
      <c r="B74" s="2">
        <v>43129</v>
      </c>
      <c r="C74" t="s">
        <v>1803</v>
      </c>
      <c r="D74" t="s">
        <v>1804</v>
      </c>
    </row>
    <row r="75" spans="1:4" x14ac:dyDescent="0.2">
      <c r="A75" t="s">
        <v>1923</v>
      </c>
      <c r="B75" s="2">
        <v>43166</v>
      </c>
      <c r="C75" t="s">
        <v>1803</v>
      </c>
      <c r="D75" t="s">
        <v>1804</v>
      </c>
    </row>
    <row r="76" spans="1:4" x14ac:dyDescent="0.2">
      <c r="A76" t="s">
        <v>1924</v>
      </c>
      <c r="B76" s="2">
        <v>43231</v>
      </c>
      <c r="C76" t="s">
        <v>1836</v>
      </c>
      <c r="D76" t="s">
        <v>1796</v>
      </c>
    </row>
    <row r="77" spans="1:4" x14ac:dyDescent="0.2">
      <c r="A77" t="s">
        <v>1925</v>
      </c>
      <c r="B77" s="2">
        <v>42983</v>
      </c>
      <c r="C77" t="s">
        <v>1894</v>
      </c>
      <c r="D77" t="s">
        <v>1804</v>
      </c>
    </row>
    <row r="78" spans="1:4" x14ac:dyDescent="0.2">
      <c r="A78" t="s">
        <v>1926</v>
      </c>
      <c r="B78" s="2">
        <v>42954</v>
      </c>
      <c r="C78" t="s">
        <v>1816</v>
      </c>
      <c r="D78" t="s">
        <v>1807</v>
      </c>
    </row>
    <row r="79" spans="1:4" x14ac:dyDescent="0.2">
      <c r="A79" t="s">
        <v>1927</v>
      </c>
      <c r="B79" s="2">
        <v>43245</v>
      </c>
      <c r="C79" t="s">
        <v>1928</v>
      </c>
      <c r="D79" t="s">
        <v>1813</v>
      </c>
    </row>
    <row r="80" spans="1:4" x14ac:dyDescent="0.2">
      <c r="A80" t="s">
        <v>1929</v>
      </c>
      <c r="B80" s="2">
        <v>42974</v>
      </c>
      <c r="C80" t="s">
        <v>1843</v>
      </c>
      <c r="D80" t="s">
        <v>1807</v>
      </c>
    </row>
    <row r="81" spans="1:4" x14ac:dyDescent="0.2">
      <c r="A81" t="s">
        <v>45</v>
      </c>
      <c r="B81" s="2">
        <v>43137</v>
      </c>
      <c r="C81" t="s">
        <v>1930</v>
      </c>
      <c r="D81" t="s">
        <v>1810</v>
      </c>
    </row>
    <row r="82" spans="1:4" x14ac:dyDescent="0.2">
      <c r="A82" t="s">
        <v>1931</v>
      </c>
      <c r="B82" s="2">
        <v>42971</v>
      </c>
      <c r="C82" t="s">
        <v>1816</v>
      </c>
      <c r="D82" t="s">
        <v>1829</v>
      </c>
    </row>
    <row r="83" spans="1:4" x14ac:dyDescent="0.2">
      <c r="A83" t="s">
        <v>1932</v>
      </c>
      <c r="B83" s="2">
        <v>43053</v>
      </c>
      <c r="C83" t="s">
        <v>1836</v>
      </c>
      <c r="D83" t="s">
        <v>1031</v>
      </c>
    </row>
    <row r="84" spans="1:4" x14ac:dyDescent="0.2">
      <c r="A84" t="s">
        <v>50</v>
      </c>
      <c r="B84" s="2">
        <v>43151</v>
      </c>
      <c r="C84" t="s">
        <v>1867</v>
      </c>
      <c r="D84" t="s">
        <v>1840</v>
      </c>
    </row>
    <row r="85" spans="1:4" x14ac:dyDescent="0.2">
      <c r="A85" t="s">
        <v>1933</v>
      </c>
      <c r="B85" s="2">
        <v>43026</v>
      </c>
      <c r="C85" t="s">
        <v>1836</v>
      </c>
      <c r="D85" t="s">
        <v>1031</v>
      </c>
    </row>
    <row r="86" spans="1:4" x14ac:dyDescent="0.2">
      <c r="A86" t="s">
        <v>1934</v>
      </c>
      <c r="B86" s="2">
        <v>43130</v>
      </c>
      <c r="C86" t="s">
        <v>1930</v>
      </c>
      <c r="D86" t="s">
        <v>1807</v>
      </c>
    </row>
    <row r="87" spans="1:4" x14ac:dyDescent="0.2">
      <c r="A87" t="s">
        <v>1935</v>
      </c>
      <c r="B87" s="2">
        <v>43234</v>
      </c>
      <c r="C87" t="s">
        <v>1836</v>
      </c>
      <c r="D87" t="s">
        <v>1031</v>
      </c>
    </row>
    <row r="88" spans="1:4" x14ac:dyDescent="0.2">
      <c r="A88" t="s">
        <v>54</v>
      </c>
      <c r="B88" s="2">
        <v>43203</v>
      </c>
      <c r="C88" t="s">
        <v>1836</v>
      </c>
      <c r="D88" t="s">
        <v>1031</v>
      </c>
    </row>
    <row r="89" spans="1:4" x14ac:dyDescent="0.2">
      <c r="A89" t="s">
        <v>1936</v>
      </c>
      <c r="B89" s="2">
        <v>43024</v>
      </c>
      <c r="C89" t="s">
        <v>1937</v>
      </c>
      <c r="D89" t="s">
        <v>1807</v>
      </c>
    </row>
    <row r="90" spans="1:4" x14ac:dyDescent="0.2">
      <c r="A90" t="s">
        <v>1938</v>
      </c>
      <c r="B90" s="2">
        <v>43063</v>
      </c>
      <c r="C90" t="s">
        <v>1939</v>
      </c>
      <c r="D90" t="s">
        <v>1849</v>
      </c>
    </row>
    <row r="91" spans="1:4" x14ac:dyDescent="0.2">
      <c r="A91" t="s">
        <v>1940</v>
      </c>
      <c r="B91" s="2">
        <v>43183</v>
      </c>
      <c r="C91" t="s">
        <v>1806</v>
      </c>
      <c r="D91" t="s">
        <v>1807</v>
      </c>
    </row>
    <row r="92" spans="1:4" x14ac:dyDescent="0.2">
      <c r="A92" t="s">
        <v>1941</v>
      </c>
      <c r="B92" s="2">
        <v>42993</v>
      </c>
      <c r="C92" t="s">
        <v>1806</v>
      </c>
      <c r="D92" t="s">
        <v>1807</v>
      </c>
    </row>
    <row r="93" spans="1:4" x14ac:dyDescent="0.2">
      <c r="A93" t="s">
        <v>1942</v>
      </c>
      <c r="B93" s="2">
        <v>43180</v>
      </c>
      <c r="C93" t="s">
        <v>1905</v>
      </c>
      <c r="D93" t="s">
        <v>1810</v>
      </c>
    </row>
    <row r="94" spans="1:4" x14ac:dyDescent="0.2">
      <c r="A94" t="s">
        <v>1943</v>
      </c>
      <c r="B94" s="2">
        <v>43180</v>
      </c>
      <c r="C94" t="s">
        <v>1867</v>
      </c>
      <c r="D94" t="s">
        <v>1810</v>
      </c>
    </row>
    <row r="95" spans="1:4" x14ac:dyDescent="0.2">
      <c r="A95" t="s">
        <v>1944</v>
      </c>
      <c r="B95" s="2">
        <v>43101</v>
      </c>
      <c r="C95" t="s">
        <v>1930</v>
      </c>
      <c r="D95" t="s">
        <v>1829</v>
      </c>
    </row>
    <row r="96" spans="1:4" x14ac:dyDescent="0.2">
      <c r="A96" t="s">
        <v>1945</v>
      </c>
      <c r="B96" s="2">
        <v>43179</v>
      </c>
      <c r="C96" t="s">
        <v>1907</v>
      </c>
      <c r="D96" t="s">
        <v>1840</v>
      </c>
    </row>
    <row r="97" spans="1:4" x14ac:dyDescent="0.2">
      <c r="A97" t="s">
        <v>1946</v>
      </c>
      <c r="B97" s="2">
        <v>43055</v>
      </c>
      <c r="C97" t="s">
        <v>1905</v>
      </c>
      <c r="D97" t="s">
        <v>1810</v>
      </c>
    </row>
    <row r="98" spans="1:4" x14ac:dyDescent="0.2">
      <c r="A98" t="s">
        <v>1947</v>
      </c>
      <c r="B98" s="2">
        <v>43210</v>
      </c>
      <c r="C98" t="s">
        <v>1905</v>
      </c>
      <c r="D98" t="s">
        <v>1810</v>
      </c>
    </row>
    <row r="99" spans="1:4" x14ac:dyDescent="0.2">
      <c r="A99" t="s">
        <v>1948</v>
      </c>
      <c r="B99" s="2">
        <v>43234</v>
      </c>
      <c r="C99" t="s">
        <v>1809</v>
      </c>
      <c r="D99" t="s">
        <v>1849</v>
      </c>
    </row>
    <row r="100" spans="1:4" x14ac:dyDescent="0.2">
      <c r="A100" t="s">
        <v>58</v>
      </c>
      <c r="B100" s="2">
        <v>43217</v>
      </c>
      <c r="C100" t="s">
        <v>1863</v>
      </c>
      <c r="D100" t="s">
        <v>1804</v>
      </c>
    </row>
    <row r="101" spans="1:4" x14ac:dyDescent="0.2">
      <c r="A101" t="s">
        <v>1949</v>
      </c>
      <c r="B101" s="2">
        <v>43173</v>
      </c>
      <c r="C101" t="s">
        <v>1836</v>
      </c>
      <c r="D101" t="s">
        <v>1031</v>
      </c>
    </row>
    <row r="102" spans="1:4" x14ac:dyDescent="0.2">
      <c r="A102" t="s">
        <v>1950</v>
      </c>
      <c r="B102" s="2">
        <v>43194</v>
      </c>
      <c r="C102" t="s">
        <v>1816</v>
      </c>
      <c r="D102" t="s">
        <v>1810</v>
      </c>
    </row>
    <row r="103" spans="1:4" x14ac:dyDescent="0.2">
      <c r="A103" t="s">
        <v>1951</v>
      </c>
      <c r="B103" s="2">
        <v>42924</v>
      </c>
      <c r="C103" t="s">
        <v>1907</v>
      </c>
      <c r="D103" t="s">
        <v>1807</v>
      </c>
    </row>
    <row r="104" spans="1:4" x14ac:dyDescent="0.2">
      <c r="A104" t="s">
        <v>1952</v>
      </c>
      <c r="B104" s="2">
        <v>43137</v>
      </c>
      <c r="C104" t="s">
        <v>1867</v>
      </c>
      <c r="D104" t="s">
        <v>1810</v>
      </c>
    </row>
    <row r="105" spans="1:4" x14ac:dyDescent="0.2">
      <c r="A105" t="s">
        <v>1953</v>
      </c>
      <c r="B105" s="2">
        <v>43235</v>
      </c>
      <c r="C105" t="s">
        <v>1825</v>
      </c>
      <c r="D105" t="s">
        <v>1910</v>
      </c>
    </row>
    <row r="106" spans="1:4" x14ac:dyDescent="0.2">
      <c r="A106" t="s">
        <v>1954</v>
      </c>
      <c r="B106" s="2">
        <v>43047</v>
      </c>
      <c r="C106" t="s">
        <v>1889</v>
      </c>
      <c r="D106" t="s">
        <v>1031</v>
      </c>
    </row>
    <row r="107" spans="1:4" x14ac:dyDescent="0.2">
      <c r="A107" t="s">
        <v>1955</v>
      </c>
      <c r="B107" s="2">
        <v>43216</v>
      </c>
      <c r="C107" t="s">
        <v>1867</v>
      </c>
      <c r="D107" t="s">
        <v>1810</v>
      </c>
    </row>
    <row r="108" spans="1:4" x14ac:dyDescent="0.2">
      <c r="A108" t="s">
        <v>1956</v>
      </c>
      <c r="B108" s="2">
        <v>43216</v>
      </c>
      <c r="C108" t="s">
        <v>1825</v>
      </c>
      <c r="D108" t="s">
        <v>1810</v>
      </c>
    </row>
    <row r="109" spans="1:4" x14ac:dyDescent="0.2">
      <c r="A109" t="s">
        <v>1957</v>
      </c>
      <c r="B109" s="2">
        <v>43217</v>
      </c>
      <c r="C109" t="s">
        <v>1857</v>
      </c>
      <c r="D109" t="s">
        <v>1804</v>
      </c>
    </row>
    <row r="110" spans="1:4" x14ac:dyDescent="0.2">
      <c r="A110" t="s">
        <v>1958</v>
      </c>
      <c r="B110" s="2">
        <v>43108</v>
      </c>
      <c r="C110" t="s">
        <v>1959</v>
      </c>
      <c r="D110" t="s">
        <v>1810</v>
      </c>
    </row>
    <row r="111" spans="1:4" x14ac:dyDescent="0.2">
      <c r="A111" t="s">
        <v>1960</v>
      </c>
      <c r="B111" s="2">
        <v>43213</v>
      </c>
      <c r="C111" t="s">
        <v>1930</v>
      </c>
      <c r="D111" t="s">
        <v>1807</v>
      </c>
    </row>
    <row r="112" spans="1:4" x14ac:dyDescent="0.2">
      <c r="A112" t="s">
        <v>62</v>
      </c>
      <c r="B112" s="2">
        <v>43026</v>
      </c>
      <c r="C112" t="s">
        <v>1806</v>
      </c>
      <c r="D112" t="s">
        <v>1807</v>
      </c>
    </row>
    <row r="113" spans="1:4" x14ac:dyDescent="0.2">
      <c r="A113" t="s">
        <v>1961</v>
      </c>
      <c r="B113" s="2">
        <v>43034</v>
      </c>
      <c r="C113" t="s">
        <v>1803</v>
      </c>
      <c r="D113" t="s">
        <v>1804</v>
      </c>
    </row>
    <row r="114" spans="1:4" x14ac:dyDescent="0.2">
      <c r="A114" t="s">
        <v>1962</v>
      </c>
      <c r="B114" s="2">
        <v>43222</v>
      </c>
      <c r="C114" t="s">
        <v>1825</v>
      </c>
      <c r="D114" t="s">
        <v>1810</v>
      </c>
    </row>
    <row r="115" spans="1:4" x14ac:dyDescent="0.2">
      <c r="A115" t="s">
        <v>1963</v>
      </c>
      <c r="B115" s="2">
        <v>42969</v>
      </c>
      <c r="C115" t="s">
        <v>1964</v>
      </c>
      <c r="D115" t="s">
        <v>1813</v>
      </c>
    </row>
    <row r="116" spans="1:4" x14ac:dyDescent="0.2">
      <c r="A116" t="s">
        <v>1965</v>
      </c>
      <c r="B116" s="2">
        <v>43192</v>
      </c>
      <c r="C116" t="s">
        <v>1966</v>
      </c>
      <c r="D116" t="s">
        <v>1031</v>
      </c>
    </row>
    <row r="117" spans="1:4" x14ac:dyDescent="0.2">
      <c r="A117" t="s">
        <v>1967</v>
      </c>
      <c r="B117" s="2">
        <v>43117</v>
      </c>
      <c r="C117" t="s">
        <v>1968</v>
      </c>
      <c r="D117" t="s">
        <v>1807</v>
      </c>
    </row>
    <row r="118" spans="1:4" x14ac:dyDescent="0.2">
      <c r="A118" t="s">
        <v>1969</v>
      </c>
      <c r="B118" s="2">
        <v>43127</v>
      </c>
      <c r="C118" t="s">
        <v>1930</v>
      </c>
      <c r="D118" t="s">
        <v>1807</v>
      </c>
    </row>
    <row r="119" spans="1:4" x14ac:dyDescent="0.2">
      <c r="A119" t="s">
        <v>1970</v>
      </c>
      <c r="B119" s="2">
        <v>42990</v>
      </c>
      <c r="C119" t="s">
        <v>1971</v>
      </c>
      <c r="D119" t="s">
        <v>1813</v>
      </c>
    </row>
    <row r="120" spans="1:4" x14ac:dyDescent="0.2">
      <c r="A120" t="s">
        <v>1972</v>
      </c>
      <c r="B120" s="2">
        <v>43219</v>
      </c>
      <c r="C120" t="s">
        <v>1816</v>
      </c>
      <c r="D120" t="s">
        <v>1810</v>
      </c>
    </row>
    <row r="121" spans="1:4" x14ac:dyDescent="0.2">
      <c r="A121" t="s">
        <v>1973</v>
      </c>
      <c r="B121" s="2">
        <v>42930</v>
      </c>
      <c r="C121" t="s">
        <v>1974</v>
      </c>
      <c r="D121" t="s">
        <v>1849</v>
      </c>
    </row>
    <row r="122" spans="1:4" x14ac:dyDescent="0.2">
      <c r="A122" t="s">
        <v>1975</v>
      </c>
      <c r="B122" s="2">
        <v>43063</v>
      </c>
      <c r="C122" t="s">
        <v>1939</v>
      </c>
      <c r="D122" t="s">
        <v>1810</v>
      </c>
    </row>
    <row r="123" spans="1:4" x14ac:dyDescent="0.2">
      <c r="A123" t="s">
        <v>1976</v>
      </c>
      <c r="B123" s="2">
        <v>43152</v>
      </c>
      <c r="C123" t="s">
        <v>1816</v>
      </c>
      <c r="D123" t="s">
        <v>1804</v>
      </c>
    </row>
    <row r="124" spans="1:4" x14ac:dyDescent="0.2">
      <c r="A124" t="s">
        <v>1977</v>
      </c>
      <c r="B124" s="2">
        <v>43225</v>
      </c>
      <c r="C124" t="s">
        <v>1863</v>
      </c>
      <c r="D124" t="s">
        <v>1804</v>
      </c>
    </row>
    <row r="125" spans="1:4" x14ac:dyDescent="0.2">
      <c r="A125" t="s">
        <v>1978</v>
      </c>
      <c r="B125" s="2">
        <v>42923</v>
      </c>
      <c r="C125" t="s">
        <v>1816</v>
      </c>
      <c r="D125" t="s">
        <v>1796</v>
      </c>
    </row>
    <row r="126" spans="1:4" x14ac:dyDescent="0.2">
      <c r="A126" t="s">
        <v>1979</v>
      </c>
      <c r="B126" s="2">
        <v>43136</v>
      </c>
      <c r="C126" t="s">
        <v>1836</v>
      </c>
      <c r="D126" t="s">
        <v>1031</v>
      </c>
    </row>
    <row r="127" spans="1:4" x14ac:dyDescent="0.2">
      <c r="A127" t="s">
        <v>1980</v>
      </c>
      <c r="B127" s="2">
        <v>43181</v>
      </c>
      <c r="C127" t="s">
        <v>1885</v>
      </c>
      <c r="D127" t="s">
        <v>1807</v>
      </c>
    </row>
    <row r="128" spans="1:4" x14ac:dyDescent="0.2">
      <c r="A128" t="s">
        <v>1981</v>
      </c>
      <c r="B128" s="2">
        <v>43017</v>
      </c>
      <c r="C128" t="s">
        <v>1939</v>
      </c>
      <c r="D128" t="s">
        <v>1796</v>
      </c>
    </row>
    <row r="129" spans="1:4" x14ac:dyDescent="0.2">
      <c r="A129" t="s">
        <v>1982</v>
      </c>
      <c r="B129" s="2">
        <v>43114</v>
      </c>
      <c r="C129" t="s">
        <v>1816</v>
      </c>
      <c r="D129" t="s">
        <v>1829</v>
      </c>
    </row>
    <row r="130" spans="1:4" x14ac:dyDescent="0.2">
      <c r="A130" t="s">
        <v>1983</v>
      </c>
      <c r="B130" s="2">
        <v>42936</v>
      </c>
      <c r="C130" t="s">
        <v>1974</v>
      </c>
      <c r="D130" t="s">
        <v>1849</v>
      </c>
    </row>
    <row r="131" spans="1:4" x14ac:dyDescent="0.2">
      <c r="A131" t="s">
        <v>66</v>
      </c>
      <c r="B131" s="2">
        <v>43135</v>
      </c>
      <c r="C131" t="s">
        <v>1803</v>
      </c>
      <c r="D131" t="s">
        <v>1804</v>
      </c>
    </row>
    <row r="132" spans="1:4" x14ac:dyDescent="0.2">
      <c r="A132" t="s">
        <v>1984</v>
      </c>
      <c r="B132" s="2">
        <v>43204</v>
      </c>
      <c r="C132" t="s">
        <v>1863</v>
      </c>
      <c r="D132" t="s">
        <v>1804</v>
      </c>
    </row>
    <row r="133" spans="1:4" x14ac:dyDescent="0.2">
      <c r="A133" t="s">
        <v>1985</v>
      </c>
      <c r="B133" s="2">
        <v>43035</v>
      </c>
      <c r="C133" t="s">
        <v>1867</v>
      </c>
      <c r="D133" t="s">
        <v>160</v>
      </c>
    </row>
    <row r="134" spans="1:4" x14ac:dyDescent="0.2">
      <c r="A134" t="s">
        <v>1986</v>
      </c>
      <c r="B134" s="2">
        <v>43199</v>
      </c>
      <c r="C134" t="s">
        <v>1836</v>
      </c>
      <c r="D134" t="s">
        <v>1807</v>
      </c>
    </row>
    <row r="135" spans="1:4" x14ac:dyDescent="0.2">
      <c r="A135" t="s">
        <v>69</v>
      </c>
      <c r="B135" s="2">
        <v>43152</v>
      </c>
      <c r="C135" t="s">
        <v>1987</v>
      </c>
      <c r="D135" t="s">
        <v>1807</v>
      </c>
    </row>
    <row r="136" spans="1:4" x14ac:dyDescent="0.2">
      <c r="A136" t="s">
        <v>1988</v>
      </c>
      <c r="B136" s="2">
        <v>43201</v>
      </c>
      <c r="C136" t="s">
        <v>1836</v>
      </c>
      <c r="D136" t="s">
        <v>1031</v>
      </c>
    </row>
    <row r="137" spans="1:4" x14ac:dyDescent="0.2">
      <c r="A137" t="s">
        <v>1989</v>
      </c>
      <c r="B137" s="2">
        <v>42959</v>
      </c>
      <c r="C137" t="s">
        <v>1894</v>
      </c>
      <c r="D137" t="s">
        <v>1804</v>
      </c>
    </row>
    <row r="138" spans="1:4" x14ac:dyDescent="0.2">
      <c r="A138" t="s">
        <v>1990</v>
      </c>
      <c r="B138" s="2">
        <v>43168</v>
      </c>
      <c r="C138" t="s">
        <v>1991</v>
      </c>
      <c r="D138" t="s">
        <v>1031</v>
      </c>
    </row>
    <row r="139" spans="1:4" x14ac:dyDescent="0.2">
      <c r="A139" t="s">
        <v>1992</v>
      </c>
      <c r="B139" s="2">
        <v>43167</v>
      </c>
      <c r="C139" t="s">
        <v>1993</v>
      </c>
      <c r="D139" t="s">
        <v>1849</v>
      </c>
    </row>
    <row r="140" spans="1:4" x14ac:dyDescent="0.2">
      <c r="A140" t="s">
        <v>1994</v>
      </c>
      <c r="B140" s="2">
        <v>43235</v>
      </c>
      <c r="C140" t="s">
        <v>1863</v>
      </c>
      <c r="D140" t="s">
        <v>1804</v>
      </c>
    </row>
    <row r="141" spans="1:4" x14ac:dyDescent="0.2">
      <c r="A141" t="s">
        <v>1995</v>
      </c>
      <c r="B141" s="2">
        <v>43213</v>
      </c>
      <c r="C141" t="s">
        <v>1996</v>
      </c>
      <c r="D141" t="s">
        <v>1804</v>
      </c>
    </row>
    <row r="142" spans="1:4" x14ac:dyDescent="0.2">
      <c r="A142" t="s">
        <v>1997</v>
      </c>
      <c r="B142" s="2">
        <v>43236</v>
      </c>
      <c r="C142" t="s">
        <v>1998</v>
      </c>
      <c r="D142" t="s">
        <v>1807</v>
      </c>
    </row>
    <row r="143" spans="1:4" x14ac:dyDescent="0.2">
      <c r="A143" t="s">
        <v>1999</v>
      </c>
      <c r="B143" s="2">
        <v>43150</v>
      </c>
      <c r="C143" t="s">
        <v>2000</v>
      </c>
      <c r="D143" t="s">
        <v>1813</v>
      </c>
    </row>
    <row r="144" spans="1:4" x14ac:dyDescent="0.2">
      <c r="A144" t="s">
        <v>2001</v>
      </c>
      <c r="B144" s="2">
        <v>43207</v>
      </c>
      <c r="C144" t="s">
        <v>2002</v>
      </c>
      <c r="D144" t="s">
        <v>1813</v>
      </c>
    </row>
    <row r="145" spans="1:4" x14ac:dyDescent="0.2">
      <c r="A145" t="s">
        <v>2003</v>
      </c>
      <c r="B145" s="2">
        <v>43218</v>
      </c>
      <c r="C145" t="s">
        <v>1857</v>
      </c>
      <c r="D145" t="s">
        <v>1804</v>
      </c>
    </row>
    <row r="146" spans="1:4" x14ac:dyDescent="0.2">
      <c r="A146" t="s">
        <v>2004</v>
      </c>
      <c r="B146" s="2">
        <v>43083</v>
      </c>
      <c r="C146" t="s">
        <v>1845</v>
      </c>
      <c r="D146" t="s">
        <v>1840</v>
      </c>
    </row>
    <row r="147" spans="1:4" x14ac:dyDescent="0.2">
      <c r="A147" t="s">
        <v>2005</v>
      </c>
      <c r="B147" s="2">
        <v>43052</v>
      </c>
      <c r="C147" t="s">
        <v>2006</v>
      </c>
      <c r="D147" t="s">
        <v>1813</v>
      </c>
    </row>
    <row r="148" spans="1:4" x14ac:dyDescent="0.2">
      <c r="A148" t="s">
        <v>2007</v>
      </c>
      <c r="B148" s="2">
        <v>43147</v>
      </c>
      <c r="C148" t="s">
        <v>1907</v>
      </c>
      <c r="D148" t="s">
        <v>1807</v>
      </c>
    </row>
    <row r="149" spans="1:4" x14ac:dyDescent="0.2">
      <c r="A149" t="s">
        <v>72</v>
      </c>
      <c r="B149" s="2">
        <v>43205</v>
      </c>
      <c r="C149" t="s">
        <v>1816</v>
      </c>
      <c r="D149" t="s">
        <v>1840</v>
      </c>
    </row>
    <row r="150" spans="1:4" x14ac:dyDescent="0.2">
      <c r="A150" t="s">
        <v>2008</v>
      </c>
      <c r="B150" s="2">
        <v>43131</v>
      </c>
      <c r="C150" t="s">
        <v>1816</v>
      </c>
      <c r="D150" t="s">
        <v>1810</v>
      </c>
    </row>
    <row r="151" spans="1:4" x14ac:dyDescent="0.2">
      <c r="A151" t="s">
        <v>2009</v>
      </c>
      <c r="B151" s="2">
        <v>43180</v>
      </c>
      <c r="C151" t="s">
        <v>1930</v>
      </c>
      <c r="D151" t="s">
        <v>1807</v>
      </c>
    </row>
    <row r="152" spans="1:4" x14ac:dyDescent="0.2">
      <c r="A152" t="s">
        <v>2010</v>
      </c>
      <c r="B152" s="2">
        <v>43231</v>
      </c>
      <c r="C152" t="s">
        <v>1863</v>
      </c>
      <c r="D152" t="s">
        <v>1804</v>
      </c>
    </row>
    <row r="153" spans="1:4" x14ac:dyDescent="0.2">
      <c r="A153" t="s">
        <v>2011</v>
      </c>
      <c r="B153" s="2">
        <v>43119</v>
      </c>
      <c r="C153" t="s">
        <v>2012</v>
      </c>
      <c r="D153" t="s">
        <v>1804</v>
      </c>
    </row>
    <row r="154" spans="1:4" x14ac:dyDescent="0.2">
      <c r="A154" t="s">
        <v>2013</v>
      </c>
      <c r="B154" s="2">
        <v>43195</v>
      </c>
      <c r="C154" t="s">
        <v>2014</v>
      </c>
      <c r="D154" t="s">
        <v>1840</v>
      </c>
    </row>
    <row r="155" spans="1:4" x14ac:dyDescent="0.2">
      <c r="A155" t="s">
        <v>2015</v>
      </c>
      <c r="B155" s="2">
        <v>43102</v>
      </c>
      <c r="C155" t="s">
        <v>1803</v>
      </c>
      <c r="D155" t="s">
        <v>1804</v>
      </c>
    </row>
    <row r="156" spans="1:4" x14ac:dyDescent="0.2">
      <c r="A156" t="s">
        <v>2016</v>
      </c>
      <c r="B156" s="2">
        <v>43114</v>
      </c>
      <c r="C156" t="s">
        <v>1905</v>
      </c>
      <c r="D156" t="s">
        <v>1810</v>
      </c>
    </row>
    <row r="157" spans="1:4" x14ac:dyDescent="0.2">
      <c r="A157" t="s">
        <v>2017</v>
      </c>
      <c r="B157" s="2">
        <v>43165</v>
      </c>
      <c r="C157" t="s">
        <v>1816</v>
      </c>
      <c r="D157" t="s">
        <v>1840</v>
      </c>
    </row>
    <row r="158" spans="1:4" x14ac:dyDescent="0.2">
      <c r="A158" t="s">
        <v>2018</v>
      </c>
      <c r="B158" s="2">
        <v>43172</v>
      </c>
      <c r="C158" t="s">
        <v>2019</v>
      </c>
      <c r="D158" t="s">
        <v>1813</v>
      </c>
    </row>
    <row r="159" spans="1:4" x14ac:dyDescent="0.2">
      <c r="A159" t="s">
        <v>2020</v>
      </c>
      <c r="B159" s="2">
        <v>43194</v>
      </c>
      <c r="C159" t="s">
        <v>1863</v>
      </c>
      <c r="D159" t="s">
        <v>1804</v>
      </c>
    </row>
    <row r="160" spans="1:4" x14ac:dyDescent="0.2">
      <c r="A160" t="s">
        <v>2021</v>
      </c>
      <c r="B160" s="2">
        <v>43052</v>
      </c>
      <c r="C160" t="s">
        <v>2006</v>
      </c>
      <c r="D160" t="s">
        <v>1813</v>
      </c>
    </row>
    <row r="161" spans="1:4" x14ac:dyDescent="0.2">
      <c r="A161" t="s">
        <v>2022</v>
      </c>
      <c r="B161" s="2">
        <v>43177</v>
      </c>
      <c r="C161" t="s">
        <v>2023</v>
      </c>
      <c r="D161" t="s">
        <v>1804</v>
      </c>
    </row>
    <row r="162" spans="1:4" x14ac:dyDescent="0.2">
      <c r="A162" t="s">
        <v>2024</v>
      </c>
      <c r="B162" s="2">
        <v>43069</v>
      </c>
      <c r="C162" t="s">
        <v>1836</v>
      </c>
      <c r="D162" t="s">
        <v>1804</v>
      </c>
    </row>
    <row r="163" spans="1:4" x14ac:dyDescent="0.2">
      <c r="A163" t="s">
        <v>2025</v>
      </c>
      <c r="B163" s="2">
        <v>43110</v>
      </c>
      <c r="C163" t="s">
        <v>1836</v>
      </c>
      <c r="D163" t="s">
        <v>1031</v>
      </c>
    </row>
    <row r="164" spans="1:4" x14ac:dyDescent="0.2">
      <c r="A164" t="s">
        <v>2026</v>
      </c>
      <c r="B164" s="2">
        <v>43191</v>
      </c>
      <c r="C164" t="s">
        <v>1816</v>
      </c>
      <c r="D164" t="s">
        <v>1810</v>
      </c>
    </row>
    <row r="165" spans="1:4" x14ac:dyDescent="0.2">
      <c r="A165" t="s">
        <v>2027</v>
      </c>
      <c r="B165" s="2">
        <v>42997</v>
      </c>
      <c r="C165" t="s">
        <v>1885</v>
      </c>
      <c r="D165" t="s">
        <v>1840</v>
      </c>
    </row>
    <row r="166" spans="1:4" x14ac:dyDescent="0.2">
      <c r="A166" t="s">
        <v>2028</v>
      </c>
      <c r="B166" s="2">
        <v>43202</v>
      </c>
      <c r="C166" t="s">
        <v>2029</v>
      </c>
      <c r="D166" t="s">
        <v>1810</v>
      </c>
    </row>
    <row r="167" spans="1:4" x14ac:dyDescent="0.2">
      <c r="A167" t="s">
        <v>2030</v>
      </c>
      <c r="B167" s="2">
        <v>43125</v>
      </c>
      <c r="C167" t="s">
        <v>1930</v>
      </c>
      <c r="D167" t="s">
        <v>1807</v>
      </c>
    </row>
    <row r="168" spans="1:4" x14ac:dyDescent="0.2">
      <c r="A168" t="s">
        <v>75</v>
      </c>
      <c r="B168" s="2">
        <v>43123</v>
      </c>
      <c r="C168" t="s">
        <v>1921</v>
      </c>
      <c r="D168" t="s">
        <v>1840</v>
      </c>
    </row>
    <row r="169" spans="1:4" x14ac:dyDescent="0.2">
      <c r="A169" t="s">
        <v>2031</v>
      </c>
      <c r="B169" s="2">
        <v>43158</v>
      </c>
      <c r="C169" t="s">
        <v>1921</v>
      </c>
      <c r="D169" t="s">
        <v>1829</v>
      </c>
    </row>
    <row r="170" spans="1:4" x14ac:dyDescent="0.2">
      <c r="A170" t="s">
        <v>2032</v>
      </c>
      <c r="B170" s="2">
        <v>42933</v>
      </c>
      <c r="C170" t="s">
        <v>2033</v>
      </c>
      <c r="D170" t="s">
        <v>1810</v>
      </c>
    </row>
    <row r="171" spans="1:4" x14ac:dyDescent="0.2">
      <c r="A171" t="s">
        <v>2034</v>
      </c>
      <c r="B171" s="2">
        <v>43191</v>
      </c>
      <c r="C171" t="s">
        <v>2035</v>
      </c>
      <c r="D171" t="s">
        <v>1804</v>
      </c>
    </row>
    <row r="172" spans="1:4" x14ac:dyDescent="0.2">
      <c r="A172" t="s">
        <v>2036</v>
      </c>
      <c r="B172" s="2">
        <v>43213</v>
      </c>
      <c r="C172" t="s">
        <v>1816</v>
      </c>
      <c r="D172" t="s">
        <v>1840</v>
      </c>
    </row>
    <row r="173" spans="1:4" x14ac:dyDescent="0.2">
      <c r="A173" t="s">
        <v>2037</v>
      </c>
      <c r="B173" s="2">
        <v>43119</v>
      </c>
      <c r="C173" t="s">
        <v>1816</v>
      </c>
      <c r="D173" t="s">
        <v>1849</v>
      </c>
    </row>
    <row r="174" spans="1:4" x14ac:dyDescent="0.2">
      <c r="A174" t="s">
        <v>2038</v>
      </c>
      <c r="B174" s="2">
        <v>43013</v>
      </c>
      <c r="C174" t="s">
        <v>1900</v>
      </c>
      <c r="D174" t="s">
        <v>1807</v>
      </c>
    </row>
    <row r="175" spans="1:4" x14ac:dyDescent="0.2">
      <c r="A175" t="s">
        <v>2039</v>
      </c>
      <c r="B175" s="2">
        <v>42957</v>
      </c>
      <c r="C175" t="s">
        <v>1894</v>
      </c>
      <c r="D175" t="s">
        <v>1804</v>
      </c>
    </row>
    <row r="176" spans="1:4" x14ac:dyDescent="0.2">
      <c r="A176" t="s">
        <v>2040</v>
      </c>
      <c r="B176" s="2">
        <v>43151</v>
      </c>
      <c r="C176" t="s">
        <v>2041</v>
      </c>
      <c r="D176" t="s">
        <v>1807</v>
      </c>
    </row>
    <row r="177" spans="1:4" x14ac:dyDescent="0.2">
      <c r="A177" t="s">
        <v>2042</v>
      </c>
      <c r="B177" s="2">
        <v>43110</v>
      </c>
      <c r="C177" t="s">
        <v>1885</v>
      </c>
      <c r="D177" t="s">
        <v>1807</v>
      </c>
    </row>
    <row r="178" spans="1:4" x14ac:dyDescent="0.2">
      <c r="A178" t="s">
        <v>2043</v>
      </c>
      <c r="B178" s="2">
        <v>43110</v>
      </c>
      <c r="C178" t="s">
        <v>1816</v>
      </c>
      <c r="D178" t="s">
        <v>1810</v>
      </c>
    </row>
    <row r="179" spans="1:4" x14ac:dyDescent="0.2">
      <c r="A179" t="s">
        <v>2044</v>
      </c>
      <c r="B179" s="2">
        <v>43188</v>
      </c>
      <c r="C179" t="s">
        <v>2045</v>
      </c>
      <c r="D179" t="s">
        <v>1807</v>
      </c>
    </row>
    <row r="180" spans="1:4" x14ac:dyDescent="0.2">
      <c r="A180" t="s">
        <v>2046</v>
      </c>
      <c r="B180" s="2">
        <v>43112</v>
      </c>
      <c r="C180" t="s">
        <v>1803</v>
      </c>
      <c r="D180" t="s">
        <v>1804</v>
      </c>
    </row>
    <row r="181" spans="1:4" x14ac:dyDescent="0.2">
      <c r="A181" t="s">
        <v>2047</v>
      </c>
      <c r="B181" s="2">
        <v>43202</v>
      </c>
      <c r="C181" t="s">
        <v>2048</v>
      </c>
      <c r="D181" t="s">
        <v>1031</v>
      </c>
    </row>
    <row r="182" spans="1:4" x14ac:dyDescent="0.2">
      <c r="A182" t="s">
        <v>2049</v>
      </c>
      <c r="B182" s="2">
        <v>43231</v>
      </c>
      <c r="C182" t="s">
        <v>1998</v>
      </c>
      <c r="D182" t="s">
        <v>1807</v>
      </c>
    </row>
    <row r="183" spans="1:4" x14ac:dyDescent="0.2">
      <c r="A183" t="s">
        <v>2050</v>
      </c>
      <c r="B183" s="2">
        <v>43243</v>
      </c>
      <c r="C183" t="s">
        <v>2051</v>
      </c>
      <c r="D183" t="s">
        <v>1813</v>
      </c>
    </row>
    <row r="184" spans="1:4" x14ac:dyDescent="0.2">
      <c r="A184" t="s">
        <v>2052</v>
      </c>
      <c r="B184" s="2">
        <v>43031</v>
      </c>
      <c r="C184" t="s">
        <v>1867</v>
      </c>
      <c r="D184" t="s">
        <v>1829</v>
      </c>
    </row>
    <row r="185" spans="1:4" x14ac:dyDescent="0.2">
      <c r="A185" t="s">
        <v>2053</v>
      </c>
      <c r="B185" s="2">
        <v>43003</v>
      </c>
      <c r="C185" t="s">
        <v>2054</v>
      </c>
      <c r="D185" t="s">
        <v>1807</v>
      </c>
    </row>
    <row r="186" spans="1:4" x14ac:dyDescent="0.2">
      <c r="A186" t="s">
        <v>2055</v>
      </c>
      <c r="B186" s="2">
        <v>43160</v>
      </c>
      <c r="C186" t="s">
        <v>2056</v>
      </c>
      <c r="D186" t="s">
        <v>1813</v>
      </c>
    </row>
    <row r="187" spans="1:4" x14ac:dyDescent="0.2">
      <c r="A187" t="s">
        <v>2057</v>
      </c>
      <c r="B187" s="2">
        <v>43122</v>
      </c>
      <c r="C187" t="s">
        <v>2058</v>
      </c>
      <c r="D187" t="s">
        <v>1807</v>
      </c>
    </row>
    <row r="188" spans="1:4" x14ac:dyDescent="0.2">
      <c r="A188" t="s">
        <v>2059</v>
      </c>
      <c r="B188" s="2">
        <v>43107</v>
      </c>
      <c r="C188" t="s">
        <v>1831</v>
      </c>
      <c r="D188" t="s">
        <v>1840</v>
      </c>
    </row>
    <row r="189" spans="1:4" x14ac:dyDescent="0.2">
      <c r="A189" t="s">
        <v>2060</v>
      </c>
      <c r="B189" s="2">
        <v>43186</v>
      </c>
      <c r="C189" t="s">
        <v>1836</v>
      </c>
      <c r="D189" t="s">
        <v>1031</v>
      </c>
    </row>
    <row r="190" spans="1:4" x14ac:dyDescent="0.2">
      <c r="A190" t="s">
        <v>2061</v>
      </c>
      <c r="B190" s="2">
        <v>43125</v>
      </c>
      <c r="C190" t="s">
        <v>2062</v>
      </c>
      <c r="D190" t="s">
        <v>1810</v>
      </c>
    </row>
    <row r="191" spans="1:4" x14ac:dyDescent="0.2">
      <c r="A191" t="s">
        <v>2063</v>
      </c>
      <c r="B191" s="2">
        <v>43108</v>
      </c>
      <c r="C191" t="s">
        <v>1878</v>
      </c>
      <c r="D191" t="s">
        <v>1810</v>
      </c>
    </row>
    <row r="192" spans="1:4" x14ac:dyDescent="0.2">
      <c r="A192" t="s">
        <v>2064</v>
      </c>
      <c r="B192" s="2">
        <v>43195</v>
      </c>
      <c r="C192" t="s">
        <v>1816</v>
      </c>
      <c r="D192" t="s">
        <v>1810</v>
      </c>
    </row>
    <row r="193" spans="1:4" x14ac:dyDescent="0.2">
      <c r="A193" t="s">
        <v>2065</v>
      </c>
      <c r="B193" s="2">
        <v>43242</v>
      </c>
      <c r="C193" t="s">
        <v>2066</v>
      </c>
      <c r="D193" t="s">
        <v>1813</v>
      </c>
    </row>
    <row r="194" spans="1:4" x14ac:dyDescent="0.2">
      <c r="A194" t="s">
        <v>79</v>
      </c>
      <c r="B194" s="2">
        <v>43195</v>
      </c>
      <c r="C194" t="s">
        <v>1832</v>
      </c>
      <c r="D194" t="s">
        <v>1807</v>
      </c>
    </row>
    <row r="195" spans="1:4" x14ac:dyDescent="0.2">
      <c r="A195" t="s">
        <v>2067</v>
      </c>
      <c r="B195" s="2">
        <v>43112</v>
      </c>
      <c r="C195" t="s">
        <v>1803</v>
      </c>
      <c r="D195" t="s">
        <v>1804</v>
      </c>
    </row>
    <row r="196" spans="1:4" x14ac:dyDescent="0.2">
      <c r="A196" t="s">
        <v>2068</v>
      </c>
      <c r="B196" s="2">
        <v>43185</v>
      </c>
      <c r="C196" t="s">
        <v>1816</v>
      </c>
      <c r="D196" t="s">
        <v>1840</v>
      </c>
    </row>
    <row r="197" spans="1:4" x14ac:dyDescent="0.2">
      <c r="A197" t="s">
        <v>2069</v>
      </c>
      <c r="B197" s="2">
        <v>43246</v>
      </c>
      <c r="C197" t="s">
        <v>2070</v>
      </c>
      <c r="D197" t="s">
        <v>1813</v>
      </c>
    </row>
    <row r="198" spans="1:4" x14ac:dyDescent="0.2">
      <c r="A198" t="s">
        <v>2071</v>
      </c>
      <c r="B198" s="2">
        <v>43248</v>
      </c>
      <c r="C198" t="s">
        <v>2072</v>
      </c>
      <c r="D198" t="s">
        <v>1807</v>
      </c>
    </row>
    <row r="199" spans="1:4" x14ac:dyDescent="0.2">
      <c r="A199" t="s">
        <v>2073</v>
      </c>
      <c r="B199" s="2">
        <v>43159</v>
      </c>
      <c r="C199" t="s">
        <v>2074</v>
      </c>
      <c r="D199" t="s">
        <v>1829</v>
      </c>
    </row>
    <row r="200" spans="1:4" x14ac:dyDescent="0.2">
      <c r="A200" t="s">
        <v>2075</v>
      </c>
      <c r="B200" s="2">
        <v>43113</v>
      </c>
      <c r="C200" t="s">
        <v>1867</v>
      </c>
      <c r="D200" t="s">
        <v>1810</v>
      </c>
    </row>
    <row r="201" spans="1:4" x14ac:dyDescent="0.2">
      <c r="A201" t="s">
        <v>2076</v>
      </c>
      <c r="B201" s="2">
        <v>43147</v>
      </c>
      <c r="C201" t="s">
        <v>1803</v>
      </c>
      <c r="D201" t="s">
        <v>1804</v>
      </c>
    </row>
    <row r="202" spans="1:4" x14ac:dyDescent="0.2">
      <c r="A202" t="s">
        <v>2077</v>
      </c>
      <c r="B202" s="2">
        <v>43203</v>
      </c>
      <c r="C202" t="s">
        <v>2078</v>
      </c>
      <c r="D202" t="s">
        <v>1807</v>
      </c>
    </row>
    <row r="203" spans="1:4" x14ac:dyDescent="0.2">
      <c r="A203" t="s">
        <v>2079</v>
      </c>
      <c r="B203" s="2">
        <v>43229</v>
      </c>
      <c r="C203" t="s">
        <v>1863</v>
      </c>
      <c r="D203" t="s">
        <v>1804</v>
      </c>
    </row>
    <row r="204" spans="1:4" x14ac:dyDescent="0.2">
      <c r="A204" t="s">
        <v>2080</v>
      </c>
      <c r="B204" s="2">
        <v>43217</v>
      </c>
      <c r="C204" t="s">
        <v>1816</v>
      </c>
      <c r="D204" t="s">
        <v>1840</v>
      </c>
    </row>
    <row r="205" spans="1:4" x14ac:dyDescent="0.2">
      <c r="A205" t="s">
        <v>2081</v>
      </c>
      <c r="B205" s="2">
        <v>43175</v>
      </c>
      <c r="C205" t="s">
        <v>1859</v>
      </c>
      <c r="D205" t="s">
        <v>1810</v>
      </c>
    </row>
    <row r="206" spans="1:4" x14ac:dyDescent="0.2">
      <c r="A206" t="s">
        <v>2082</v>
      </c>
      <c r="B206" s="2">
        <v>43200</v>
      </c>
      <c r="C206" t="s">
        <v>1863</v>
      </c>
      <c r="D206" t="s">
        <v>1804</v>
      </c>
    </row>
    <row r="207" spans="1:4" x14ac:dyDescent="0.2">
      <c r="A207" t="s">
        <v>2083</v>
      </c>
      <c r="B207" s="2">
        <v>43015</v>
      </c>
      <c r="C207" t="s">
        <v>1867</v>
      </c>
      <c r="D207" t="s">
        <v>1849</v>
      </c>
    </row>
    <row r="208" spans="1:4" x14ac:dyDescent="0.2">
      <c r="A208" t="s">
        <v>2084</v>
      </c>
      <c r="B208" s="2">
        <v>43075</v>
      </c>
      <c r="C208" t="s">
        <v>1816</v>
      </c>
      <c r="D208" t="s">
        <v>1810</v>
      </c>
    </row>
    <row r="209" spans="1:4" x14ac:dyDescent="0.2">
      <c r="A209" t="s">
        <v>2085</v>
      </c>
      <c r="B209" s="2">
        <v>43203</v>
      </c>
      <c r="C209" t="s">
        <v>1863</v>
      </c>
      <c r="D209" t="s">
        <v>1804</v>
      </c>
    </row>
    <row r="210" spans="1:4" x14ac:dyDescent="0.2">
      <c r="A210" t="s">
        <v>2086</v>
      </c>
      <c r="B210" s="2">
        <v>43175</v>
      </c>
      <c r="C210" t="s">
        <v>1905</v>
      </c>
      <c r="D210" t="s">
        <v>1810</v>
      </c>
    </row>
    <row r="211" spans="1:4" x14ac:dyDescent="0.2">
      <c r="A211" t="s">
        <v>2087</v>
      </c>
      <c r="B211" s="2">
        <v>43227</v>
      </c>
      <c r="C211" t="s">
        <v>1816</v>
      </c>
      <c r="D211" t="s">
        <v>1810</v>
      </c>
    </row>
    <row r="212" spans="1:4" x14ac:dyDescent="0.2">
      <c r="A212" t="s">
        <v>2088</v>
      </c>
      <c r="B212" s="2">
        <v>42947</v>
      </c>
      <c r="C212" t="s">
        <v>2014</v>
      </c>
      <c r="D212" t="s">
        <v>1031</v>
      </c>
    </row>
    <row r="213" spans="1:4" x14ac:dyDescent="0.2">
      <c r="A213" t="s">
        <v>2089</v>
      </c>
      <c r="B213" s="2">
        <v>43185</v>
      </c>
      <c r="C213" t="s">
        <v>2090</v>
      </c>
      <c r="D213" t="s">
        <v>1796</v>
      </c>
    </row>
    <row r="214" spans="1:4" x14ac:dyDescent="0.2">
      <c r="A214" t="s">
        <v>2091</v>
      </c>
      <c r="B214" s="2">
        <v>43170</v>
      </c>
      <c r="C214" t="s">
        <v>1905</v>
      </c>
      <c r="D214" t="s">
        <v>1810</v>
      </c>
    </row>
    <row r="215" spans="1:4" x14ac:dyDescent="0.2">
      <c r="A215" t="s">
        <v>2092</v>
      </c>
      <c r="B215" s="2">
        <v>43227</v>
      </c>
      <c r="C215" t="s">
        <v>1857</v>
      </c>
      <c r="D215" t="s">
        <v>1804</v>
      </c>
    </row>
    <row r="216" spans="1:4" x14ac:dyDescent="0.2">
      <c r="A216" t="s">
        <v>2093</v>
      </c>
      <c r="B216" s="2">
        <v>43105</v>
      </c>
      <c r="C216" t="s">
        <v>1816</v>
      </c>
      <c r="D216" t="s">
        <v>1810</v>
      </c>
    </row>
    <row r="217" spans="1:4" x14ac:dyDescent="0.2">
      <c r="A217" t="s">
        <v>83</v>
      </c>
      <c r="B217" s="2">
        <v>43149</v>
      </c>
      <c r="C217" t="s">
        <v>1803</v>
      </c>
      <c r="D217" t="s">
        <v>1804</v>
      </c>
    </row>
    <row r="218" spans="1:4" x14ac:dyDescent="0.2">
      <c r="A218" t="s">
        <v>2094</v>
      </c>
      <c r="B218" s="2">
        <v>43195</v>
      </c>
      <c r="C218" t="s">
        <v>1816</v>
      </c>
      <c r="D218" t="s">
        <v>1807</v>
      </c>
    </row>
    <row r="219" spans="1:4" x14ac:dyDescent="0.2">
      <c r="A219" t="s">
        <v>2095</v>
      </c>
      <c r="B219" s="2">
        <v>42974</v>
      </c>
      <c r="C219" t="s">
        <v>2096</v>
      </c>
      <c r="D219" t="s">
        <v>1804</v>
      </c>
    </row>
    <row r="220" spans="1:4" x14ac:dyDescent="0.2">
      <c r="A220" t="s">
        <v>2097</v>
      </c>
      <c r="B220" s="2">
        <v>43039</v>
      </c>
      <c r="C220" t="s">
        <v>1816</v>
      </c>
      <c r="D220" t="s">
        <v>1031</v>
      </c>
    </row>
    <row r="221" spans="1:4" x14ac:dyDescent="0.2">
      <c r="A221" t="s">
        <v>87</v>
      </c>
      <c r="B221" s="2">
        <v>43193</v>
      </c>
      <c r="C221" t="s">
        <v>1828</v>
      </c>
      <c r="D221" t="s">
        <v>1829</v>
      </c>
    </row>
    <row r="222" spans="1:4" x14ac:dyDescent="0.2">
      <c r="A222" t="s">
        <v>2098</v>
      </c>
      <c r="B222" s="2">
        <v>43151</v>
      </c>
      <c r="C222" t="s">
        <v>1836</v>
      </c>
      <c r="D222" t="s">
        <v>1031</v>
      </c>
    </row>
    <row r="223" spans="1:4" x14ac:dyDescent="0.2">
      <c r="A223" t="s">
        <v>2099</v>
      </c>
      <c r="B223" s="2">
        <v>43208</v>
      </c>
      <c r="C223" t="s">
        <v>1859</v>
      </c>
      <c r="D223" t="s">
        <v>160</v>
      </c>
    </row>
    <row r="224" spans="1:4" x14ac:dyDescent="0.2">
      <c r="A224" t="s">
        <v>2100</v>
      </c>
      <c r="B224" s="2">
        <v>42984</v>
      </c>
      <c r="C224" t="s">
        <v>2101</v>
      </c>
      <c r="D224" t="s">
        <v>1829</v>
      </c>
    </row>
    <row r="225" spans="1:4" x14ac:dyDescent="0.2">
      <c r="A225" t="s">
        <v>2102</v>
      </c>
      <c r="B225" s="2">
        <v>43246</v>
      </c>
      <c r="C225" t="s">
        <v>1863</v>
      </c>
      <c r="D225" t="s">
        <v>1796</v>
      </c>
    </row>
    <row r="226" spans="1:4" x14ac:dyDescent="0.2">
      <c r="A226" t="s">
        <v>2103</v>
      </c>
      <c r="B226" s="2">
        <v>43232</v>
      </c>
      <c r="C226" t="s">
        <v>1816</v>
      </c>
      <c r="D226" t="s">
        <v>1804</v>
      </c>
    </row>
    <row r="227" spans="1:4" x14ac:dyDescent="0.2">
      <c r="A227" t="s">
        <v>90</v>
      </c>
      <c r="B227" s="2">
        <v>43122</v>
      </c>
      <c r="C227" t="s">
        <v>1816</v>
      </c>
      <c r="D227" t="s">
        <v>1810</v>
      </c>
    </row>
    <row r="228" spans="1:4" x14ac:dyDescent="0.2">
      <c r="A228" t="s">
        <v>2104</v>
      </c>
      <c r="B228" s="2">
        <v>43014</v>
      </c>
      <c r="C228" t="s">
        <v>1939</v>
      </c>
      <c r="D228" t="s">
        <v>1807</v>
      </c>
    </row>
    <row r="229" spans="1:4" x14ac:dyDescent="0.2">
      <c r="A229" t="s">
        <v>2105</v>
      </c>
      <c r="B229" s="2">
        <v>43251</v>
      </c>
      <c r="C229" t="s">
        <v>1836</v>
      </c>
      <c r="D229" t="s">
        <v>1810</v>
      </c>
    </row>
    <row r="230" spans="1:4" x14ac:dyDescent="0.2">
      <c r="A230" t="s">
        <v>2106</v>
      </c>
      <c r="B230" s="2">
        <v>43118</v>
      </c>
      <c r="C230" t="s">
        <v>1905</v>
      </c>
      <c r="D230" t="s">
        <v>1810</v>
      </c>
    </row>
    <row r="231" spans="1:4" x14ac:dyDescent="0.2">
      <c r="A231" t="s">
        <v>2107</v>
      </c>
      <c r="B231" s="2">
        <v>42937</v>
      </c>
      <c r="C231" t="s">
        <v>2108</v>
      </c>
      <c r="D231" t="s">
        <v>160</v>
      </c>
    </row>
    <row r="232" spans="1:4" x14ac:dyDescent="0.2">
      <c r="A232" t="s">
        <v>93</v>
      </c>
      <c r="B232" s="2">
        <v>43229</v>
      </c>
      <c r="C232" t="s">
        <v>1816</v>
      </c>
      <c r="D232" t="s">
        <v>1810</v>
      </c>
    </row>
    <row r="233" spans="1:4" x14ac:dyDescent="0.2">
      <c r="A233" t="s">
        <v>2109</v>
      </c>
      <c r="B233" s="2">
        <v>43206</v>
      </c>
      <c r="C233" t="s">
        <v>1863</v>
      </c>
      <c r="D233" t="s">
        <v>1804</v>
      </c>
    </row>
    <row r="234" spans="1:4" x14ac:dyDescent="0.2">
      <c r="A234" t="s">
        <v>2110</v>
      </c>
      <c r="B234" s="2">
        <v>43237</v>
      </c>
      <c r="C234" t="s">
        <v>1867</v>
      </c>
      <c r="D234" t="s">
        <v>160</v>
      </c>
    </row>
    <row r="235" spans="1:4" x14ac:dyDescent="0.2">
      <c r="A235" t="s">
        <v>2111</v>
      </c>
      <c r="B235" s="2">
        <v>43052</v>
      </c>
      <c r="C235" t="s">
        <v>2006</v>
      </c>
      <c r="D235" t="s">
        <v>1813</v>
      </c>
    </row>
    <row r="236" spans="1:4" x14ac:dyDescent="0.2">
      <c r="A236" t="s">
        <v>97</v>
      </c>
      <c r="B236" s="2">
        <v>43244</v>
      </c>
      <c r="C236" t="s">
        <v>1816</v>
      </c>
      <c r="D236" t="s">
        <v>1810</v>
      </c>
    </row>
    <row r="237" spans="1:4" x14ac:dyDescent="0.2">
      <c r="A237" t="s">
        <v>2112</v>
      </c>
      <c r="B237" s="2">
        <v>43222</v>
      </c>
      <c r="C237" t="s">
        <v>1930</v>
      </c>
      <c r="D237" t="s">
        <v>1810</v>
      </c>
    </row>
    <row r="238" spans="1:4" x14ac:dyDescent="0.2">
      <c r="A238" t="s">
        <v>2113</v>
      </c>
      <c r="B238" s="2">
        <v>43223</v>
      </c>
      <c r="C238" t="s">
        <v>1857</v>
      </c>
      <c r="D238" t="s">
        <v>1804</v>
      </c>
    </row>
    <row r="239" spans="1:4" x14ac:dyDescent="0.2">
      <c r="A239" t="s">
        <v>2114</v>
      </c>
      <c r="B239" s="2">
        <v>43194</v>
      </c>
      <c r="C239" t="s">
        <v>2115</v>
      </c>
      <c r="D239" t="s">
        <v>1804</v>
      </c>
    </row>
    <row r="240" spans="1:4" x14ac:dyDescent="0.2">
      <c r="A240" t="s">
        <v>2116</v>
      </c>
      <c r="B240" s="2">
        <v>43132</v>
      </c>
      <c r="C240" t="s">
        <v>1836</v>
      </c>
      <c r="D240" t="s">
        <v>1031</v>
      </c>
    </row>
    <row r="241" spans="1:4" x14ac:dyDescent="0.2">
      <c r="A241" t="s">
        <v>100</v>
      </c>
      <c r="B241" s="2">
        <v>43084</v>
      </c>
      <c r="C241" t="s">
        <v>1930</v>
      </c>
      <c r="D241" t="s">
        <v>1810</v>
      </c>
    </row>
    <row r="242" spans="1:4" x14ac:dyDescent="0.2">
      <c r="A242" t="s">
        <v>2117</v>
      </c>
      <c r="B242" s="2">
        <v>42979</v>
      </c>
      <c r="C242" t="s">
        <v>1843</v>
      </c>
      <c r="D242" t="s">
        <v>1031</v>
      </c>
    </row>
    <row r="243" spans="1:4" x14ac:dyDescent="0.2">
      <c r="A243" t="s">
        <v>2118</v>
      </c>
      <c r="B243" s="2">
        <v>43185</v>
      </c>
      <c r="C243" t="s">
        <v>1836</v>
      </c>
      <c r="D243" t="s">
        <v>1031</v>
      </c>
    </row>
    <row r="244" spans="1:4" x14ac:dyDescent="0.2">
      <c r="A244" t="s">
        <v>2119</v>
      </c>
      <c r="B244" s="2">
        <v>43165</v>
      </c>
      <c r="C244" t="s">
        <v>1803</v>
      </c>
      <c r="D244" t="s">
        <v>1804</v>
      </c>
    </row>
    <row r="245" spans="1:4" x14ac:dyDescent="0.2">
      <c r="A245" t="s">
        <v>2120</v>
      </c>
      <c r="B245" s="2">
        <v>43067</v>
      </c>
      <c r="C245" t="s">
        <v>1816</v>
      </c>
      <c r="D245" t="s">
        <v>1807</v>
      </c>
    </row>
    <row r="246" spans="1:4" x14ac:dyDescent="0.2">
      <c r="A246" t="s">
        <v>104</v>
      </c>
      <c r="B246" s="2">
        <v>43188</v>
      </c>
      <c r="C246" t="s">
        <v>1863</v>
      </c>
      <c r="D246" t="s">
        <v>1804</v>
      </c>
    </row>
    <row r="247" spans="1:4" x14ac:dyDescent="0.2">
      <c r="A247" t="s">
        <v>2121</v>
      </c>
      <c r="B247" s="2">
        <v>43104</v>
      </c>
      <c r="C247" t="s">
        <v>1803</v>
      </c>
      <c r="D247" t="s">
        <v>1804</v>
      </c>
    </row>
    <row r="248" spans="1:4" x14ac:dyDescent="0.2">
      <c r="A248" t="s">
        <v>2122</v>
      </c>
      <c r="B248" s="2">
        <v>43157</v>
      </c>
      <c r="C248" t="s">
        <v>2123</v>
      </c>
      <c r="D248" t="s">
        <v>1031</v>
      </c>
    </row>
    <row r="249" spans="1:4" x14ac:dyDescent="0.2">
      <c r="A249" t="s">
        <v>2124</v>
      </c>
      <c r="B249" s="2">
        <v>43130</v>
      </c>
      <c r="C249" t="s">
        <v>1803</v>
      </c>
      <c r="D249" t="s">
        <v>1804</v>
      </c>
    </row>
    <row r="250" spans="1:4" x14ac:dyDescent="0.2">
      <c r="A250" t="s">
        <v>2125</v>
      </c>
      <c r="B250" s="2">
        <v>43011</v>
      </c>
      <c r="C250" t="s">
        <v>1806</v>
      </c>
      <c r="D250" t="s">
        <v>1807</v>
      </c>
    </row>
    <row r="251" spans="1:4" x14ac:dyDescent="0.2">
      <c r="A251" t="s">
        <v>2126</v>
      </c>
      <c r="B251" s="2">
        <v>43242</v>
      </c>
      <c r="C251" t="s">
        <v>1820</v>
      </c>
      <c r="D251" t="s">
        <v>1813</v>
      </c>
    </row>
    <row r="252" spans="1:4" x14ac:dyDescent="0.2">
      <c r="A252" t="s">
        <v>2127</v>
      </c>
      <c r="B252" s="2">
        <v>43014</v>
      </c>
      <c r="C252" t="s">
        <v>1867</v>
      </c>
      <c r="D252" t="s">
        <v>1807</v>
      </c>
    </row>
    <row r="253" spans="1:4" x14ac:dyDescent="0.2">
      <c r="A253" t="s">
        <v>2128</v>
      </c>
      <c r="B253" s="2">
        <v>43195</v>
      </c>
      <c r="C253" t="s">
        <v>1905</v>
      </c>
      <c r="D253" t="s">
        <v>1810</v>
      </c>
    </row>
    <row r="254" spans="1:4" x14ac:dyDescent="0.2">
      <c r="A254" t="s">
        <v>2129</v>
      </c>
      <c r="B254" s="2">
        <v>43136</v>
      </c>
      <c r="C254" t="s">
        <v>1836</v>
      </c>
      <c r="D254" t="s">
        <v>1810</v>
      </c>
    </row>
    <row r="255" spans="1:4" x14ac:dyDescent="0.2">
      <c r="A255" t="s">
        <v>2130</v>
      </c>
      <c r="B255" s="2">
        <v>43039</v>
      </c>
      <c r="C255" t="s">
        <v>2131</v>
      </c>
      <c r="D255" t="s">
        <v>1807</v>
      </c>
    </row>
    <row r="256" spans="1:4" x14ac:dyDescent="0.2">
      <c r="A256" t="s">
        <v>2132</v>
      </c>
      <c r="B256" s="2">
        <v>43203</v>
      </c>
      <c r="C256" t="s">
        <v>2133</v>
      </c>
      <c r="D256" t="s">
        <v>1807</v>
      </c>
    </row>
    <row r="257" spans="1:4" x14ac:dyDescent="0.2">
      <c r="A257" t="s">
        <v>2134</v>
      </c>
      <c r="B257" s="2">
        <v>43210</v>
      </c>
      <c r="C257" t="s">
        <v>1816</v>
      </c>
      <c r="D257" t="s">
        <v>1810</v>
      </c>
    </row>
    <row r="258" spans="1:4" x14ac:dyDescent="0.2">
      <c r="A258" t="s">
        <v>2135</v>
      </c>
      <c r="B258" s="2">
        <v>43236</v>
      </c>
      <c r="C258" t="s">
        <v>1863</v>
      </c>
      <c r="D258" t="s">
        <v>1804</v>
      </c>
    </row>
    <row r="259" spans="1:4" x14ac:dyDescent="0.2">
      <c r="A259" t="s">
        <v>106</v>
      </c>
      <c r="B259" s="2">
        <v>43122</v>
      </c>
      <c r="C259" t="s">
        <v>1836</v>
      </c>
      <c r="D259" t="s">
        <v>1031</v>
      </c>
    </row>
    <row r="260" spans="1:4" x14ac:dyDescent="0.2">
      <c r="A260" t="s">
        <v>2136</v>
      </c>
      <c r="B260" s="2">
        <v>43144</v>
      </c>
      <c r="C260" t="s">
        <v>1803</v>
      </c>
      <c r="D260" t="s">
        <v>1804</v>
      </c>
    </row>
    <row r="261" spans="1:4" x14ac:dyDescent="0.2">
      <c r="A261" t="s">
        <v>2137</v>
      </c>
      <c r="B261" s="2">
        <v>43203</v>
      </c>
      <c r="C261" t="s">
        <v>1863</v>
      </c>
      <c r="D261" t="s">
        <v>1804</v>
      </c>
    </row>
    <row r="262" spans="1:4" x14ac:dyDescent="0.2">
      <c r="A262" t="s">
        <v>2138</v>
      </c>
      <c r="B262" s="2">
        <v>43048</v>
      </c>
      <c r="C262" t="s">
        <v>1816</v>
      </c>
      <c r="D262" t="s">
        <v>1810</v>
      </c>
    </row>
    <row r="263" spans="1:4" x14ac:dyDescent="0.2">
      <c r="A263" t="s">
        <v>2139</v>
      </c>
      <c r="B263" s="2">
        <v>43179</v>
      </c>
      <c r="C263" t="s">
        <v>1816</v>
      </c>
      <c r="D263" t="s">
        <v>1807</v>
      </c>
    </row>
    <row r="264" spans="1:4" x14ac:dyDescent="0.2">
      <c r="A264" t="s">
        <v>2140</v>
      </c>
      <c r="B264" s="2">
        <v>42943</v>
      </c>
      <c r="C264" t="s">
        <v>2141</v>
      </c>
      <c r="D264" t="s">
        <v>1796</v>
      </c>
    </row>
    <row r="265" spans="1:4" x14ac:dyDescent="0.2">
      <c r="A265" t="s">
        <v>2142</v>
      </c>
      <c r="B265" s="2">
        <v>43002</v>
      </c>
      <c r="C265" t="s">
        <v>2143</v>
      </c>
      <c r="D265" t="s">
        <v>1840</v>
      </c>
    </row>
    <row r="266" spans="1:4" x14ac:dyDescent="0.2">
      <c r="A266" t="s">
        <v>2144</v>
      </c>
      <c r="B266" s="2">
        <v>43181</v>
      </c>
      <c r="C266" t="s">
        <v>1816</v>
      </c>
      <c r="D266" t="s">
        <v>1840</v>
      </c>
    </row>
    <row r="267" spans="1:4" x14ac:dyDescent="0.2">
      <c r="A267" t="s">
        <v>2145</v>
      </c>
      <c r="B267" s="2">
        <v>43194</v>
      </c>
      <c r="C267" t="s">
        <v>2146</v>
      </c>
      <c r="D267" t="s">
        <v>1813</v>
      </c>
    </row>
    <row r="268" spans="1:4" x14ac:dyDescent="0.2">
      <c r="A268" t="s">
        <v>2147</v>
      </c>
      <c r="B268" s="2">
        <v>42950</v>
      </c>
      <c r="C268" t="s">
        <v>1939</v>
      </c>
      <c r="D268" t="s">
        <v>1810</v>
      </c>
    </row>
    <row r="269" spans="1:4" x14ac:dyDescent="0.2">
      <c r="A269" t="s">
        <v>109</v>
      </c>
      <c r="B269" s="2">
        <v>43109</v>
      </c>
      <c r="C269" t="s">
        <v>1836</v>
      </c>
      <c r="D269" t="s">
        <v>1031</v>
      </c>
    </row>
    <row r="270" spans="1:4" x14ac:dyDescent="0.2">
      <c r="A270" t="s">
        <v>2148</v>
      </c>
      <c r="B270" s="2">
        <v>43244</v>
      </c>
      <c r="C270" t="s">
        <v>1836</v>
      </c>
      <c r="D270" t="s">
        <v>1031</v>
      </c>
    </row>
    <row r="271" spans="1:4" x14ac:dyDescent="0.2">
      <c r="A271" t="s">
        <v>2149</v>
      </c>
      <c r="B271" s="2">
        <v>43035</v>
      </c>
      <c r="C271" t="s">
        <v>1803</v>
      </c>
      <c r="D271" t="s">
        <v>1807</v>
      </c>
    </row>
    <row r="272" spans="1:4" x14ac:dyDescent="0.2">
      <c r="A272" t="s">
        <v>2150</v>
      </c>
      <c r="B272" s="2">
        <v>43169</v>
      </c>
      <c r="C272" t="s">
        <v>1885</v>
      </c>
      <c r="D272" t="s">
        <v>1807</v>
      </c>
    </row>
    <row r="273" spans="1:4" x14ac:dyDescent="0.2">
      <c r="A273" t="s">
        <v>113</v>
      </c>
      <c r="B273" s="2">
        <v>43110</v>
      </c>
      <c r="C273" t="s">
        <v>1921</v>
      </c>
      <c r="D273" t="s">
        <v>1840</v>
      </c>
    </row>
    <row r="274" spans="1:4" x14ac:dyDescent="0.2">
      <c r="A274" t="s">
        <v>2151</v>
      </c>
      <c r="B274" s="2">
        <v>43010</v>
      </c>
      <c r="C274" t="s">
        <v>2152</v>
      </c>
      <c r="D274" t="s">
        <v>1829</v>
      </c>
    </row>
    <row r="275" spans="1:4" x14ac:dyDescent="0.2">
      <c r="A275" t="s">
        <v>2153</v>
      </c>
      <c r="B275" s="2">
        <v>43027</v>
      </c>
      <c r="C275" t="s">
        <v>2154</v>
      </c>
      <c r="D275" t="s">
        <v>1810</v>
      </c>
    </row>
    <row r="276" spans="1:4" x14ac:dyDescent="0.2">
      <c r="A276" t="s">
        <v>2155</v>
      </c>
      <c r="B276" s="2">
        <v>43204</v>
      </c>
      <c r="C276" t="s">
        <v>2115</v>
      </c>
      <c r="D276" t="s">
        <v>1804</v>
      </c>
    </row>
    <row r="277" spans="1:4" x14ac:dyDescent="0.2">
      <c r="A277" t="s">
        <v>2156</v>
      </c>
      <c r="B277" s="2">
        <v>43110</v>
      </c>
      <c r="C277" t="s">
        <v>1836</v>
      </c>
      <c r="D277" t="s">
        <v>1031</v>
      </c>
    </row>
    <row r="278" spans="1:4" x14ac:dyDescent="0.2">
      <c r="A278" t="s">
        <v>2157</v>
      </c>
      <c r="B278" s="2">
        <v>43209</v>
      </c>
      <c r="C278" t="s">
        <v>2158</v>
      </c>
      <c r="D278" t="s">
        <v>1813</v>
      </c>
    </row>
    <row r="279" spans="1:4" x14ac:dyDescent="0.2">
      <c r="A279" t="s">
        <v>2159</v>
      </c>
      <c r="B279" s="2">
        <v>43245</v>
      </c>
      <c r="C279" t="s">
        <v>1827</v>
      </c>
      <c r="D279" t="s">
        <v>1807</v>
      </c>
    </row>
    <row r="280" spans="1:4" x14ac:dyDescent="0.2">
      <c r="A280" t="s">
        <v>116</v>
      </c>
      <c r="B280" s="2">
        <v>43136</v>
      </c>
      <c r="C280" t="s">
        <v>1816</v>
      </c>
      <c r="D280" t="s">
        <v>1810</v>
      </c>
    </row>
    <row r="281" spans="1:4" x14ac:dyDescent="0.2">
      <c r="A281" t="s">
        <v>2160</v>
      </c>
      <c r="B281" s="2">
        <v>42932</v>
      </c>
      <c r="C281" t="s">
        <v>1880</v>
      </c>
      <c r="D281" t="s">
        <v>1829</v>
      </c>
    </row>
    <row r="282" spans="1:4" x14ac:dyDescent="0.2">
      <c r="A282" t="s">
        <v>2161</v>
      </c>
      <c r="B282" s="2">
        <v>43201</v>
      </c>
      <c r="C282" t="s">
        <v>1905</v>
      </c>
      <c r="D282" t="s">
        <v>1031</v>
      </c>
    </row>
    <row r="283" spans="1:4" x14ac:dyDescent="0.2">
      <c r="A283" t="s">
        <v>2162</v>
      </c>
      <c r="B283" s="2">
        <v>43131</v>
      </c>
      <c r="C283" t="s">
        <v>2163</v>
      </c>
      <c r="D283" t="s">
        <v>1813</v>
      </c>
    </row>
    <row r="284" spans="1:4" x14ac:dyDescent="0.2">
      <c r="A284" t="s">
        <v>118</v>
      </c>
      <c r="B284" s="2">
        <v>43116</v>
      </c>
      <c r="C284" t="s">
        <v>1803</v>
      </c>
      <c r="D284" t="s">
        <v>1804</v>
      </c>
    </row>
    <row r="285" spans="1:4" x14ac:dyDescent="0.2">
      <c r="A285" t="s">
        <v>2164</v>
      </c>
      <c r="B285" s="2">
        <v>43135</v>
      </c>
      <c r="C285" t="s">
        <v>1905</v>
      </c>
      <c r="D285" t="s">
        <v>1810</v>
      </c>
    </row>
    <row r="286" spans="1:4" x14ac:dyDescent="0.2">
      <c r="A286" t="s">
        <v>2165</v>
      </c>
      <c r="B286" s="2">
        <v>43053</v>
      </c>
      <c r="C286" t="s">
        <v>1816</v>
      </c>
      <c r="D286" t="s">
        <v>1810</v>
      </c>
    </row>
    <row r="287" spans="1:4" x14ac:dyDescent="0.2">
      <c r="A287" t="s">
        <v>2166</v>
      </c>
      <c r="B287" s="2">
        <v>43112</v>
      </c>
      <c r="C287" t="s">
        <v>1836</v>
      </c>
      <c r="D287" t="s">
        <v>1031</v>
      </c>
    </row>
    <row r="288" spans="1:4" x14ac:dyDescent="0.2">
      <c r="A288" t="s">
        <v>2167</v>
      </c>
      <c r="B288" s="2">
        <v>43100</v>
      </c>
      <c r="C288" t="s">
        <v>1803</v>
      </c>
      <c r="D288" t="s">
        <v>1804</v>
      </c>
    </row>
    <row r="289" spans="1:4" x14ac:dyDescent="0.2">
      <c r="A289" t="s">
        <v>2168</v>
      </c>
      <c r="B289" s="2">
        <v>43125</v>
      </c>
      <c r="C289" t="s">
        <v>1993</v>
      </c>
      <c r="D289" t="s">
        <v>1810</v>
      </c>
    </row>
    <row r="290" spans="1:4" x14ac:dyDescent="0.2">
      <c r="A290" t="s">
        <v>120</v>
      </c>
      <c r="B290" s="2">
        <v>43185</v>
      </c>
      <c r="C290" t="s">
        <v>1930</v>
      </c>
      <c r="D290" t="s">
        <v>1807</v>
      </c>
    </row>
    <row r="291" spans="1:4" x14ac:dyDescent="0.2">
      <c r="A291" t="s">
        <v>2169</v>
      </c>
      <c r="B291" s="2">
        <v>43218</v>
      </c>
      <c r="C291" t="s">
        <v>2170</v>
      </c>
      <c r="D291" t="s">
        <v>1804</v>
      </c>
    </row>
    <row r="292" spans="1:4" x14ac:dyDescent="0.2">
      <c r="A292" t="s">
        <v>2171</v>
      </c>
      <c r="B292" s="2">
        <v>43245</v>
      </c>
      <c r="C292" t="s">
        <v>1827</v>
      </c>
      <c r="D292" t="s">
        <v>1807</v>
      </c>
    </row>
    <row r="293" spans="1:4" x14ac:dyDescent="0.2">
      <c r="A293" t="s">
        <v>2172</v>
      </c>
      <c r="B293" s="2">
        <v>42962</v>
      </c>
      <c r="C293" t="s">
        <v>1825</v>
      </c>
      <c r="D293" t="s">
        <v>1810</v>
      </c>
    </row>
    <row r="294" spans="1:4" x14ac:dyDescent="0.2">
      <c r="A294" t="s">
        <v>2173</v>
      </c>
      <c r="B294" s="2">
        <v>43244</v>
      </c>
      <c r="C294" t="s">
        <v>1816</v>
      </c>
      <c r="D294" t="s">
        <v>1810</v>
      </c>
    </row>
    <row r="295" spans="1:4" x14ac:dyDescent="0.2">
      <c r="A295" t="s">
        <v>2174</v>
      </c>
      <c r="B295" s="2">
        <v>42978</v>
      </c>
      <c r="C295" t="s">
        <v>1836</v>
      </c>
      <c r="D295" t="s">
        <v>1804</v>
      </c>
    </row>
    <row r="296" spans="1:4" x14ac:dyDescent="0.2">
      <c r="A296" t="s">
        <v>2175</v>
      </c>
      <c r="B296" s="2">
        <v>43192</v>
      </c>
      <c r="C296" t="s">
        <v>1987</v>
      </c>
      <c r="D296" t="s">
        <v>1807</v>
      </c>
    </row>
    <row r="297" spans="1:4" x14ac:dyDescent="0.2">
      <c r="A297" t="s">
        <v>2176</v>
      </c>
      <c r="B297" s="2">
        <v>43143</v>
      </c>
      <c r="C297" t="s">
        <v>1930</v>
      </c>
      <c r="D297" t="s">
        <v>1829</v>
      </c>
    </row>
    <row r="298" spans="1:4" x14ac:dyDescent="0.2">
      <c r="A298" t="s">
        <v>2177</v>
      </c>
      <c r="B298" s="2">
        <v>43150</v>
      </c>
      <c r="C298" t="s">
        <v>2048</v>
      </c>
      <c r="D298" t="s">
        <v>1829</v>
      </c>
    </row>
    <row r="299" spans="1:4" x14ac:dyDescent="0.2">
      <c r="A299" t="s">
        <v>2178</v>
      </c>
      <c r="B299" s="2">
        <v>43232</v>
      </c>
      <c r="C299" t="s">
        <v>1905</v>
      </c>
      <c r="D299" t="s">
        <v>1810</v>
      </c>
    </row>
    <row r="300" spans="1:4" x14ac:dyDescent="0.2">
      <c r="A300" t="s">
        <v>2179</v>
      </c>
      <c r="B300" s="2">
        <v>43039</v>
      </c>
      <c r="C300" t="s">
        <v>1816</v>
      </c>
      <c r="D300" t="s">
        <v>1807</v>
      </c>
    </row>
    <row r="301" spans="1:4" x14ac:dyDescent="0.2">
      <c r="A301" t="s">
        <v>2180</v>
      </c>
      <c r="B301" s="2">
        <v>43160</v>
      </c>
      <c r="C301" t="s">
        <v>1836</v>
      </c>
      <c r="D301" t="s">
        <v>1031</v>
      </c>
    </row>
    <row r="302" spans="1:4" x14ac:dyDescent="0.2">
      <c r="A302" t="s">
        <v>2181</v>
      </c>
      <c r="B302" s="2">
        <v>42952</v>
      </c>
      <c r="C302" t="s">
        <v>2182</v>
      </c>
      <c r="D302" t="s">
        <v>1810</v>
      </c>
    </row>
    <row r="303" spans="1:4" x14ac:dyDescent="0.2">
      <c r="A303" t="s">
        <v>2183</v>
      </c>
      <c r="B303" s="2">
        <v>43210</v>
      </c>
      <c r="C303" t="s">
        <v>1825</v>
      </c>
      <c r="D303" t="s">
        <v>1810</v>
      </c>
    </row>
    <row r="304" spans="1:4" x14ac:dyDescent="0.2">
      <c r="A304" t="s">
        <v>2184</v>
      </c>
      <c r="B304" s="2">
        <v>43108</v>
      </c>
      <c r="C304" t="s">
        <v>1825</v>
      </c>
      <c r="D304" t="s">
        <v>1810</v>
      </c>
    </row>
    <row r="305" spans="1:4" x14ac:dyDescent="0.2">
      <c r="A305" t="s">
        <v>2185</v>
      </c>
      <c r="B305" s="2">
        <v>43235</v>
      </c>
      <c r="C305" t="s">
        <v>1832</v>
      </c>
      <c r="D305" t="s">
        <v>1031</v>
      </c>
    </row>
    <row r="306" spans="1:4" x14ac:dyDescent="0.2">
      <c r="A306" t="s">
        <v>2186</v>
      </c>
      <c r="B306" s="2">
        <v>43118</v>
      </c>
      <c r="C306" t="s">
        <v>2187</v>
      </c>
      <c r="D306" t="s">
        <v>1031</v>
      </c>
    </row>
    <row r="307" spans="1:4" x14ac:dyDescent="0.2">
      <c r="A307" t="s">
        <v>2188</v>
      </c>
      <c r="B307" s="2">
        <v>43200</v>
      </c>
      <c r="C307" t="s">
        <v>1930</v>
      </c>
      <c r="D307" t="s">
        <v>1807</v>
      </c>
    </row>
    <row r="308" spans="1:4" x14ac:dyDescent="0.2">
      <c r="A308" t="s">
        <v>2189</v>
      </c>
      <c r="B308" s="2">
        <v>43248</v>
      </c>
      <c r="C308" t="s">
        <v>1905</v>
      </c>
      <c r="D308" t="s">
        <v>1810</v>
      </c>
    </row>
    <row r="309" spans="1:4" x14ac:dyDescent="0.2">
      <c r="A309" t="s">
        <v>123</v>
      </c>
      <c r="B309" s="2">
        <v>43202</v>
      </c>
      <c r="C309" t="s">
        <v>2190</v>
      </c>
      <c r="D309" t="s">
        <v>1807</v>
      </c>
    </row>
    <row r="310" spans="1:4" x14ac:dyDescent="0.2">
      <c r="A310" t="s">
        <v>2191</v>
      </c>
      <c r="B310" s="2">
        <v>43237</v>
      </c>
      <c r="C310" t="s">
        <v>1825</v>
      </c>
      <c r="D310" t="s">
        <v>1840</v>
      </c>
    </row>
    <row r="311" spans="1:4" x14ac:dyDescent="0.2">
      <c r="A311" t="s">
        <v>2192</v>
      </c>
      <c r="B311" s="2">
        <v>43098</v>
      </c>
      <c r="C311" t="s">
        <v>2193</v>
      </c>
      <c r="D311" t="s">
        <v>1810</v>
      </c>
    </row>
    <row r="312" spans="1:4" x14ac:dyDescent="0.2">
      <c r="A312" t="s">
        <v>125</v>
      </c>
      <c r="B312" s="2">
        <v>43201</v>
      </c>
      <c r="C312" t="s">
        <v>2194</v>
      </c>
      <c r="D312" t="s">
        <v>1810</v>
      </c>
    </row>
    <row r="313" spans="1:4" x14ac:dyDescent="0.2">
      <c r="A313" t="s">
        <v>2195</v>
      </c>
      <c r="B313" s="2">
        <v>43179</v>
      </c>
      <c r="C313" t="s">
        <v>2196</v>
      </c>
      <c r="D313" t="s">
        <v>1840</v>
      </c>
    </row>
    <row r="314" spans="1:4" x14ac:dyDescent="0.2">
      <c r="A314" t="s">
        <v>2197</v>
      </c>
      <c r="B314" s="2">
        <v>43239</v>
      </c>
      <c r="C314" t="s">
        <v>1863</v>
      </c>
      <c r="D314" t="s">
        <v>1804</v>
      </c>
    </row>
    <row r="315" spans="1:4" x14ac:dyDescent="0.2">
      <c r="A315" t="s">
        <v>2198</v>
      </c>
      <c r="B315" s="2">
        <v>43136</v>
      </c>
      <c r="C315" t="s">
        <v>1836</v>
      </c>
      <c r="D315" t="s">
        <v>1031</v>
      </c>
    </row>
    <row r="316" spans="1:4" x14ac:dyDescent="0.2">
      <c r="A316" t="s">
        <v>129</v>
      </c>
      <c r="B316" s="2">
        <v>43113</v>
      </c>
      <c r="C316" t="s">
        <v>1816</v>
      </c>
      <c r="D316" t="s">
        <v>1810</v>
      </c>
    </row>
    <row r="317" spans="1:4" x14ac:dyDescent="0.2">
      <c r="A317" t="s">
        <v>2199</v>
      </c>
      <c r="B317" s="2">
        <v>43173</v>
      </c>
      <c r="C317" t="s">
        <v>2048</v>
      </c>
      <c r="D317" t="s">
        <v>1829</v>
      </c>
    </row>
    <row r="318" spans="1:4" x14ac:dyDescent="0.2">
      <c r="A318" t="s">
        <v>2200</v>
      </c>
      <c r="B318" s="2">
        <v>43171</v>
      </c>
      <c r="C318" t="s">
        <v>1831</v>
      </c>
      <c r="D318" t="s">
        <v>160</v>
      </c>
    </row>
    <row r="319" spans="1:4" x14ac:dyDescent="0.2">
      <c r="A319" t="s">
        <v>2201</v>
      </c>
      <c r="B319" s="2">
        <v>43109</v>
      </c>
      <c r="C319" t="s">
        <v>1905</v>
      </c>
      <c r="D319" t="s">
        <v>1810</v>
      </c>
    </row>
    <row r="320" spans="1:4" x14ac:dyDescent="0.2">
      <c r="A320" t="s">
        <v>2202</v>
      </c>
      <c r="B320" s="2">
        <v>43121</v>
      </c>
      <c r="C320" t="s">
        <v>2054</v>
      </c>
      <c r="D320" t="s">
        <v>1807</v>
      </c>
    </row>
    <row r="321" spans="1:4" x14ac:dyDescent="0.2">
      <c r="A321" t="s">
        <v>2203</v>
      </c>
      <c r="B321" s="2">
        <v>43234</v>
      </c>
      <c r="C321" t="s">
        <v>2204</v>
      </c>
      <c r="D321" t="s">
        <v>1807</v>
      </c>
    </row>
    <row r="322" spans="1:4" x14ac:dyDescent="0.2">
      <c r="A322" t="s">
        <v>2205</v>
      </c>
      <c r="B322" s="2">
        <v>43185</v>
      </c>
      <c r="C322" t="s">
        <v>2206</v>
      </c>
      <c r="D322" t="s">
        <v>1829</v>
      </c>
    </row>
    <row r="323" spans="1:4" x14ac:dyDescent="0.2">
      <c r="A323" t="s">
        <v>2207</v>
      </c>
      <c r="B323" s="2">
        <v>43250</v>
      </c>
      <c r="C323" t="s">
        <v>2182</v>
      </c>
      <c r="D323" t="s">
        <v>1810</v>
      </c>
    </row>
    <row r="324" spans="1:4" x14ac:dyDescent="0.2">
      <c r="A324" t="s">
        <v>2208</v>
      </c>
      <c r="B324" s="2">
        <v>43067</v>
      </c>
      <c r="C324" t="s">
        <v>1939</v>
      </c>
      <c r="D324" t="s">
        <v>1804</v>
      </c>
    </row>
    <row r="325" spans="1:4" x14ac:dyDescent="0.2">
      <c r="A325" t="s">
        <v>2209</v>
      </c>
      <c r="B325" s="2">
        <v>43197</v>
      </c>
      <c r="C325" t="s">
        <v>2210</v>
      </c>
      <c r="D325" t="s">
        <v>1829</v>
      </c>
    </row>
    <row r="326" spans="1:4" x14ac:dyDescent="0.2">
      <c r="A326" t="s">
        <v>2211</v>
      </c>
      <c r="B326" s="2">
        <v>43099</v>
      </c>
      <c r="C326" t="s">
        <v>1854</v>
      </c>
      <c r="D326" t="s">
        <v>1810</v>
      </c>
    </row>
    <row r="327" spans="1:4" x14ac:dyDescent="0.2">
      <c r="A327" t="s">
        <v>2212</v>
      </c>
      <c r="B327" s="2">
        <v>43172</v>
      </c>
      <c r="C327" t="s">
        <v>1803</v>
      </c>
      <c r="D327" t="s">
        <v>1804</v>
      </c>
    </row>
    <row r="328" spans="1:4" x14ac:dyDescent="0.2">
      <c r="A328" t="s">
        <v>2213</v>
      </c>
      <c r="B328" s="2">
        <v>43117</v>
      </c>
      <c r="C328" t="s">
        <v>1902</v>
      </c>
      <c r="D328" t="s">
        <v>1813</v>
      </c>
    </row>
    <row r="329" spans="1:4" x14ac:dyDescent="0.2">
      <c r="A329" t="s">
        <v>2214</v>
      </c>
      <c r="B329" s="2">
        <v>43089</v>
      </c>
      <c r="C329" t="s">
        <v>1930</v>
      </c>
      <c r="D329" t="s">
        <v>1807</v>
      </c>
    </row>
    <row r="330" spans="1:4" x14ac:dyDescent="0.2">
      <c r="A330" t="s">
        <v>2215</v>
      </c>
      <c r="B330" s="2">
        <v>43199</v>
      </c>
      <c r="C330" t="s">
        <v>2216</v>
      </c>
      <c r="D330" t="s">
        <v>1807</v>
      </c>
    </row>
    <row r="331" spans="1:4" x14ac:dyDescent="0.2">
      <c r="A331" t="s">
        <v>2217</v>
      </c>
      <c r="B331" s="2">
        <v>43103</v>
      </c>
      <c r="C331" t="s">
        <v>1902</v>
      </c>
      <c r="D331" t="s">
        <v>1813</v>
      </c>
    </row>
    <row r="332" spans="1:4" x14ac:dyDescent="0.2">
      <c r="A332" t="s">
        <v>2218</v>
      </c>
      <c r="B332" s="2">
        <v>43145</v>
      </c>
      <c r="C332" t="s">
        <v>1836</v>
      </c>
      <c r="D332" t="s">
        <v>1031</v>
      </c>
    </row>
    <row r="333" spans="1:4" x14ac:dyDescent="0.2">
      <c r="A333" t="s">
        <v>2219</v>
      </c>
      <c r="B333" s="2">
        <v>43113</v>
      </c>
      <c r="C333" t="s">
        <v>1865</v>
      </c>
      <c r="D333" t="s">
        <v>1810</v>
      </c>
    </row>
    <row r="334" spans="1:4" x14ac:dyDescent="0.2">
      <c r="A334" t="s">
        <v>2220</v>
      </c>
      <c r="B334" s="2">
        <v>43168</v>
      </c>
      <c r="C334" t="s">
        <v>1803</v>
      </c>
      <c r="D334" t="s">
        <v>1813</v>
      </c>
    </row>
    <row r="335" spans="1:4" x14ac:dyDescent="0.2">
      <c r="A335" t="s">
        <v>2221</v>
      </c>
      <c r="B335" s="2">
        <v>43131</v>
      </c>
      <c r="C335" t="s">
        <v>1867</v>
      </c>
      <c r="D335" t="s">
        <v>1804</v>
      </c>
    </row>
    <row r="336" spans="1:4" x14ac:dyDescent="0.2">
      <c r="A336" t="s">
        <v>2222</v>
      </c>
      <c r="B336" s="2">
        <v>43055</v>
      </c>
      <c r="C336" t="s">
        <v>1803</v>
      </c>
      <c r="D336" t="s">
        <v>1804</v>
      </c>
    </row>
    <row r="337" spans="1:4" x14ac:dyDescent="0.2">
      <c r="A337" t="s">
        <v>2223</v>
      </c>
      <c r="B337" s="2">
        <v>43102</v>
      </c>
      <c r="C337" t="s">
        <v>1809</v>
      </c>
      <c r="D337" t="s">
        <v>1810</v>
      </c>
    </row>
    <row r="338" spans="1:4" x14ac:dyDescent="0.2">
      <c r="A338" t="s">
        <v>2224</v>
      </c>
      <c r="B338" s="2">
        <v>43113</v>
      </c>
      <c r="C338" t="s">
        <v>1865</v>
      </c>
      <c r="D338" t="s">
        <v>1810</v>
      </c>
    </row>
    <row r="339" spans="1:4" x14ac:dyDescent="0.2">
      <c r="A339" t="s">
        <v>2225</v>
      </c>
      <c r="B339" s="2">
        <v>43033</v>
      </c>
      <c r="C339" t="s">
        <v>1892</v>
      </c>
      <c r="D339" t="s">
        <v>1810</v>
      </c>
    </row>
    <row r="340" spans="1:4" x14ac:dyDescent="0.2">
      <c r="A340" t="s">
        <v>2226</v>
      </c>
      <c r="B340" s="2">
        <v>43112</v>
      </c>
      <c r="C340" t="s">
        <v>1836</v>
      </c>
      <c r="D340" t="s">
        <v>1813</v>
      </c>
    </row>
    <row r="341" spans="1:4" x14ac:dyDescent="0.2">
      <c r="A341" t="s">
        <v>2227</v>
      </c>
      <c r="B341" s="2">
        <v>43199</v>
      </c>
      <c r="C341" t="s">
        <v>1816</v>
      </c>
      <c r="D341" t="s">
        <v>1807</v>
      </c>
    </row>
    <row r="342" spans="1:4" x14ac:dyDescent="0.2">
      <c r="A342" t="s">
        <v>2228</v>
      </c>
      <c r="B342" s="2">
        <v>43202</v>
      </c>
      <c r="C342" t="s">
        <v>2229</v>
      </c>
      <c r="D342" t="s">
        <v>1031</v>
      </c>
    </row>
    <row r="343" spans="1:4" x14ac:dyDescent="0.2">
      <c r="A343" t="s">
        <v>2230</v>
      </c>
      <c r="B343" s="2">
        <v>43057</v>
      </c>
      <c r="C343" t="s">
        <v>1905</v>
      </c>
      <c r="D343" t="s">
        <v>1810</v>
      </c>
    </row>
    <row r="344" spans="1:4" x14ac:dyDescent="0.2">
      <c r="A344" t="s">
        <v>2231</v>
      </c>
      <c r="B344" s="2">
        <v>43193</v>
      </c>
      <c r="C344" t="s">
        <v>1863</v>
      </c>
      <c r="D344" t="s">
        <v>1804</v>
      </c>
    </row>
    <row r="345" spans="1:4" x14ac:dyDescent="0.2">
      <c r="A345" t="s">
        <v>2232</v>
      </c>
      <c r="B345" s="2">
        <v>43229</v>
      </c>
      <c r="C345" t="s">
        <v>1816</v>
      </c>
      <c r="D345" t="s">
        <v>1810</v>
      </c>
    </row>
    <row r="346" spans="1:4" x14ac:dyDescent="0.2">
      <c r="A346" t="s">
        <v>132</v>
      </c>
      <c r="B346" s="2">
        <v>43169</v>
      </c>
      <c r="C346" t="s">
        <v>1816</v>
      </c>
      <c r="D346" t="s">
        <v>1031</v>
      </c>
    </row>
    <row r="347" spans="1:4" x14ac:dyDescent="0.2">
      <c r="A347" t="s">
        <v>2233</v>
      </c>
      <c r="B347" s="2">
        <v>43199</v>
      </c>
      <c r="C347" t="s">
        <v>1905</v>
      </c>
      <c r="D347" t="s">
        <v>1807</v>
      </c>
    </row>
    <row r="348" spans="1:4" x14ac:dyDescent="0.2">
      <c r="A348" t="s">
        <v>2234</v>
      </c>
      <c r="B348" s="2">
        <v>43185</v>
      </c>
      <c r="C348" t="s">
        <v>1836</v>
      </c>
      <c r="D348" t="s">
        <v>1810</v>
      </c>
    </row>
    <row r="349" spans="1:4" x14ac:dyDescent="0.2">
      <c r="A349" t="s">
        <v>2235</v>
      </c>
      <c r="B349" s="2">
        <v>43055</v>
      </c>
      <c r="C349" t="s">
        <v>2006</v>
      </c>
      <c r="D349" t="s">
        <v>1807</v>
      </c>
    </row>
    <row r="350" spans="1:4" x14ac:dyDescent="0.2">
      <c r="A350" t="s">
        <v>2236</v>
      </c>
      <c r="B350" s="2">
        <v>43235</v>
      </c>
      <c r="C350" t="s">
        <v>1928</v>
      </c>
      <c r="D350" t="s">
        <v>1810</v>
      </c>
    </row>
    <row r="351" spans="1:4" x14ac:dyDescent="0.2">
      <c r="A351" t="s">
        <v>2237</v>
      </c>
      <c r="B351" s="2">
        <v>43168</v>
      </c>
      <c r="C351" t="s">
        <v>1803</v>
      </c>
      <c r="D351" t="s">
        <v>1804</v>
      </c>
    </row>
    <row r="352" spans="1:4" x14ac:dyDescent="0.2">
      <c r="A352" t="s">
        <v>2238</v>
      </c>
      <c r="B352" s="2">
        <v>43220</v>
      </c>
      <c r="C352" t="s">
        <v>1827</v>
      </c>
      <c r="D352" t="s">
        <v>1810</v>
      </c>
    </row>
    <row r="353" spans="1:4" x14ac:dyDescent="0.2">
      <c r="A353" t="s">
        <v>2239</v>
      </c>
      <c r="B353" s="2">
        <v>43229</v>
      </c>
      <c r="C353" t="s">
        <v>1836</v>
      </c>
      <c r="D353" t="s">
        <v>1810</v>
      </c>
    </row>
    <row r="354" spans="1:4" x14ac:dyDescent="0.2">
      <c r="A354" t="s">
        <v>2240</v>
      </c>
      <c r="B354" s="2">
        <v>43206</v>
      </c>
      <c r="C354" t="s">
        <v>2048</v>
      </c>
      <c r="D354" t="s">
        <v>1840</v>
      </c>
    </row>
    <row r="355" spans="1:4" x14ac:dyDescent="0.2">
      <c r="A355" t="s">
        <v>2241</v>
      </c>
      <c r="B355" s="2">
        <v>43182</v>
      </c>
      <c r="C355" t="s">
        <v>2242</v>
      </c>
      <c r="D355" t="s">
        <v>1810</v>
      </c>
    </row>
    <row r="356" spans="1:4" x14ac:dyDescent="0.2">
      <c r="A356" t="s">
        <v>2243</v>
      </c>
      <c r="B356" s="2">
        <v>43123</v>
      </c>
      <c r="C356" t="s">
        <v>1902</v>
      </c>
      <c r="D356" t="s">
        <v>160</v>
      </c>
    </row>
    <row r="357" spans="1:4" x14ac:dyDescent="0.2">
      <c r="A357" t="s">
        <v>2244</v>
      </c>
      <c r="B357" s="2">
        <v>43183</v>
      </c>
      <c r="C357" t="s">
        <v>1816</v>
      </c>
      <c r="D357" t="s">
        <v>1810</v>
      </c>
    </row>
    <row r="358" spans="1:4" x14ac:dyDescent="0.2">
      <c r="A358" t="s">
        <v>2245</v>
      </c>
      <c r="B358" s="2">
        <v>43237</v>
      </c>
      <c r="C358" t="s">
        <v>1915</v>
      </c>
      <c r="D358" t="s">
        <v>1807</v>
      </c>
    </row>
    <row r="359" spans="1:4" x14ac:dyDescent="0.2">
      <c r="A359" t="s">
        <v>2246</v>
      </c>
      <c r="B359" s="2">
        <v>43185</v>
      </c>
      <c r="C359" t="s">
        <v>1930</v>
      </c>
      <c r="D359" t="s">
        <v>1813</v>
      </c>
    </row>
    <row r="360" spans="1:4" x14ac:dyDescent="0.2">
      <c r="A360" t="s">
        <v>2247</v>
      </c>
      <c r="B360" s="2">
        <v>43185</v>
      </c>
      <c r="C360" t="s">
        <v>2170</v>
      </c>
      <c r="D360" t="s">
        <v>1810</v>
      </c>
    </row>
    <row r="361" spans="1:4" x14ac:dyDescent="0.2">
      <c r="A361" t="s">
        <v>2248</v>
      </c>
      <c r="B361" s="2">
        <v>43153</v>
      </c>
      <c r="C361" t="s">
        <v>2249</v>
      </c>
      <c r="D361" t="s">
        <v>1840</v>
      </c>
    </row>
    <row r="362" spans="1:4" x14ac:dyDescent="0.2">
      <c r="A362" t="s">
        <v>2250</v>
      </c>
      <c r="B362" s="2">
        <v>43199</v>
      </c>
      <c r="C362" t="s">
        <v>1863</v>
      </c>
      <c r="D362" t="s">
        <v>1804</v>
      </c>
    </row>
    <row r="363" spans="1:4" x14ac:dyDescent="0.2">
      <c r="A363" t="s">
        <v>2251</v>
      </c>
      <c r="B363" s="2">
        <v>43129</v>
      </c>
      <c r="C363" t="s">
        <v>1803</v>
      </c>
      <c r="D363" t="s">
        <v>1910</v>
      </c>
    </row>
    <row r="364" spans="1:4" x14ac:dyDescent="0.2">
      <c r="A364" t="s">
        <v>2252</v>
      </c>
      <c r="B364" s="2">
        <v>43154</v>
      </c>
      <c r="C364" t="s">
        <v>1825</v>
      </c>
      <c r="D364" t="s">
        <v>1810</v>
      </c>
    </row>
    <row r="365" spans="1:4" x14ac:dyDescent="0.2">
      <c r="A365" t="s">
        <v>2253</v>
      </c>
      <c r="B365" s="2">
        <v>42991</v>
      </c>
      <c r="C365" t="s">
        <v>1816</v>
      </c>
      <c r="D365" t="s">
        <v>1810</v>
      </c>
    </row>
    <row r="366" spans="1:4" x14ac:dyDescent="0.2">
      <c r="A366" t="s">
        <v>134</v>
      </c>
      <c r="B366" s="2">
        <v>43181</v>
      </c>
      <c r="C366" t="s">
        <v>2254</v>
      </c>
      <c r="D366" t="s">
        <v>1031</v>
      </c>
    </row>
    <row r="367" spans="1:4" x14ac:dyDescent="0.2">
      <c r="A367" t="s">
        <v>2255</v>
      </c>
      <c r="B367" s="2">
        <v>42949</v>
      </c>
      <c r="C367" t="s">
        <v>2256</v>
      </c>
      <c r="D367" t="s">
        <v>1810</v>
      </c>
    </row>
    <row r="368" spans="1:4" x14ac:dyDescent="0.2">
      <c r="A368" t="s">
        <v>136</v>
      </c>
      <c r="B368" s="2">
        <v>43236</v>
      </c>
      <c r="C368" t="s">
        <v>2254</v>
      </c>
      <c r="D368" t="s">
        <v>1810</v>
      </c>
    </row>
    <row r="369" spans="1:4" x14ac:dyDescent="0.2">
      <c r="A369" t="s">
        <v>2257</v>
      </c>
      <c r="B369" s="2">
        <v>43158</v>
      </c>
      <c r="C369" t="s">
        <v>1836</v>
      </c>
      <c r="D369" t="s">
        <v>1031</v>
      </c>
    </row>
    <row r="370" spans="1:4" x14ac:dyDescent="0.2">
      <c r="A370" t="s">
        <v>2258</v>
      </c>
      <c r="B370" s="2">
        <v>43222</v>
      </c>
      <c r="C370" t="s">
        <v>1930</v>
      </c>
      <c r="D370" t="s">
        <v>1807</v>
      </c>
    </row>
    <row r="371" spans="1:4" x14ac:dyDescent="0.2">
      <c r="A371" t="s">
        <v>2259</v>
      </c>
      <c r="B371" s="2">
        <v>43238</v>
      </c>
      <c r="C371" t="s">
        <v>1867</v>
      </c>
      <c r="D371" t="s">
        <v>1807</v>
      </c>
    </row>
    <row r="372" spans="1:4" x14ac:dyDescent="0.2">
      <c r="A372" t="s">
        <v>2260</v>
      </c>
      <c r="B372" s="2">
        <v>43044</v>
      </c>
      <c r="C372" t="s">
        <v>1803</v>
      </c>
      <c r="D372" t="s">
        <v>1829</v>
      </c>
    </row>
    <row r="373" spans="1:4" x14ac:dyDescent="0.2">
      <c r="A373" t="s">
        <v>2261</v>
      </c>
      <c r="B373" s="2">
        <v>43206</v>
      </c>
      <c r="C373" t="s">
        <v>1816</v>
      </c>
      <c r="D373" t="s">
        <v>1804</v>
      </c>
    </row>
    <row r="374" spans="1:4" x14ac:dyDescent="0.2">
      <c r="A374" t="s">
        <v>2262</v>
      </c>
      <c r="B374" s="2">
        <v>43217</v>
      </c>
      <c r="C374" t="s">
        <v>2263</v>
      </c>
      <c r="D374" t="s">
        <v>1810</v>
      </c>
    </row>
    <row r="375" spans="1:4" x14ac:dyDescent="0.2">
      <c r="A375" t="s">
        <v>2264</v>
      </c>
      <c r="B375" s="2">
        <v>43125</v>
      </c>
      <c r="C375" t="s">
        <v>1993</v>
      </c>
      <c r="D375" t="s">
        <v>1807</v>
      </c>
    </row>
    <row r="376" spans="1:4" x14ac:dyDescent="0.2">
      <c r="A376" t="s">
        <v>2265</v>
      </c>
      <c r="B376" s="2">
        <v>43154</v>
      </c>
      <c r="C376" t="s">
        <v>1865</v>
      </c>
      <c r="D376" t="s">
        <v>1840</v>
      </c>
    </row>
    <row r="377" spans="1:4" x14ac:dyDescent="0.2">
      <c r="A377" t="s">
        <v>2266</v>
      </c>
      <c r="B377" s="2">
        <v>43249</v>
      </c>
      <c r="C377" t="s">
        <v>1816</v>
      </c>
      <c r="D377" t="s">
        <v>1810</v>
      </c>
    </row>
    <row r="378" spans="1:4" x14ac:dyDescent="0.2">
      <c r="A378" t="s">
        <v>139</v>
      </c>
      <c r="B378" s="2">
        <v>43152</v>
      </c>
      <c r="C378" t="s">
        <v>1885</v>
      </c>
      <c r="D378" t="s">
        <v>1807</v>
      </c>
    </row>
    <row r="379" spans="1:4" x14ac:dyDescent="0.2">
      <c r="A379" t="s">
        <v>2267</v>
      </c>
      <c r="B379" s="2">
        <v>43227</v>
      </c>
      <c r="C379" t="s">
        <v>1827</v>
      </c>
      <c r="D379" t="s">
        <v>1807</v>
      </c>
    </row>
    <row r="380" spans="1:4" x14ac:dyDescent="0.2">
      <c r="A380" t="s">
        <v>2268</v>
      </c>
      <c r="B380" s="2">
        <v>43142</v>
      </c>
      <c r="C380" t="s">
        <v>1803</v>
      </c>
      <c r="D380" t="s">
        <v>1804</v>
      </c>
    </row>
    <row r="381" spans="1:4" x14ac:dyDescent="0.2">
      <c r="A381" t="s">
        <v>2269</v>
      </c>
      <c r="B381" s="2">
        <v>43124</v>
      </c>
      <c r="C381" t="s">
        <v>1816</v>
      </c>
      <c r="D381" t="s">
        <v>1810</v>
      </c>
    </row>
    <row r="382" spans="1:4" x14ac:dyDescent="0.2">
      <c r="A382" t="s">
        <v>2270</v>
      </c>
      <c r="B382" s="2">
        <v>43010</v>
      </c>
      <c r="C382" t="s">
        <v>2033</v>
      </c>
      <c r="D382" t="s">
        <v>1810</v>
      </c>
    </row>
    <row r="383" spans="1:4" x14ac:dyDescent="0.2">
      <c r="A383" t="s">
        <v>2271</v>
      </c>
      <c r="B383" s="2">
        <v>43000</v>
      </c>
      <c r="C383" t="s">
        <v>1880</v>
      </c>
      <c r="D383" t="s">
        <v>1031</v>
      </c>
    </row>
    <row r="384" spans="1:4" x14ac:dyDescent="0.2">
      <c r="A384" t="s">
        <v>2272</v>
      </c>
      <c r="B384" s="2">
        <v>43010</v>
      </c>
      <c r="C384" t="s">
        <v>2054</v>
      </c>
      <c r="D384" t="s">
        <v>1807</v>
      </c>
    </row>
    <row r="385" spans="1:4" x14ac:dyDescent="0.2">
      <c r="A385" t="s">
        <v>2273</v>
      </c>
      <c r="B385" s="2">
        <v>42948</v>
      </c>
      <c r="C385" t="s">
        <v>1939</v>
      </c>
      <c r="D385" t="s">
        <v>1810</v>
      </c>
    </row>
    <row r="386" spans="1:4" x14ac:dyDescent="0.2">
      <c r="A386" t="s">
        <v>2274</v>
      </c>
      <c r="B386" s="2">
        <v>43128</v>
      </c>
      <c r="C386" t="s">
        <v>1816</v>
      </c>
      <c r="D386" t="s">
        <v>1810</v>
      </c>
    </row>
    <row r="387" spans="1:4" x14ac:dyDescent="0.2">
      <c r="A387" t="s">
        <v>2275</v>
      </c>
      <c r="B387" s="2">
        <v>42991</v>
      </c>
      <c r="C387" t="s">
        <v>2276</v>
      </c>
      <c r="D387" t="s">
        <v>1813</v>
      </c>
    </row>
    <row r="388" spans="1:4" x14ac:dyDescent="0.2">
      <c r="A388" t="s">
        <v>143</v>
      </c>
      <c r="B388" s="2">
        <v>43245</v>
      </c>
      <c r="C388" t="s">
        <v>1930</v>
      </c>
      <c r="D388" t="s">
        <v>1807</v>
      </c>
    </row>
    <row r="389" spans="1:4" x14ac:dyDescent="0.2">
      <c r="A389" t="s">
        <v>2277</v>
      </c>
      <c r="B389" s="2">
        <v>43202</v>
      </c>
      <c r="C389" t="s">
        <v>2206</v>
      </c>
      <c r="D389" t="s">
        <v>1840</v>
      </c>
    </row>
    <row r="390" spans="1:4" x14ac:dyDescent="0.2">
      <c r="A390" t="s">
        <v>2278</v>
      </c>
      <c r="B390" s="2">
        <v>43120</v>
      </c>
      <c r="C390" t="s">
        <v>1803</v>
      </c>
      <c r="D390" t="s">
        <v>1804</v>
      </c>
    </row>
    <row r="391" spans="1:4" x14ac:dyDescent="0.2">
      <c r="A391" t="s">
        <v>2279</v>
      </c>
      <c r="B391" s="2">
        <v>43222</v>
      </c>
      <c r="C391" t="s">
        <v>1859</v>
      </c>
      <c r="D391" t="s">
        <v>1840</v>
      </c>
    </row>
    <row r="392" spans="1:4" x14ac:dyDescent="0.2">
      <c r="A392" t="s">
        <v>2280</v>
      </c>
      <c r="B392" s="2">
        <v>43103</v>
      </c>
      <c r="C392" t="s">
        <v>1885</v>
      </c>
      <c r="D392" t="s">
        <v>1807</v>
      </c>
    </row>
    <row r="393" spans="1:4" x14ac:dyDescent="0.2">
      <c r="A393" t="s">
        <v>2281</v>
      </c>
      <c r="B393" s="2">
        <v>43178</v>
      </c>
      <c r="C393" t="s">
        <v>1863</v>
      </c>
      <c r="D393" t="s">
        <v>1804</v>
      </c>
    </row>
    <row r="394" spans="1:4" x14ac:dyDescent="0.2">
      <c r="A394" t="s">
        <v>2282</v>
      </c>
      <c r="B394" s="2">
        <v>43242</v>
      </c>
      <c r="C394" t="s">
        <v>2283</v>
      </c>
      <c r="D394" t="s">
        <v>1813</v>
      </c>
    </row>
    <row r="395" spans="1:4" x14ac:dyDescent="0.2">
      <c r="A395" t="s">
        <v>2284</v>
      </c>
      <c r="B395" s="2">
        <v>43132</v>
      </c>
      <c r="C395" t="s">
        <v>1816</v>
      </c>
      <c r="D395" t="s">
        <v>1810</v>
      </c>
    </row>
    <row r="396" spans="1:4" x14ac:dyDescent="0.2">
      <c r="A396" t="s">
        <v>2285</v>
      </c>
      <c r="B396" s="2">
        <v>42935</v>
      </c>
      <c r="C396" t="s">
        <v>2286</v>
      </c>
      <c r="D396" t="s">
        <v>1813</v>
      </c>
    </row>
    <row r="397" spans="1:4" x14ac:dyDescent="0.2">
      <c r="A397" t="s">
        <v>2287</v>
      </c>
      <c r="B397" s="2">
        <v>43014</v>
      </c>
      <c r="C397" t="s">
        <v>1836</v>
      </c>
      <c r="D397" t="s">
        <v>1807</v>
      </c>
    </row>
    <row r="398" spans="1:4" x14ac:dyDescent="0.2">
      <c r="A398" t="s">
        <v>2288</v>
      </c>
      <c r="B398" s="2">
        <v>43217</v>
      </c>
      <c r="C398" t="s">
        <v>1863</v>
      </c>
      <c r="D398" t="s">
        <v>1804</v>
      </c>
    </row>
    <row r="399" spans="1:4" x14ac:dyDescent="0.2">
      <c r="A399" t="s">
        <v>2289</v>
      </c>
      <c r="B399" s="2">
        <v>42976</v>
      </c>
      <c r="C399" t="s">
        <v>2242</v>
      </c>
      <c r="D399" t="s">
        <v>1840</v>
      </c>
    </row>
    <row r="400" spans="1:4" x14ac:dyDescent="0.2">
      <c r="A400" t="s">
        <v>2290</v>
      </c>
      <c r="B400" s="2">
        <v>43238</v>
      </c>
      <c r="C400" t="s">
        <v>2291</v>
      </c>
      <c r="D400" t="s">
        <v>1910</v>
      </c>
    </row>
    <row r="401" spans="1:4" x14ac:dyDescent="0.2">
      <c r="A401" t="s">
        <v>2292</v>
      </c>
      <c r="B401" s="2">
        <v>42978</v>
      </c>
      <c r="C401" t="s">
        <v>1816</v>
      </c>
      <c r="D401" t="s">
        <v>1810</v>
      </c>
    </row>
    <row r="402" spans="1:4" x14ac:dyDescent="0.2">
      <c r="A402" t="s">
        <v>2293</v>
      </c>
      <c r="B402" s="2">
        <v>43034</v>
      </c>
      <c r="C402" t="s">
        <v>2294</v>
      </c>
      <c r="D402" t="s">
        <v>1807</v>
      </c>
    </row>
    <row r="403" spans="1:4" x14ac:dyDescent="0.2">
      <c r="A403" t="s">
        <v>2295</v>
      </c>
      <c r="B403" s="2">
        <v>43042</v>
      </c>
      <c r="C403" t="s">
        <v>1803</v>
      </c>
      <c r="D403" t="s">
        <v>1804</v>
      </c>
    </row>
    <row r="404" spans="1:4" x14ac:dyDescent="0.2">
      <c r="A404" t="s">
        <v>2296</v>
      </c>
      <c r="B404" s="2">
        <v>43173</v>
      </c>
      <c r="C404" t="s">
        <v>1836</v>
      </c>
      <c r="D404" t="s">
        <v>1031</v>
      </c>
    </row>
    <row r="405" spans="1:4" x14ac:dyDescent="0.2">
      <c r="A405" t="s">
        <v>2297</v>
      </c>
      <c r="B405" s="2">
        <v>42989</v>
      </c>
      <c r="C405" t="s">
        <v>1894</v>
      </c>
      <c r="D405" t="s">
        <v>1804</v>
      </c>
    </row>
    <row r="406" spans="1:4" x14ac:dyDescent="0.2">
      <c r="A406" t="s">
        <v>2298</v>
      </c>
      <c r="B406" s="2">
        <v>43152</v>
      </c>
      <c r="C406" t="s">
        <v>1816</v>
      </c>
      <c r="D406" t="s">
        <v>1840</v>
      </c>
    </row>
    <row r="407" spans="1:4" x14ac:dyDescent="0.2">
      <c r="A407" t="s">
        <v>2299</v>
      </c>
      <c r="B407" s="2">
        <v>43181</v>
      </c>
      <c r="C407" t="s">
        <v>1836</v>
      </c>
      <c r="D407" t="s">
        <v>1810</v>
      </c>
    </row>
    <row r="408" spans="1:4" x14ac:dyDescent="0.2">
      <c r="A408" t="s">
        <v>2300</v>
      </c>
      <c r="B408" s="2">
        <v>43168</v>
      </c>
      <c r="C408" t="s">
        <v>1836</v>
      </c>
      <c r="D408" t="s">
        <v>1031</v>
      </c>
    </row>
    <row r="409" spans="1:4" x14ac:dyDescent="0.2">
      <c r="A409" t="s">
        <v>2301</v>
      </c>
      <c r="B409" s="2">
        <v>43236</v>
      </c>
      <c r="C409" t="s">
        <v>1818</v>
      </c>
      <c r="D409" t="s">
        <v>1031</v>
      </c>
    </row>
    <row r="410" spans="1:4" x14ac:dyDescent="0.2">
      <c r="A410" t="s">
        <v>145</v>
      </c>
      <c r="B410" s="2">
        <v>43155</v>
      </c>
      <c r="C410" t="s">
        <v>1816</v>
      </c>
      <c r="D410" t="s">
        <v>1810</v>
      </c>
    </row>
    <row r="411" spans="1:4" x14ac:dyDescent="0.2">
      <c r="A411" t="s">
        <v>2302</v>
      </c>
      <c r="B411" s="2">
        <v>43248</v>
      </c>
      <c r="C411" t="s">
        <v>2303</v>
      </c>
      <c r="D411" t="s">
        <v>1810</v>
      </c>
    </row>
    <row r="412" spans="1:4" x14ac:dyDescent="0.2">
      <c r="A412" t="s">
        <v>2304</v>
      </c>
      <c r="B412" s="2">
        <v>43205</v>
      </c>
      <c r="C412" t="s">
        <v>1863</v>
      </c>
      <c r="D412" t="s">
        <v>1804</v>
      </c>
    </row>
    <row r="413" spans="1:4" x14ac:dyDescent="0.2">
      <c r="A413" t="s">
        <v>2305</v>
      </c>
      <c r="B413" s="2">
        <v>43070</v>
      </c>
      <c r="C413" t="s">
        <v>1803</v>
      </c>
      <c r="D413" t="s">
        <v>1804</v>
      </c>
    </row>
    <row r="414" spans="1:4" x14ac:dyDescent="0.2">
      <c r="A414" t="s">
        <v>2306</v>
      </c>
      <c r="B414" s="2">
        <v>43158</v>
      </c>
      <c r="C414" t="s">
        <v>2307</v>
      </c>
      <c r="D414" t="s">
        <v>1810</v>
      </c>
    </row>
    <row r="415" spans="1:4" x14ac:dyDescent="0.2">
      <c r="A415" t="s">
        <v>2308</v>
      </c>
      <c r="B415" s="2">
        <v>42986</v>
      </c>
      <c r="C415" t="s">
        <v>2309</v>
      </c>
      <c r="D415" t="s">
        <v>1807</v>
      </c>
    </row>
    <row r="416" spans="1:4" x14ac:dyDescent="0.2">
      <c r="A416" t="s">
        <v>2310</v>
      </c>
      <c r="B416" s="2">
        <v>43222</v>
      </c>
      <c r="C416" t="s">
        <v>1909</v>
      </c>
      <c r="D416" t="s">
        <v>1807</v>
      </c>
    </row>
    <row r="417" spans="1:4" x14ac:dyDescent="0.2">
      <c r="A417" t="s">
        <v>2311</v>
      </c>
      <c r="B417" s="2">
        <v>43243</v>
      </c>
      <c r="C417" t="s">
        <v>1863</v>
      </c>
      <c r="D417" t="s">
        <v>1804</v>
      </c>
    </row>
    <row r="418" spans="1:4" x14ac:dyDescent="0.2">
      <c r="A418" t="s">
        <v>2312</v>
      </c>
      <c r="B418" s="2">
        <v>43159</v>
      </c>
      <c r="C418" t="s">
        <v>2196</v>
      </c>
      <c r="D418" t="s">
        <v>1810</v>
      </c>
    </row>
    <row r="419" spans="1:4" x14ac:dyDescent="0.2">
      <c r="A419" t="s">
        <v>2313</v>
      </c>
      <c r="B419" s="2">
        <v>43222</v>
      </c>
      <c r="C419" t="s">
        <v>2066</v>
      </c>
      <c r="D419" t="s">
        <v>1813</v>
      </c>
    </row>
    <row r="420" spans="1:4" x14ac:dyDescent="0.2">
      <c r="A420" t="s">
        <v>2314</v>
      </c>
      <c r="B420" s="2">
        <v>43014</v>
      </c>
      <c r="C420" t="s">
        <v>1806</v>
      </c>
      <c r="D420" t="s">
        <v>1807</v>
      </c>
    </row>
    <row r="421" spans="1:4" x14ac:dyDescent="0.2">
      <c r="A421" t="s">
        <v>2315</v>
      </c>
      <c r="B421" s="2">
        <v>43010</v>
      </c>
      <c r="C421" t="s">
        <v>1816</v>
      </c>
      <c r="D421" t="s">
        <v>1810</v>
      </c>
    </row>
    <row r="422" spans="1:4" x14ac:dyDescent="0.2">
      <c r="A422" t="s">
        <v>147</v>
      </c>
      <c r="B422" s="2">
        <v>43160</v>
      </c>
      <c r="C422" t="s">
        <v>1836</v>
      </c>
      <c r="D422" t="s">
        <v>1031</v>
      </c>
    </row>
    <row r="423" spans="1:4" x14ac:dyDescent="0.2">
      <c r="A423" t="s">
        <v>150</v>
      </c>
      <c r="B423" s="2">
        <v>43104</v>
      </c>
      <c r="C423" t="s">
        <v>1915</v>
      </c>
      <c r="D423" t="s">
        <v>1840</v>
      </c>
    </row>
    <row r="424" spans="1:4" x14ac:dyDescent="0.2">
      <c r="A424" t="s">
        <v>2316</v>
      </c>
      <c r="B424" s="2">
        <v>43179</v>
      </c>
      <c r="C424" t="s">
        <v>1816</v>
      </c>
      <c r="D424" t="s">
        <v>1810</v>
      </c>
    </row>
    <row r="425" spans="1:4" x14ac:dyDescent="0.2">
      <c r="A425" t="s">
        <v>2317</v>
      </c>
      <c r="B425" s="2">
        <v>42922</v>
      </c>
      <c r="C425" t="s">
        <v>2318</v>
      </c>
      <c r="D425" t="s">
        <v>1810</v>
      </c>
    </row>
    <row r="426" spans="1:4" x14ac:dyDescent="0.2">
      <c r="A426" t="s">
        <v>2319</v>
      </c>
      <c r="B426" s="2">
        <v>43175</v>
      </c>
      <c r="C426" t="s">
        <v>1867</v>
      </c>
      <c r="D426" t="s">
        <v>1810</v>
      </c>
    </row>
    <row r="427" spans="1:4" x14ac:dyDescent="0.2">
      <c r="A427" t="s">
        <v>2320</v>
      </c>
      <c r="B427" s="2">
        <v>43199</v>
      </c>
      <c r="C427" t="s">
        <v>2321</v>
      </c>
      <c r="D427" t="s">
        <v>1804</v>
      </c>
    </row>
    <row r="428" spans="1:4" x14ac:dyDescent="0.2">
      <c r="A428" t="s">
        <v>2322</v>
      </c>
      <c r="B428" s="2">
        <v>43238</v>
      </c>
      <c r="C428" t="s">
        <v>1832</v>
      </c>
      <c r="D428" t="s">
        <v>1807</v>
      </c>
    </row>
    <row r="429" spans="1:4" x14ac:dyDescent="0.2">
      <c r="A429" t="s">
        <v>2323</v>
      </c>
      <c r="B429" s="2">
        <v>43110</v>
      </c>
      <c r="C429" t="s">
        <v>2324</v>
      </c>
      <c r="D429" t="s">
        <v>1807</v>
      </c>
    </row>
    <row r="430" spans="1:4" x14ac:dyDescent="0.2">
      <c r="A430" t="s">
        <v>2325</v>
      </c>
      <c r="B430" s="2">
        <v>43157</v>
      </c>
      <c r="C430" t="s">
        <v>2326</v>
      </c>
      <c r="D430" t="s">
        <v>1810</v>
      </c>
    </row>
    <row r="431" spans="1:4" x14ac:dyDescent="0.2">
      <c r="A431" t="s">
        <v>2327</v>
      </c>
      <c r="B431" s="2">
        <v>43139</v>
      </c>
      <c r="C431" t="s">
        <v>1859</v>
      </c>
      <c r="D431" t="s">
        <v>1840</v>
      </c>
    </row>
    <row r="432" spans="1:4" x14ac:dyDescent="0.2">
      <c r="A432" t="s">
        <v>2328</v>
      </c>
      <c r="B432" s="2">
        <v>42989</v>
      </c>
      <c r="C432" t="s">
        <v>2329</v>
      </c>
      <c r="D432" t="s">
        <v>160</v>
      </c>
    </row>
    <row r="433" spans="1:4" x14ac:dyDescent="0.2">
      <c r="A433" t="s">
        <v>2330</v>
      </c>
      <c r="B433" s="2">
        <v>43117</v>
      </c>
      <c r="C433" t="s">
        <v>1836</v>
      </c>
      <c r="D433" t="s">
        <v>1810</v>
      </c>
    </row>
    <row r="434" spans="1:4" x14ac:dyDescent="0.2">
      <c r="A434" t="s">
        <v>2331</v>
      </c>
      <c r="B434" s="2">
        <v>43148</v>
      </c>
      <c r="C434" t="s">
        <v>1803</v>
      </c>
      <c r="D434" t="s">
        <v>1804</v>
      </c>
    </row>
    <row r="435" spans="1:4" x14ac:dyDescent="0.2">
      <c r="A435" t="s">
        <v>152</v>
      </c>
      <c r="B435" s="2">
        <v>43116</v>
      </c>
      <c r="C435" t="s">
        <v>1836</v>
      </c>
      <c r="D435" t="s">
        <v>1031</v>
      </c>
    </row>
    <row r="436" spans="1:4" x14ac:dyDescent="0.2">
      <c r="A436" t="s">
        <v>2332</v>
      </c>
      <c r="B436" s="2">
        <v>43052</v>
      </c>
      <c r="C436" t="s">
        <v>2006</v>
      </c>
      <c r="D436" t="s">
        <v>1813</v>
      </c>
    </row>
    <row r="437" spans="1:4" x14ac:dyDescent="0.2">
      <c r="A437" t="s">
        <v>2333</v>
      </c>
      <c r="B437" s="2">
        <v>42977</v>
      </c>
      <c r="C437" t="s">
        <v>1816</v>
      </c>
      <c r="D437" t="s">
        <v>1031</v>
      </c>
    </row>
    <row r="438" spans="1:4" x14ac:dyDescent="0.2">
      <c r="A438" t="s">
        <v>2334</v>
      </c>
      <c r="B438" s="2">
        <v>43107</v>
      </c>
      <c r="C438" t="s">
        <v>2163</v>
      </c>
      <c r="D438" t="s">
        <v>1810</v>
      </c>
    </row>
    <row r="439" spans="1:4" x14ac:dyDescent="0.2">
      <c r="A439" t="s">
        <v>2335</v>
      </c>
      <c r="B439" s="2">
        <v>43010</v>
      </c>
      <c r="C439" t="s">
        <v>1939</v>
      </c>
      <c r="D439" t="s">
        <v>1807</v>
      </c>
    </row>
    <row r="440" spans="1:4" x14ac:dyDescent="0.2">
      <c r="A440" t="s">
        <v>2336</v>
      </c>
      <c r="B440" s="2">
        <v>42948</v>
      </c>
      <c r="C440" t="s">
        <v>1843</v>
      </c>
      <c r="D440" t="s">
        <v>1807</v>
      </c>
    </row>
    <row r="441" spans="1:4" x14ac:dyDescent="0.2">
      <c r="A441" t="s">
        <v>2337</v>
      </c>
      <c r="B441" s="2">
        <v>43221</v>
      </c>
      <c r="C441" t="s">
        <v>1857</v>
      </c>
      <c r="D441" t="s">
        <v>1804</v>
      </c>
    </row>
    <row r="442" spans="1:4" x14ac:dyDescent="0.2">
      <c r="A442" t="s">
        <v>2338</v>
      </c>
      <c r="B442" s="2">
        <v>43172</v>
      </c>
      <c r="C442" t="s">
        <v>1836</v>
      </c>
      <c r="D442" t="s">
        <v>1810</v>
      </c>
    </row>
    <row r="443" spans="1:4" x14ac:dyDescent="0.2">
      <c r="A443" t="s">
        <v>2339</v>
      </c>
      <c r="B443" s="2">
        <v>43131</v>
      </c>
      <c r="C443" t="s">
        <v>1859</v>
      </c>
      <c r="D443" t="s">
        <v>1813</v>
      </c>
    </row>
    <row r="444" spans="1:4" x14ac:dyDescent="0.2">
      <c r="A444" t="s">
        <v>2340</v>
      </c>
      <c r="B444" s="2">
        <v>43167</v>
      </c>
      <c r="C444" t="s">
        <v>1905</v>
      </c>
      <c r="D444" t="s">
        <v>1840</v>
      </c>
    </row>
    <row r="445" spans="1:4" x14ac:dyDescent="0.2">
      <c r="A445" t="s">
        <v>2341</v>
      </c>
      <c r="B445" s="2">
        <v>43208</v>
      </c>
      <c r="C445" t="s">
        <v>2342</v>
      </c>
      <c r="D445" t="s">
        <v>160</v>
      </c>
    </row>
    <row r="446" spans="1:4" x14ac:dyDescent="0.2">
      <c r="A446" t="s">
        <v>2343</v>
      </c>
      <c r="B446" s="2">
        <v>43157</v>
      </c>
      <c r="C446" t="s">
        <v>2344</v>
      </c>
      <c r="D446" t="s">
        <v>1813</v>
      </c>
    </row>
    <row r="447" spans="1:4" x14ac:dyDescent="0.2">
      <c r="A447" t="s">
        <v>2345</v>
      </c>
      <c r="B447" s="2">
        <v>43185</v>
      </c>
      <c r="C447" t="s">
        <v>1863</v>
      </c>
      <c r="D447" t="s">
        <v>1840</v>
      </c>
    </row>
    <row r="448" spans="1:4" x14ac:dyDescent="0.2">
      <c r="A448" t="s">
        <v>2346</v>
      </c>
      <c r="B448" s="2">
        <v>43214</v>
      </c>
      <c r="C448" t="s">
        <v>1863</v>
      </c>
      <c r="D448" t="s">
        <v>1804</v>
      </c>
    </row>
    <row r="449" spans="1:4" x14ac:dyDescent="0.2">
      <c r="A449" t="s">
        <v>2347</v>
      </c>
      <c r="B449" s="2">
        <v>43243</v>
      </c>
      <c r="C449" t="s">
        <v>1809</v>
      </c>
      <c r="D449" t="s">
        <v>1810</v>
      </c>
    </row>
    <row r="450" spans="1:4" x14ac:dyDescent="0.2">
      <c r="A450" t="s">
        <v>2348</v>
      </c>
      <c r="B450" s="2">
        <v>43130</v>
      </c>
      <c r="C450" t="s">
        <v>2349</v>
      </c>
      <c r="D450" t="s">
        <v>1031</v>
      </c>
    </row>
    <row r="451" spans="1:4" x14ac:dyDescent="0.2">
      <c r="A451" t="s">
        <v>2350</v>
      </c>
      <c r="B451" s="2">
        <v>42990</v>
      </c>
      <c r="C451" t="s">
        <v>1825</v>
      </c>
      <c r="D451" t="s">
        <v>1810</v>
      </c>
    </row>
    <row r="452" spans="1:4" x14ac:dyDescent="0.2">
      <c r="A452" t="s">
        <v>2351</v>
      </c>
      <c r="B452" s="2">
        <v>43209</v>
      </c>
      <c r="C452" t="s">
        <v>2158</v>
      </c>
      <c r="D452" t="s">
        <v>1849</v>
      </c>
    </row>
    <row r="453" spans="1:4" x14ac:dyDescent="0.2">
      <c r="A453" t="s">
        <v>154</v>
      </c>
      <c r="B453" s="2">
        <v>43196</v>
      </c>
      <c r="C453" t="s">
        <v>2115</v>
      </c>
      <c r="D453" t="s">
        <v>1804</v>
      </c>
    </row>
    <row r="454" spans="1:4" x14ac:dyDescent="0.2">
      <c r="A454" t="s">
        <v>2352</v>
      </c>
      <c r="B454" s="2">
        <v>43059</v>
      </c>
      <c r="C454" t="s">
        <v>1939</v>
      </c>
      <c r="D454" t="s">
        <v>1804</v>
      </c>
    </row>
    <row r="455" spans="1:4" x14ac:dyDescent="0.2">
      <c r="A455" t="s">
        <v>2353</v>
      </c>
      <c r="B455" s="2">
        <v>43181</v>
      </c>
      <c r="C455" t="s">
        <v>1836</v>
      </c>
      <c r="D455" t="s">
        <v>1031</v>
      </c>
    </row>
    <row r="456" spans="1:4" x14ac:dyDescent="0.2">
      <c r="A456" t="s">
        <v>2354</v>
      </c>
      <c r="B456" s="2">
        <v>43206</v>
      </c>
      <c r="C456" t="s">
        <v>1878</v>
      </c>
      <c r="D456" t="s">
        <v>1810</v>
      </c>
    </row>
    <row r="457" spans="1:4" x14ac:dyDescent="0.2">
      <c r="A457" t="s">
        <v>2355</v>
      </c>
      <c r="B457" s="2">
        <v>43194</v>
      </c>
      <c r="C457" t="s">
        <v>1832</v>
      </c>
      <c r="D457" t="s">
        <v>1807</v>
      </c>
    </row>
    <row r="458" spans="1:4" x14ac:dyDescent="0.2">
      <c r="A458" t="s">
        <v>2356</v>
      </c>
      <c r="B458" s="2">
        <v>43209</v>
      </c>
      <c r="C458" t="s">
        <v>2357</v>
      </c>
      <c r="D458" t="s">
        <v>1829</v>
      </c>
    </row>
    <row r="459" spans="1:4" x14ac:dyDescent="0.2">
      <c r="A459" t="s">
        <v>2358</v>
      </c>
      <c r="B459" s="2">
        <v>43154</v>
      </c>
      <c r="C459" t="s">
        <v>1831</v>
      </c>
      <c r="D459" t="s">
        <v>160</v>
      </c>
    </row>
    <row r="460" spans="1:4" x14ac:dyDescent="0.2">
      <c r="A460" t="s">
        <v>2359</v>
      </c>
      <c r="B460" s="2">
        <v>43117</v>
      </c>
      <c r="C460" t="s">
        <v>1867</v>
      </c>
      <c r="D460" t="s">
        <v>1031</v>
      </c>
    </row>
    <row r="461" spans="1:4" x14ac:dyDescent="0.2">
      <c r="A461" t="s">
        <v>2360</v>
      </c>
      <c r="B461" s="2">
        <v>43192</v>
      </c>
      <c r="C461" t="s">
        <v>1836</v>
      </c>
      <c r="D461" t="s">
        <v>1031</v>
      </c>
    </row>
    <row r="462" spans="1:4" x14ac:dyDescent="0.2">
      <c r="A462" t="s">
        <v>2361</v>
      </c>
      <c r="B462" s="2">
        <v>43115</v>
      </c>
      <c r="C462" t="s">
        <v>1836</v>
      </c>
      <c r="D462" t="s">
        <v>1807</v>
      </c>
    </row>
    <row r="463" spans="1:4" x14ac:dyDescent="0.2">
      <c r="A463" t="s">
        <v>2362</v>
      </c>
      <c r="B463" s="2">
        <v>43200</v>
      </c>
      <c r="C463" t="s">
        <v>1816</v>
      </c>
      <c r="D463" t="s">
        <v>1804</v>
      </c>
    </row>
    <row r="464" spans="1:4" x14ac:dyDescent="0.2">
      <c r="A464" t="s">
        <v>2363</v>
      </c>
      <c r="B464" s="2">
        <v>43053</v>
      </c>
      <c r="C464" t="s">
        <v>1836</v>
      </c>
      <c r="D464" t="s">
        <v>1031</v>
      </c>
    </row>
    <row r="465" spans="1:4" x14ac:dyDescent="0.2">
      <c r="A465" t="s">
        <v>2364</v>
      </c>
      <c r="B465" s="2">
        <v>43231</v>
      </c>
      <c r="C465" t="s">
        <v>2342</v>
      </c>
      <c r="D465" t="s">
        <v>1031</v>
      </c>
    </row>
    <row r="466" spans="1:4" x14ac:dyDescent="0.2">
      <c r="A466" t="s">
        <v>2365</v>
      </c>
      <c r="B466" s="2">
        <v>43158</v>
      </c>
      <c r="C466" t="s">
        <v>1930</v>
      </c>
      <c r="D466" t="s">
        <v>1807</v>
      </c>
    </row>
    <row r="467" spans="1:4" x14ac:dyDescent="0.2">
      <c r="A467" t="s">
        <v>2366</v>
      </c>
      <c r="B467" s="2">
        <v>43236</v>
      </c>
      <c r="C467" t="s">
        <v>1818</v>
      </c>
      <c r="D467" t="s">
        <v>1813</v>
      </c>
    </row>
    <row r="468" spans="1:4" x14ac:dyDescent="0.2">
      <c r="A468" t="s">
        <v>2367</v>
      </c>
      <c r="B468" s="2">
        <v>43041</v>
      </c>
      <c r="C468" t="s">
        <v>2242</v>
      </c>
      <c r="D468" t="s">
        <v>1840</v>
      </c>
    </row>
    <row r="469" spans="1:4" x14ac:dyDescent="0.2">
      <c r="A469" t="s">
        <v>2368</v>
      </c>
      <c r="B469" s="2">
        <v>43052</v>
      </c>
      <c r="C469" t="s">
        <v>1889</v>
      </c>
      <c r="D469" t="s">
        <v>1807</v>
      </c>
    </row>
    <row r="470" spans="1:4" x14ac:dyDescent="0.2">
      <c r="A470" t="s">
        <v>2369</v>
      </c>
      <c r="B470" s="2">
        <v>43249</v>
      </c>
      <c r="C470" t="s">
        <v>1809</v>
      </c>
      <c r="D470" t="s">
        <v>1810</v>
      </c>
    </row>
    <row r="471" spans="1:4" x14ac:dyDescent="0.2">
      <c r="A471" t="s">
        <v>2370</v>
      </c>
      <c r="B471" s="2">
        <v>43010</v>
      </c>
      <c r="C471" t="s">
        <v>1939</v>
      </c>
      <c r="D471" t="s">
        <v>1810</v>
      </c>
    </row>
    <row r="472" spans="1:4" x14ac:dyDescent="0.2">
      <c r="A472" t="s">
        <v>2371</v>
      </c>
      <c r="B472" s="2">
        <v>43235</v>
      </c>
      <c r="C472" t="s">
        <v>1827</v>
      </c>
      <c r="D472" t="s">
        <v>1840</v>
      </c>
    </row>
    <row r="473" spans="1:4" x14ac:dyDescent="0.2">
      <c r="A473" t="s">
        <v>2372</v>
      </c>
      <c r="B473" s="2">
        <v>43216</v>
      </c>
      <c r="C473" t="s">
        <v>1836</v>
      </c>
      <c r="D473" t="s">
        <v>1810</v>
      </c>
    </row>
    <row r="474" spans="1:4" x14ac:dyDescent="0.2">
      <c r="A474" t="s">
        <v>2373</v>
      </c>
      <c r="B474" s="2">
        <v>43196</v>
      </c>
      <c r="C474" t="s">
        <v>1832</v>
      </c>
      <c r="D474" t="s">
        <v>1031</v>
      </c>
    </row>
    <row r="475" spans="1:4" x14ac:dyDescent="0.2">
      <c r="A475" t="s">
        <v>2374</v>
      </c>
      <c r="B475" s="2">
        <v>43143</v>
      </c>
      <c r="C475" t="s">
        <v>1930</v>
      </c>
      <c r="D475" t="s">
        <v>1807</v>
      </c>
    </row>
    <row r="476" spans="1:4" x14ac:dyDescent="0.2">
      <c r="A476" t="s">
        <v>2375</v>
      </c>
      <c r="B476" s="2">
        <v>43053</v>
      </c>
      <c r="C476" t="s">
        <v>2006</v>
      </c>
      <c r="D476" t="s">
        <v>1840</v>
      </c>
    </row>
    <row r="477" spans="1:4" x14ac:dyDescent="0.2">
      <c r="A477" t="s">
        <v>2376</v>
      </c>
      <c r="B477" s="2">
        <v>43216</v>
      </c>
      <c r="C477" t="s">
        <v>1831</v>
      </c>
      <c r="D477" t="s">
        <v>160</v>
      </c>
    </row>
    <row r="478" spans="1:4" x14ac:dyDescent="0.2">
      <c r="A478" t="s">
        <v>2377</v>
      </c>
      <c r="B478" s="2">
        <v>43179</v>
      </c>
      <c r="C478" t="s">
        <v>1867</v>
      </c>
      <c r="D478" t="s">
        <v>1031</v>
      </c>
    </row>
    <row r="479" spans="1:4" x14ac:dyDescent="0.2">
      <c r="A479" t="s">
        <v>2378</v>
      </c>
      <c r="B479" s="2">
        <v>43251</v>
      </c>
      <c r="C479" t="s">
        <v>2206</v>
      </c>
      <c r="D479" t="s">
        <v>1840</v>
      </c>
    </row>
    <row r="480" spans="1:4" x14ac:dyDescent="0.2">
      <c r="A480" t="s">
        <v>2379</v>
      </c>
      <c r="B480" s="2">
        <v>42922</v>
      </c>
      <c r="C480" t="s">
        <v>2380</v>
      </c>
      <c r="D480" t="s">
        <v>1840</v>
      </c>
    </row>
    <row r="481" spans="1:4" x14ac:dyDescent="0.2">
      <c r="A481" t="s">
        <v>2381</v>
      </c>
      <c r="B481" s="2">
        <v>43199</v>
      </c>
      <c r="C481" t="s">
        <v>2382</v>
      </c>
      <c r="D481" t="s">
        <v>1840</v>
      </c>
    </row>
    <row r="482" spans="1:4" x14ac:dyDescent="0.2">
      <c r="A482" t="s">
        <v>2383</v>
      </c>
      <c r="B482" s="2">
        <v>43213</v>
      </c>
      <c r="C482" t="s">
        <v>1816</v>
      </c>
      <c r="D482" t="s">
        <v>1807</v>
      </c>
    </row>
    <row r="483" spans="1:4" x14ac:dyDescent="0.2">
      <c r="A483" t="s">
        <v>2384</v>
      </c>
      <c r="B483" s="2">
        <v>43151</v>
      </c>
      <c r="C483" t="s">
        <v>1859</v>
      </c>
      <c r="D483" t="s">
        <v>1810</v>
      </c>
    </row>
    <row r="484" spans="1:4" x14ac:dyDescent="0.2">
      <c r="A484" t="s">
        <v>2385</v>
      </c>
      <c r="B484" s="2">
        <v>42997</v>
      </c>
      <c r="C484" t="s">
        <v>1907</v>
      </c>
      <c r="D484" t="s">
        <v>1807</v>
      </c>
    </row>
    <row r="485" spans="1:4" x14ac:dyDescent="0.2">
      <c r="A485" t="s">
        <v>2386</v>
      </c>
      <c r="B485" s="2">
        <v>43147</v>
      </c>
      <c r="C485" t="s">
        <v>1905</v>
      </c>
      <c r="D485" t="s">
        <v>1810</v>
      </c>
    </row>
    <row r="486" spans="1:4" x14ac:dyDescent="0.2">
      <c r="A486" t="s">
        <v>2387</v>
      </c>
      <c r="B486" s="2">
        <v>43227</v>
      </c>
      <c r="C486" t="s">
        <v>1857</v>
      </c>
      <c r="D486" t="s">
        <v>1804</v>
      </c>
    </row>
    <row r="487" spans="1:4" x14ac:dyDescent="0.2">
      <c r="A487" t="s">
        <v>2388</v>
      </c>
      <c r="B487" s="2">
        <v>43173</v>
      </c>
      <c r="C487" t="s">
        <v>1803</v>
      </c>
      <c r="D487" t="s">
        <v>1804</v>
      </c>
    </row>
    <row r="488" spans="1:4" x14ac:dyDescent="0.2">
      <c r="A488" t="s">
        <v>2389</v>
      </c>
      <c r="B488" s="2">
        <v>43134</v>
      </c>
      <c r="C488" t="s">
        <v>1930</v>
      </c>
      <c r="D488" t="s">
        <v>1807</v>
      </c>
    </row>
    <row r="489" spans="1:4" x14ac:dyDescent="0.2">
      <c r="A489" t="s">
        <v>2390</v>
      </c>
      <c r="B489" s="2">
        <v>43153</v>
      </c>
      <c r="C489" t="s">
        <v>2058</v>
      </c>
      <c r="D489" t="s">
        <v>1807</v>
      </c>
    </row>
    <row r="490" spans="1:4" x14ac:dyDescent="0.2">
      <c r="A490" t="s">
        <v>2391</v>
      </c>
      <c r="B490" s="2">
        <v>43159</v>
      </c>
      <c r="C490" t="s">
        <v>1867</v>
      </c>
      <c r="D490" t="s">
        <v>1910</v>
      </c>
    </row>
    <row r="491" spans="1:4" x14ac:dyDescent="0.2">
      <c r="A491" t="s">
        <v>2392</v>
      </c>
      <c r="B491" s="2">
        <v>43194</v>
      </c>
      <c r="C491" t="s">
        <v>2393</v>
      </c>
      <c r="D491" t="s">
        <v>1810</v>
      </c>
    </row>
    <row r="492" spans="1:4" x14ac:dyDescent="0.2">
      <c r="A492" t="s">
        <v>2394</v>
      </c>
      <c r="B492" s="2">
        <v>42923</v>
      </c>
      <c r="C492" t="s">
        <v>2182</v>
      </c>
      <c r="D492" t="s">
        <v>1031</v>
      </c>
    </row>
    <row r="493" spans="1:4" x14ac:dyDescent="0.2">
      <c r="A493" t="s">
        <v>2395</v>
      </c>
      <c r="B493" s="2">
        <v>43221</v>
      </c>
      <c r="C493" t="s">
        <v>1836</v>
      </c>
      <c r="D493" t="s">
        <v>1031</v>
      </c>
    </row>
    <row r="494" spans="1:4" x14ac:dyDescent="0.2">
      <c r="A494" t="s">
        <v>2396</v>
      </c>
      <c r="B494" s="2">
        <v>43068</v>
      </c>
      <c r="C494" t="s">
        <v>2324</v>
      </c>
      <c r="D494" t="s">
        <v>1813</v>
      </c>
    </row>
    <row r="495" spans="1:4" x14ac:dyDescent="0.2">
      <c r="A495" t="s">
        <v>2397</v>
      </c>
      <c r="B495" s="2">
        <v>43180</v>
      </c>
      <c r="C495" t="s">
        <v>1809</v>
      </c>
      <c r="D495" t="s">
        <v>1810</v>
      </c>
    </row>
    <row r="496" spans="1:4" x14ac:dyDescent="0.2">
      <c r="A496" t="s">
        <v>2398</v>
      </c>
      <c r="B496" s="2">
        <v>43250</v>
      </c>
      <c r="C496" t="s">
        <v>1857</v>
      </c>
      <c r="D496" t="s">
        <v>1804</v>
      </c>
    </row>
    <row r="497" spans="1:4" x14ac:dyDescent="0.2">
      <c r="A497" t="s">
        <v>2399</v>
      </c>
      <c r="B497" s="2">
        <v>43175</v>
      </c>
      <c r="C497" t="s">
        <v>1814</v>
      </c>
      <c r="D497" t="s">
        <v>1840</v>
      </c>
    </row>
    <row r="498" spans="1:4" x14ac:dyDescent="0.2">
      <c r="A498" t="s">
        <v>2400</v>
      </c>
      <c r="B498" s="2">
        <v>42990</v>
      </c>
      <c r="C498" t="s">
        <v>1816</v>
      </c>
      <c r="D498" t="s">
        <v>1840</v>
      </c>
    </row>
    <row r="499" spans="1:4" x14ac:dyDescent="0.2">
      <c r="A499" t="s">
        <v>2401</v>
      </c>
      <c r="B499" s="2">
        <v>43210</v>
      </c>
      <c r="C499" t="s">
        <v>2402</v>
      </c>
      <c r="D499" t="s">
        <v>1810</v>
      </c>
    </row>
    <row r="500" spans="1:4" x14ac:dyDescent="0.2">
      <c r="A500" t="s">
        <v>2403</v>
      </c>
      <c r="B500" s="2">
        <v>43139</v>
      </c>
      <c r="C500" t="s">
        <v>1816</v>
      </c>
      <c r="D500" t="s">
        <v>1810</v>
      </c>
    </row>
    <row r="501" spans="1:4" x14ac:dyDescent="0.2">
      <c r="A501" t="s">
        <v>2404</v>
      </c>
      <c r="B501" s="2">
        <v>43148</v>
      </c>
      <c r="C501" t="s">
        <v>1803</v>
      </c>
      <c r="D501" t="s">
        <v>1804</v>
      </c>
    </row>
    <row r="502" spans="1:4" x14ac:dyDescent="0.2">
      <c r="A502" t="s">
        <v>2405</v>
      </c>
      <c r="B502" s="2">
        <v>43215</v>
      </c>
      <c r="C502" t="s">
        <v>2000</v>
      </c>
      <c r="D502" t="s">
        <v>1807</v>
      </c>
    </row>
    <row r="503" spans="1:4" x14ac:dyDescent="0.2">
      <c r="A503" t="s">
        <v>2406</v>
      </c>
      <c r="B503" s="2">
        <v>42950</v>
      </c>
      <c r="C503" t="s">
        <v>2407</v>
      </c>
      <c r="D503" t="s">
        <v>1031</v>
      </c>
    </row>
    <row r="504" spans="1:4" x14ac:dyDescent="0.2">
      <c r="A504" t="s">
        <v>2408</v>
      </c>
      <c r="B504" s="2">
        <v>43013</v>
      </c>
      <c r="C504" t="s">
        <v>1836</v>
      </c>
      <c r="D504" t="s">
        <v>1031</v>
      </c>
    </row>
    <row r="505" spans="1:4" x14ac:dyDescent="0.2">
      <c r="A505" t="s">
        <v>2409</v>
      </c>
      <c r="B505" s="2">
        <v>42936</v>
      </c>
      <c r="C505" t="s">
        <v>2410</v>
      </c>
      <c r="D505" t="s">
        <v>1810</v>
      </c>
    </row>
    <row r="506" spans="1:4" x14ac:dyDescent="0.2">
      <c r="A506" t="s">
        <v>2411</v>
      </c>
      <c r="B506" s="2">
        <v>43035</v>
      </c>
      <c r="C506" t="s">
        <v>1902</v>
      </c>
      <c r="D506" t="s">
        <v>1031</v>
      </c>
    </row>
    <row r="507" spans="1:4" x14ac:dyDescent="0.2">
      <c r="A507" t="s">
        <v>2412</v>
      </c>
      <c r="B507" s="2">
        <v>43196</v>
      </c>
      <c r="C507" t="s">
        <v>1809</v>
      </c>
      <c r="D507" t="s">
        <v>1849</v>
      </c>
    </row>
    <row r="508" spans="1:4" x14ac:dyDescent="0.2">
      <c r="A508" t="s">
        <v>2413</v>
      </c>
      <c r="B508" s="2">
        <v>43104</v>
      </c>
      <c r="C508" t="s">
        <v>1831</v>
      </c>
      <c r="D508" t="s">
        <v>160</v>
      </c>
    </row>
    <row r="509" spans="1:4" x14ac:dyDescent="0.2">
      <c r="A509" t="s">
        <v>2414</v>
      </c>
      <c r="B509" s="2">
        <v>43193</v>
      </c>
      <c r="C509" t="s">
        <v>1863</v>
      </c>
      <c r="D509" t="s">
        <v>1804</v>
      </c>
    </row>
    <row r="510" spans="1:4" x14ac:dyDescent="0.2">
      <c r="A510" t="s">
        <v>156</v>
      </c>
      <c r="B510" s="2">
        <v>43112</v>
      </c>
      <c r="C510" t="s">
        <v>1816</v>
      </c>
      <c r="D510" t="s">
        <v>1810</v>
      </c>
    </row>
    <row r="511" spans="1:4" x14ac:dyDescent="0.2">
      <c r="A511" t="s">
        <v>2415</v>
      </c>
      <c r="B511" s="2">
        <v>43194</v>
      </c>
      <c r="C511" t="s">
        <v>1865</v>
      </c>
      <c r="D511" t="s">
        <v>1810</v>
      </c>
    </row>
    <row r="512" spans="1:4" x14ac:dyDescent="0.2">
      <c r="A512" t="s">
        <v>2416</v>
      </c>
      <c r="B512" s="2">
        <v>43087</v>
      </c>
      <c r="C512" t="s">
        <v>2417</v>
      </c>
      <c r="D512" t="s">
        <v>1807</v>
      </c>
    </row>
    <row r="513" spans="1:4" x14ac:dyDescent="0.2">
      <c r="A513" t="s">
        <v>2418</v>
      </c>
      <c r="B513" s="2">
        <v>43045</v>
      </c>
      <c r="C513" t="s">
        <v>2309</v>
      </c>
      <c r="D513" t="s">
        <v>1829</v>
      </c>
    </row>
    <row r="514" spans="1:4" x14ac:dyDescent="0.2">
      <c r="A514" t="s">
        <v>2419</v>
      </c>
      <c r="B514" s="2">
        <v>43152</v>
      </c>
      <c r="C514" t="s">
        <v>1816</v>
      </c>
      <c r="D514" t="s">
        <v>1807</v>
      </c>
    </row>
    <row r="515" spans="1:4" x14ac:dyDescent="0.2">
      <c r="A515" t="s">
        <v>2420</v>
      </c>
      <c r="B515" s="2">
        <v>43039</v>
      </c>
      <c r="C515" t="s">
        <v>1939</v>
      </c>
      <c r="D515" t="s">
        <v>1807</v>
      </c>
    </row>
    <row r="516" spans="1:4" x14ac:dyDescent="0.2">
      <c r="A516" t="s">
        <v>2421</v>
      </c>
      <c r="B516" s="2">
        <v>42968</v>
      </c>
      <c r="C516" t="s">
        <v>1843</v>
      </c>
      <c r="D516" t="s">
        <v>1807</v>
      </c>
    </row>
    <row r="517" spans="1:4" x14ac:dyDescent="0.2">
      <c r="A517" t="s">
        <v>2422</v>
      </c>
      <c r="B517" s="2">
        <v>43131</v>
      </c>
      <c r="C517" t="s">
        <v>1831</v>
      </c>
      <c r="D517" t="s">
        <v>160</v>
      </c>
    </row>
    <row r="518" spans="1:4" x14ac:dyDescent="0.2">
      <c r="A518" t="s">
        <v>2423</v>
      </c>
      <c r="B518" s="2">
        <v>43107</v>
      </c>
      <c r="C518" t="s">
        <v>1803</v>
      </c>
      <c r="D518" t="s">
        <v>1804</v>
      </c>
    </row>
    <row r="519" spans="1:4" x14ac:dyDescent="0.2">
      <c r="A519" t="s">
        <v>2424</v>
      </c>
      <c r="B519" s="2">
        <v>43230</v>
      </c>
      <c r="C519" t="s">
        <v>1816</v>
      </c>
      <c r="D519" t="s">
        <v>1810</v>
      </c>
    </row>
    <row r="520" spans="1:4" x14ac:dyDescent="0.2">
      <c r="A520" t="s">
        <v>2425</v>
      </c>
      <c r="B520" s="2">
        <v>43228</v>
      </c>
      <c r="C520" t="s">
        <v>1867</v>
      </c>
      <c r="D520" t="s">
        <v>1813</v>
      </c>
    </row>
    <row r="521" spans="1:4" x14ac:dyDescent="0.2">
      <c r="A521" t="s">
        <v>2426</v>
      </c>
      <c r="B521" s="2">
        <v>43228</v>
      </c>
      <c r="C521" t="s">
        <v>2242</v>
      </c>
      <c r="D521" t="s">
        <v>1810</v>
      </c>
    </row>
    <row r="522" spans="1:4" x14ac:dyDescent="0.2">
      <c r="A522" t="s">
        <v>2427</v>
      </c>
      <c r="B522" s="2">
        <v>43018</v>
      </c>
      <c r="C522" t="s">
        <v>1803</v>
      </c>
      <c r="D522" t="s">
        <v>1804</v>
      </c>
    </row>
    <row r="523" spans="1:4" x14ac:dyDescent="0.2">
      <c r="A523" t="s">
        <v>2428</v>
      </c>
      <c r="B523" s="2">
        <v>43215</v>
      </c>
      <c r="C523" t="s">
        <v>1909</v>
      </c>
      <c r="D523" t="s">
        <v>1810</v>
      </c>
    </row>
    <row r="524" spans="1:4" x14ac:dyDescent="0.2">
      <c r="A524" t="s">
        <v>2429</v>
      </c>
      <c r="B524" s="2">
        <v>43134</v>
      </c>
      <c r="C524" t="s">
        <v>1907</v>
      </c>
      <c r="D524" t="s">
        <v>1807</v>
      </c>
    </row>
    <row r="525" spans="1:4" x14ac:dyDescent="0.2">
      <c r="A525" t="s">
        <v>2430</v>
      </c>
      <c r="B525" s="2">
        <v>43104</v>
      </c>
      <c r="C525" t="s">
        <v>1834</v>
      </c>
      <c r="D525" t="s">
        <v>1807</v>
      </c>
    </row>
    <row r="526" spans="1:4" x14ac:dyDescent="0.2">
      <c r="A526" t="s">
        <v>2431</v>
      </c>
      <c r="B526" s="2">
        <v>43200</v>
      </c>
      <c r="C526" t="s">
        <v>2318</v>
      </c>
      <c r="D526" t="s">
        <v>1810</v>
      </c>
    </row>
    <row r="527" spans="1:4" x14ac:dyDescent="0.2">
      <c r="A527" t="s">
        <v>2432</v>
      </c>
      <c r="B527" s="2">
        <v>42946</v>
      </c>
      <c r="C527" t="s">
        <v>2433</v>
      </c>
      <c r="D527" t="s">
        <v>1849</v>
      </c>
    </row>
    <row r="528" spans="1:4" x14ac:dyDescent="0.2">
      <c r="A528" t="s">
        <v>2434</v>
      </c>
      <c r="B528" s="2">
        <v>43231</v>
      </c>
      <c r="C528" t="s">
        <v>1897</v>
      </c>
      <c r="D528" t="s">
        <v>1810</v>
      </c>
    </row>
    <row r="529" spans="1:4" x14ac:dyDescent="0.2">
      <c r="A529" t="s">
        <v>2435</v>
      </c>
      <c r="B529" s="2">
        <v>43133</v>
      </c>
      <c r="C529" t="s">
        <v>1905</v>
      </c>
      <c r="D529" t="s">
        <v>1840</v>
      </c>
    </row>
    <row r="530" spans="1:4" x14ac:dyDescent="0.2">
      <c r="A530" t="s">
        <v>2436</v>
      </c>
      <c r="B530" s="2">
        <v>43152</v>
      </c>
      <c r="C530" t="s">
        <v>1831</v>
      </c>
      <c r="D530" t="s">
        <v>160</v>
      </c>
    </row>
    <row r="531" spans="1:4" x14ac:dyDescent="0.2">
      <c r="A531" t="s">
        <v>2437</v>
      </c>
      <c r="B531" s="2">
        <v>43007</v>
      </c>
      <c r="C531" t="s">
        <v>1894</v>
      </c>
      <c r="D531" t="s">
        <v>1804</v>
      </c>
    </row>
    <row r="532" spans="1:4" x14ac:dyDescent="0.2">
      <c r="A532" t="s">
        <v>2438</v>
      </c>
      <c r="B532" s="2">
        <v>43119</v>
      </c>
      <c r="C532" t="s">
        <v>1816</v>
      </c>
      <c r="D532" t="s">
        <v>1810</v>
      </c>
    </row>
    <row r="533" spans="1:4" x14ac:dyDescent="0.2">
      <c r="A533" t="s">
        <v>2439</v>
      </c>
      <c r="B533" s="2">
        <v>43045</v>
      </c>
      <c r="C533" t="s">
        <v>1806</v>
      </c>
      <c r="D533" t="s">
        <v>1807</v>
      </c>
    </row>
    <row r="534" spans="1:4" x14ac:dyDescent="0.2">
      <c r="A534" t="s">
        <v>2440</v>
      </c>
      <c r="B534" s="2">
        <v>43188</v>
      </c>
      <c r="C534" t="s">
        <v>1875</v>
      </c>
      <c r="D534" t="s">
        <v>1807</v>
      </c>
    </row>
    <row r="535" spans="1:4" x14ac:dyDescent="0.2">
      <c r="A535" t="s">
        <v>2441</v>
      </c>
      <c r="B535" s="2">
        <v>43102</v>
      </c>
      <c r="C535" t="s">
        <v>1902</v>
      </c>
      <c r="D535" t="s">
        <v>1031</v>
      </c>
    </row>
    <row r="536" spans="1:4" x14ac:dyDescent="0.2">
      <c r="A536" t="s">
        <v>2442</v>
      </c>
      <c r="B536" s="2">
        <v>42993</v>
      </c>
      <c r="C536" t="s">
        <v>1894</v>
      </c>
      <c r="D536" t="s">
        <v>1804</v>
      </c>
    </row>
    <row r="537" spans="1:4" x14ac:dyDescent="0.2">
      <c r="A537" t="s">
        <v>2443</v>
      </c>
      <c r="B537" s="2">
        <v>43173</v>
      </c>
      <c r="C537" t="s">
        <v>1831</v>
      </c>
      <c r="D537" t="s">
        <v>160</v>
      </c>
    </row>
    <row r="538" spans="1:4" x14ac:dyDescent="0.2">
      <c r="A538" t="s">
        <v>161</v>
      </c>
      <c r="B538" s="2">
        <v>43207</v>
      </c>
      <c r="C538" t="s">
        <v>1816</v>
      </c>
      <c r="D538" t="s">
        <v>1810</v>
      </c>
    </row>
    <row r="539" spans="1:4" x14ac:dyDescent="0.2">
      <c r="A539" t="s">
        <v>2444</v>
      </c>
      <c r="B539" s="2">
        <v>43190</v>
      </c>
      <c r="C539" t="s">
        <v>2445</v>
      </c>
      <c r="D539" t="s">
        <v>1810</v>
      </c>
    </row>
    <row r="540" spans="1:4" x14ac:dyDescent="0.2">
      <c r="A540" t="s">
        <v>2446</v>
      </c>
      <c r="B540" s="2">
        <v>42941</v>
      </c>
      <c r="C540" t="s">
        <v>1865</v>
      </c>
      <c r="D540" t="s">
        <v>1807</v>
      </c>
    </row>
    <row r="541" spans="1:4" x14ac:dyDescent="0.2">
      <c r="A541" t="s">
        <v>2447</v>
      </c>
      <c r="B541" s="2">
        <v>43091</v>
      </c>
      <c r="C541" t="s">
        <v>1930</v>
      </c>
      <c r="D541" t="s">
        <v>1807</v>
      </c>
    </row>
    <row r="542" spans="1:4" x14ac:dyDescent="0.2">
      <c r="A542" t="s">
        <v>2448</v>
      </c>
      <c r="B542" s="2">
        <v>43202</v>
      </c>
      <c r="C542" t="s">
        <v>1836</v>
      </c>
      <c r="D542" t="s">
        <v>1807</v>
      </c>
    </row>
    <row r="543" spans="1:4" x14ac:dyDescent="0.2">
      <c r="A543" t="s">
        <v>2449</v>
      </c>
      <c r="B543" s="2">
        <v>43051</v>
      </c>
      <c r="C543" t="s">
        <v>1809</v>
      </c>
      <c r="D543" t="s">
        <v>1810</v>
      </c>
    </row>
    <row r="544" spans="1:4" x14ac:dyDescent="0.2">
      <c r="A544" t="s">
        <v>2450</v>
      </c>
      <c r="B544" s="2">
        <v>43245</v>
      </c>
      <c r="C544" t="s">
        <v>1836</v>
      </c>
      <c r="D544" t="s">
        <v>1031</v>
      </c>
    </row>
    <row r="545" spans="1:4" x14ac:dyDescent="0.2">
      <c r="A545" t="s">
        <v>2451</v>
      </c>
      <c r="B545" s="2">
        <v>43209</v>
      </c>
      <c r="C545" t="s">
        <v>1930</v>
      </c>
      <c r="D545" t="s">
        <v>1810</v>
      </c>
    </row>
    <row r="546" spans="1:4" x14ac:dyDescent="0.2">
      <c r="A546" t="s">
        <v>2452</v>
      </c>
      <c r="B546" s="2">
        <v>43083</v>
      </c>
      <c r="C546" t="s">
        <v>1816</v>
      </c>
      <c r="D546" t="s">
        <v>1810</v>
      </c>
    </row>
    <row r="547" spans="1:4" x14ac:dyDescent="0.2">
      <c r="A547" t="s">
        <v>2453</v>
      </c>
      <c r="B547" s="2">
        <v>42996</v>
      </c>
      <c r="C547" t="s">
        <v>1894</v>
      </c>
      <c r="D547" t="s">
        <v>1804</v>
      </c>
    </row>
    <row r="548" spans="1:4" x14ac:dyDescent="0.2">
      <c r="A548" t="s">
        <v>2454</v>
      </c>
      <c r="B548" s="2">
        <v>43062</v>
      </c>
      <c r="C548" t="s">
        <v>2108</v>
      </c>
      <c r="D548" t="s">
        <v>1840</v>
      </c>
    </row>
    <row r="549" spans="1:4" x14ac:dyDescent="0.2">
      <c r="A549" t="s">
        <v>2455</v>
      </c>
      <c r="B549" s="2">
        <v>42952</v>
      </c>
      <c r="C549" t="s">
        <v>1987</v>
      </c>
      <c r="D549" t="s">
        <v>1807</v>
      </c>
    </row>
    <row r="550" spans="1:4" x14ac:dyDescent="0.2">
      <c r="A550" t="s">
        <v>2456</v>
      </c>
      <c r="B550" s="2">
        <v>43160</v>
      </c>
      <c r="C550" t="s">
        <v>1816</v>
      </c>
      <c r="D550" t="s">
        <v>1810</v>
      </c>
    </row>
    <row r="551" spans="1:4" x14ac:dyDescent="0.2">
      <c r="A551" t="s">
        <v>2457</v>
      </c>
      <c r="B551" s="2">
        <v>43237</v>
      </c>
      <c r="C551" t="s">
        <v>1816</v>
      </c>
      <c r="D551" t="s">
        <v>1804</v>
      </c>
    </row>
    <row r="552" spans="1:4" x14ac:dyDescent="0.2">
      <c r="A552" t="s">
        <v>163</v>
      </c>
      <c r="B552" s="2">
        <v>43186</v>
      </c>
      <c r="C552" t="s">
        <v>1836</v>
      </c>
      <c r="D552" t="s">
        <v>1031</v>
      </c>
    </row>
    <row r="553" spans="1:4" x14ac:dyDescent="0.2">
      <c r="A553" t="s">
        <v>2458</v>
      </c>
      <c r="B553" s="2">
        <v>43059</v>
      </c>
      <c r="C553" t="s">
        <v>1803</v>
      </c>
      <c r="D553" t="s">
        <v>1804</v>
      </c>
    </row>
    <row r="554" spans="1:4" x14ac:dyDescent="0.2">
      <c r="A554" t="s">
        <v>2459</v>
      </c>
      <c r="B554" s="2">
        <v>42962</v>
      </c>
      <c r="C554" t="s">
        <v>1867</v>
      </c>
      <c r="D554" t="s">
        <v>1810</v>
      </c>
    </row>
    <row r="555" spans="1:4" x14ac:dyDescent="0.2">
      <c r="A555" t="s">
        <v>2460</v>
      </c>
      <c r="B555" s="2">
        <v>42992</v>
      </c>
      <c r="C555" t="s">
        <v>2276</v>
      </c>
      <c r="D555" t="s">
        <v>1813</v>
      </c>
    </row>
    <row r="556" spans="1:4" x14ac:dyDescent="0.2">
      <c r="A556" t="s">
        <v>2461</v>
      </c>
      <c r="B556" s="2">
        <v>43200</v>
      </c>
      <c r="C556" t="s">
        <v>2462</v>
      </c>
      <c r="D556" t="s">
        <v>1807</v>
      </c>
    </row>
    <row r="557" spans="1:4" x14ac:dyDescent="0.2">
      <c r="A557" t="s">
        <v>165</v>
      </c>
      <c r="B557" s="2">
        <v>43213</v>
      </c>
      <c r="C557" t="s">
        <v>2242</v>
      </c>
      <c r="D557" t="s">
        <v>1840</v>
      </c>
    </row>
    <row r="558" spans="1:4" x14ac:dyDescent="0.2">
      <c r="A558" t="s">
        <v>2463</v>
      </c>
      <c r="B558" s="2">
        <v>43135</v>
      </c>
      <c r="C558" t="s">
        <v>1803</v>
      </c>
      <c r="D558" t="s">
        <v>1804</v>
      </c>
    </row>
    <row r="559" spans="1:4" x14ac:dyDescent="0.2">
      <c r="A559" t="s">
        <v>2464</v>
      </c>
      <c r="B559" s="2">
        <v>43194</v>
      </c>
      <c r="C559" t="s">
        <v>1905</v>
      </c>
      <c r="D559" t="s">
        <v>1810</v>
      </c>
    </row>
    <row r="560" spans="1:4" x14ac:dyDescent="0.2">
      <c r="A560" t="s">
        <v>2465</v>
      </c>
      <c r="B560" s="2">
        <v>43030</v>
      </c>
      <c r="C560" t="s">
        <v>1803</v>
      </c>
      <c r="D560" t="s">
        <v>1804</v>
      </c>
    </row>
    <row r="561" spans="1:4" x14ac:dyDescent="0.2">
      <c r="A561" t="s">
        <v>2466</v>
      </c>
      <c r="B561" s="2">
        <v>43139</v>
      </c>
      <c r="C561" t="s">
        <v>1836</v>
      </c>
      <c r="D561" t="s">
        <v>1031</v>
      </c>
    </row>
    <row r="562" spans="1:4" x14ac:dyDescent="0.2">
      <c r="A562" t="s">
        <v>2467</v>
      </c>
      <c r="B562" s="2">
        <v>43122</v>
      </c>
      <c r="C562" t="s">
        <v>1812</v>
      </c>
      <c r="D562" t="s">
        <v>160</v>
      </c>
    </row>
    <row r="563" spans="1:4" x14ac:dyDescent="0.2">
      <c r="A563" t="s">
        <v>2468</v>
      </c>
      <c r="B563" s="2">
        <v>43087</v>
      </c>
      <c r="C563" t="s">
        <v>2066</v>
      </c>
      <c r="D563" t="s">
        <v>1813</v>
      </c>
    </row>
    <row r="564" spans="1:4" x14ac:dyDescent="0.2">
      <c r="A564" t="s">
        <v>2469</v>
      </c>
      <c r="B564" s="2">
        <v>43247</v>
      </c>
      <c r="C564" t="s">
        <v>2470</v>
      </c>
      <c r="D564" t="s">
        <v>1810</v>
      </c>
    </row>
    <row r="565" spans="1:4" x14ac:dyDescent="0.2">
      <c r="A565" t="s">
        <v>167</v>
      </c>
      <c r="B565" s="2">
        <v>43156</v>
      </c>
      <c r="C565" t="s">
        <v>1803</v>
      </c>
      <c r="D565" t="s">
        <v>1804</v>
      </c>
    </row>
    <row r="566" spans="1:4" x14ac:dyDescent="0.2">
      <c r="A566" t="s">
        <v>169</v>
      </c>
      <c r="B566" s="2">
        <v>43185</v>
      </c>
      <c r="C566" t="s">
        <v>1863</v>
      </c>
      <c r="D566" t="s">
        <v>1804</v>
      </c>
    </row>
    <row r="567" spans="1:4" x14ac:dyDescent="0.2">
      <c r="A567" t="s">
        <v>2471</v>
      </c>
      <c r="B567" s="2">
        <v>43130</v>
      </c>
      <c r="C567" t="s">
        <v>1803</v>
      </c>
      <c r="D567" t="s">
        <v>1804</v>
      </c>
    </row>
    <row r="568" spans="1:4" x14ac:dyDescent="0.2">
      <c r="A568" t="s">
        <v>2472</v>
      </c>
      <c r="B568" s="2">
        <v>43056</v>
      </c>
      <c r="C568" t="s">
        <v>1889</v>
      </c>
      <c r="D568" t="s">
        <v>1813</v>
      </c>
    </row>
    <row r="569" spans="1:4" x14ac:dyDescent="0.2">
      <c r="A569" t="s">
        <v>2473</v>
      </c>
      <c r="B569" s="2">
        <v>43121</v>
      </c>
      <c r="C569" t="s">
        <v>2033</v>
      </c>
      <c r="D569" t="s">
        <v>1810</v>
      </c>
    </row>
    <row r="570" spans="1:4" x14ac:dyDescent="0.2">
      <c r="A570" t="s">
        <v>2474</v>
      </c>
      <c r="B570" s="2">
        <v>42950</v>
      </c>
      <c r="C570" t="s">
        <v>2475</v>
      </c>
      <c r="D570" t="s">
        <v>1807</v>
      </c>
    </row>
    <row r="571" spans="1:4" x14ac:dyDescent="0.2">
      <c r="A571" t="s">
        <v>2476</v>
      </c>
      <c r="B571" s="2">
        <v>43236</v>
      </c>
      <c r="C571" t="s">
        <v>1816</v>
      </c>
      <c r="D571" t="s">
        <v>1810</v>
      </c>
    </row>
    <row r="572" spans="1:4" x14ac:dyDescent="0.2">
      <c r="A572" t="s">
        <v>2477</v>
      </c>
      <c r="B572" s="2">
        <v>43040</v>
      </c>
      <c r="C572" t="s">
        <v>1939</v>
      </c>
      <c r="D572" t="s">
        <v>1810</v>
      </c>
    </row>
    <row r="573" spans="1:4" x14ac:dyDescent="0.2">
      <c r="A573" t="s">
        <v>2478</v>
      </c>
      <c r="B573" s="2">
        <v>42933</v>
      </c>
      <c r="C573" t="s">
        <v>1814</v>
      </c>
      <c r="D573" t="s">
        <v>1840</v>
      </c>
    </row>
    <row r="574" spans="1:4" x14ac:dyDescent="0.2">
      <c r="A574" t="s">
        <v>2479</v>
      </c>
      <c r="B574" s="2">
        <v>43004</v>
      </c>
      <c r="C574" t="s">
        <v>2014</v>
      </c>
      <c r="D574" t="s">
        <v>1840</v>
      </c>
    </row>
    <row r="575" spans="1:4" x14ac:dyDescent="0.2">
      <c r="A575" t="s">
        <v>2480</v>
      </c>
      <c r="B575" s="2">
        <v>43132</v>
      </c>
      <c r="C575" t="s">
        <v>2481</v>
      </c>
      <c r="D575" t="s">
        <v>1813</v>
      </c>
    </row>
    <row r="576" spans="1:4" x14ac:dyDescent="0.2">
      <c r="A576" t="s">
        <v>2482</v>
      </c>
      <c r="B576" s="2">
        <v>43193</v>
      </c>
      <c r="C576" t="s">
        <v>1863</v>
      </c>
      <c r="D576" t="s">
        <v>1804</v>
      </c>
    </row>
    <row r="577" spans="1:4" x14ac:dyDescent="0.2">
      <c r="A577" t="s">
        <v>2483</v>
      </c>
      <c r="B577" s="2">
        <v>43146</v>
      </c>
      <c r="C577" t="s">
        <v>1803</v>
      </c>
      <c r="D577" t="s">
        <v>1804</v>
      </c>
    </row>
    <row r="578" spans="1:4" x14ac:dyDescent="0.2">
      <c r="A578" t="s">
        <v>2484</v>
      </c>
      <c r="B578" s="2">
        <v>43167</v>
      </c>
      <c r="C578" t="s">
        <v>1905</v>
      </c>
      <c r="D578" t="s">
        <v>1810</v>
      </c>
    </row>
    <row r="579" spans="1:4" x14ac:dyDescent="0.2">
      <c r="A579" t="s">
        <v>2485</v>
      </c>
      <c r="B579" s="2">
        <v>43229</v>
      </c>
      <c r="C579" t="s">
        <v>1816</v>
      </c>
      <c r="D579" t="s">
        <v>1810</v>
      </c>
    </row>
    <row r="580" spans="1:4" x14ac:dyDescent="0.2">
      <c r="A580" t="s">
        <v>2486</v>
      </c>
      <c r="B580" s="2">
        <v>43214</v>
      </c>
      <c r="C580" t="s">
        <v>1863</v>
      </c>
      <c r="D580" t="s">
        <v>1804</v>
      </c>
    </row>
    <row r="581" spans="1:4" x14ac:dyDescent="0.2">
      <c r="A581" t="s">
        <v>2487</v>
      </c>
      <c r="B581" s="2">
        <v>43197</v>
      </c>
      <c r="C581" t="s">
        <v>2115</v>
      </c>
      <c r="D581" t="s">
        <v>1804</v>
      </c>
    </row>
    <row r="582" spans="1:4" x14ac:dyDescent="0.2">
      <c r="A582" t="s">
        <v>2488</v>
      </c>
      <c r="B582" s="2">
        <v>43152</v>
      </c>
      <c r="C582" t="s">
        <v>1831</v>
      </c>
      <c r="D582" t="s">
        <v>160</v>
      </c>
    </row>
    <row r="583" spans="1:4" x14ac:dyDescent="0.2">
      <c r="A583" t="s">
        <v>171</v>
      </c>
      <c r="B583" s="2">
        <v>43112</v>
      </c>
      <c r="C583" t="s">
        <v>1816</v>
      </c>
      <c r="D583" t="s">
        <v>1031</v>
      </c>
    </row>
    <row r="584" spans="1:4" x14ac:dyDescent="0.2">
      <c r="A584" t="s">
        <v>2489</v>
      </c>
      <c r="B584" s="2">
        <v>43131</v>
      </c>
      <c r="C584" t="s">
        <v>1803</v>
      </c>
      <c r="D584" t="s">
        <v>1804</v>
      </c>
    </row>
    <row r="585" spans="1:4" x14ac:dyDescent="0.2">
      <c r="A585" t="s">
        <v>2490</v>
      </c>
      <c r="B585" s="2">
        <v>43248</v>
      </c>
      <c r="C585" t="s">
        <v>1816</v>
      </c>
      <c r="D585" t="s">
        <v>1810</v>
      </c>
    </row>
    <row r="586" spans="1:4" x14ac:dyDescent="0.2">
      <c r="A586" t="s">
        <v>173</v>
      </c>
      <c r="B586" s="2">
        <v>43135</v>
      </c>
      <c r="C586" t="s">
        <v>1816</v>
      </c>
      <c r="D586" t="s">
        <v>1810</v>
      </c>
    </row>
    <row r="587" spans="1:4" x14ac:dyDescent="0.2">
      <c r="A587" t="s">
        <v>2491</v>
      </c>
      <c r="B587" s="2">
        <v>43158</v>
      </c>
      <c r="C587" t="s">
        <v>1836</v>
      </c>
      <c r="D587" t="s">
        <v>1031</v>
      </c>
    </row>
    <row r="588" spans="1:4" x14ac:dyDescent="0.2">
      <c r="A588" t="s">
        <v>2492</v>
      </c>
      <c r="B588" s="2">
        <v>43174</v>
      </c>
      <c r="C588" t="s">
        <v>1825</v>
      </c>
      <c r="D588" t="s">
        <v>1829</v>
      </c>
    </row>
    <row r="589" spans="1:4" x14ac:dyDescent="0.2">
      <c r="A589" t="s">
        <v>2493</v>
      </c>
      <c r="B589" s="2">
        <v>43143</v>
      </c>
      <c r="C589" t="s">
        <v>1892</v>
      </c>
      <c r="D589" t="s">
        <v>1813</v>
      </c>
    </row>
    <row r="590" spans="1:4" x14ac:dyDescent="0.2">
      <c r="A590" t="s">
        <v>2494</v>
      </c>
      <c r="B590" s="2">
        <v>43208</v>
      </c>
      <c r="C590" t="s">
        <v>2303</v>
      </c>
      <c r="D590" t="s">
        <v>1840</v>
      </c>
    </row>
    <row r="591" spans="1:4" x14ac:dyDescent="0.2">
      <c r="A591" t="s">
        <v>2495</v>
      </c>
      <c r="B591" s="2">
        <v>43243</v>
      </c>
      <c r="C591" t="s">
        <v>1816</v>
      </c>
      <c r="D591" t="s">
        <v>1810</v>
      </c>
    </row>
    <row r="592" spans="1:4" x14ac:dyDescent="0.2">
      <c r="A592" t="s">
        <v>2496</v>
      </c>
      <c r="B592" s="2">
        <v>43110</v>
      </c>
      <c r="C592" t="s">
        <v>1907</v>
      </c>
      <c r="D592" t="s">
        <v>1807</v>
      </c>
    </row>
    <row r="593" spans="1:4" x14ac:dyDescent="0.2">
      <c r="A593" t="s">
        <v>2497</v>
      </c>
      <c r="B593" s="2">
        <v>43223</v>
      </c>
      <c r="C593" t="s">
        <v>1857</v>
      </c>
      <c r="D593" t="s">
        <v>1804</v>
      </c>
    </row>
    <row r="594" spans="1:4" x14ac:dyDescent="0.2">
      <c r="A594" t="s">
        <v>175</v>
      </c>
      <c r="B594" s="2">
        <v>43145</v>
      </c>
      <c r="C594" t="s">
        <v>1836</v>
      </c>
      <c r="D594" t="s">
        <v>1031</v>
      </c>
    </row>
    <row r="595" spans="1:4" x14ac:dyDescent="0.2">
      <c r="A595" t="s">
        <v>2498</v>
      </c>
      <c r="B595" s="2">
        <v>43164</v>
      </c>
      <c r="C595" t="s">
        <v>1836</v>
      </c>
      <c r="D595" t="s">
        <v>1031</v>
      </c>
    </row>
    <row r="596" spans="1:4" x14ac:dyDescent="0.2">
      <c r="A596" t="s">
        <v>2499</v>
      </c>
      <c r="B596" s="2">
        <v>43207</v>
      </c>
      <c r="C596" t="s">
        <v>2500</v>
      </c>
      <c r="D596" t="s">
        <v>1840</v>
      </c>
    </row>
    <row r="597" spans="1:4" x14ac:dyDescent="0.2">
      <c r="A597" t="s">
        <v>2501</v>
      </c>
      <c r="B597" s="2">
        <v>43014</v>
      </c>
      <c r="C597" t="s">
        <v>1907</v>
      </c>
      <c r="D597" t="s">
        <v>1810</v>
      </c>
    </row>
    <row r="598" spans="1:4" x14ac:dyDescent="0.2">
      <c r="A598" t="s">
        <v>2502</v>
      </c>
      <c r="B598" s="2">
        <v>43217</v>
      </c>
      <c r="C598" t="s">
        <v>2503</v>
      </c>
      <c r="D598" t="s">
        <v>1796</v>
      </c>
    </row>
    <row r="599" spans="1:4" x14ac:dyDescent="0.2">
      <c r="A599" t="s">
        <v>2504</v>
      </c>
      <c r="B599" s="2">
        <v>43099</v>
      </c>
      <c r="C599" t="s">
        <v>1803</v>
      </c>
      <c r="D599" t="s">
        <v>1804</v>
      </c>
    </row>
    <row r="600" spans="1:4" x14ac:dyDescent="0.2">
      <c r="A600" t="s">
        <v>2505</v>
      </c>
      <c r="B600" s="2">
        <v>43075</v>
      </c>
      <c r="C600" t="s">
        <v>1889</v>
      </c>
      <c r="D600" t="s">
        <v>1796</v>
      </c>
    </row>
    <row r="601" spans="1:4" x14ac:dyDescent="0.2">
      <c r="A601" t="s">
        <v>2506</v>
      </c>
      <c r="B601" s="2">
        <v>42975</v>
      </c>
      <c r="C601" t="s">
        <v>1843</v>
      </c>
      <c r="D601" t="s">
        <v>1807</v>
      </c>
    </row>
    <row r="602" spans="1:4" x14ac:dyDescent="0.2">
      <c r="A602" t="s">
        <v>2507</v>
      </c>
      <c r="B602" s="2">
        <v>43014</v>
      </c>
      <c r="C602" t="s">
        <v>1809</v>
      </c>
      <c r="D602" t="s">
        <v>1807</v>
      </c>
    </row>
    <row r="603" spans="1:4" x14ac:dyDescent="0.2">
      <c r="A603" t="s">
        <v>2508</v>
      </c>
      <c r="B603" s="2">
        <v>43060</v>
      </c>
      <c r="C603" t="s">
        <v>1836</v>
      </c>
      <c r="D603" t="s">
        <v>1031</v>
      </c>
    </row>
    <row r="604" spans="1:4" x14ac:dyDescent="0.2">
      <c r="A604" t="s">
        <v>177</v>
      </c>
      <c r="B604" s="2">
        <v>43249</v>
      </c>
      <c r="C604" t="s">
        <v>1816</v>
      </c>
      <c r="D604" t="s">
        <v>1810</v>
      </c>
    </row>
    <row r="605" spans="1:4" x14ac:dyDescent="0.2">
      <c r="A605" t="s">
        <v>2509</v>
      </c>
      <c r="B605" s="2">
        <v>43241</v>
      </c>
      <c r="C605" t="s">
        <v>1905</v>
      </c>
      <c r="D605" t="s">
        <v>1840</v>
      </c>
    </row>
    <row r="606" spans="1:4" x14ac:dyDescent="0.2">
      <c r="A606" t="s">
        <v>2510</v>
      </c>
      <c r="B606" s="2">
        <v>43151</v>
      </c>
      <c r="C606" t="s">
        <v>1836</v>
      </c>
      <c r="D606" t="s">
        <v>1031</v>
      </c>
    </row>
    <row r="607" spans="1:4" x14ac:dyDescent="0.2">
      <c r="A607" t="s">
        <v>2511</v>
      </c>
      <c r="B607" s="2">
        <v>43129</v>
      </c>
      <c r="C607" t="s">
        <v>1803</v>
      </c>
      <c r="D607" t="s">
        <v>1804</v>
      </c>
    </row>
    <row r="608" spans="1:4" x14ac:dyDescent="0.2">
      <c r="A608" t="s">
        <v>2512</v>
      </c>
      <c r="B608" s="2">
        <v>43108</v>
      </c>
      <c r="C608" t="s">
        <v>1809</v>
      </c>
      <c r="D608" t="s">
        <v>1849</v>
      </c>
    </row>
    <row r="609" spans="1:4" x14ac:dyDescent="0.2">
      <c r="A609" t="s">
        <v>2513</v>
      </c>
      <c r="B609" s="2">
        <v>43098</v>
      </c>
      <c r="C609" t="s">
        <v>1905</v>
      </c>
      <c r="D609" t="s">
        <v>1810</v>
      </c>
    </row>
    <row r="610" spans="1:4" x14ac:dyDescent="0.2">
      <c r="A610" t="s">
        <v>2514</v>
      </c>
      <c r="B610" s="2">
        <v>42984</v>
      </c>
      <c r="C610" t="s">
        <v>2515</v>
      </c>
      <c r="D610" t="s">
        <v>1810</v>
      </c>
    </row>
    <row r="611" spans="1:4" x14ac:dyDescent="0.2">
      <c r="A611" t="s">
        <v>2516</v>
      </c>
      <c r="B611" s="2">
        <v>43193</v>
      </c>
      <c r="C611" t="s">
        <v>2062</v>
      </c>
      <c r="D611" t="s">
        <v>1813</v>
      </c>
    </row>
    <row r="612" spans="1:4" x14ac:dyDescent="0.2">
      <c r="A612" t="s">
        <v>2517</v>
      </c>
      <c r="B612" s="2">
        <v>43228</v>
      </c>
      <c r="C612" t="s">
        <v>1902</v>
      </c>
      <c r="D612" t="s">
        <v>1813</v>
      </c>
    </row>
    <row r="613" spans="1:4" x14ac:dyDescent="0.2">
      <c r="A613" t="s">
        <v>2518</v>
      </c>
      <c r="B613" s="2">
        <v>43060</v>
      </c>
      <c r="C613" t="s">
        <v>1902</v>
      </c>
      <c r="D613" t="s">
        <v>1810</v>
      </c>
    </row>
    <row r="614" spans="1:4" x14ac:dyDescent="0.2">
      <c r="A614" t="s">
        <v>2519</v>
      </c>
      <c r="B614" s="2">
        <v>43031</v>
      </c>
      <c r="C614" t="s">
        <v>1809</v>
      </c>
      <c r="D614" t="s">
        <v>1810</v>
      </c>
    </row>
    <row r="615" spans="1:4" x14ac:dyDescent="0.2">
      <c r="A615" t="s">
        <v>2520</v>
      </c>
      <c r="B615" s="2">
        <v>43228</v>
      </c>
      <c r="C615" t="s">
        <v>2521</v>
      </c>
      <c r="D615" t="s">
        <v>1813</v>
      </c>
    </row>
    <row r="616" spans="1:4" x14ac:dyDescent="0.2">
      <c r="A616" t="s">
        <v>2522</v>
      </c>
      <c r="B616" s="2">
        <v>43227</v>
      </c>
      <c r="C616" t="s">
        <v>1809</v>
      </c>
      <c r="D616" t="s">
        <v>1810</v>
      </c>
    </row>
    <row r="617" spans="1:4" x14ac:dyDescent="0.2">
      <c r="A617" t="s">
        <v>2523</v>
      </c>
      <c r="B617" s="2">
        <v>43236</v>
      </c>
      <c r="C617" t="s">
        <v>1818</v>
      </c>
      <c r="D617" t="s">
        <v>1813</v>
      </c>
    </row>
    <row r="618" spans="1:4" x14ac:dyDescent="0.2">
      <c r="A618" t="s">
        <v>179</v>
      </c>
      <c r="B618" s="2">
        <v>43166</v>
      </c>
      <c r="C618" t="s">
        <v>1930</v>
      </c>
      <c r="D618" t="s">
        <v>1807</v>
      </c>
    </row>
    <row r="619" spans="1:4" x14ac:dyDescent="0.2">
      <c r="A619" t="s">
        <v>2524</v>
      </c>
      <c r="B619" s="2">
        <v>43050</v>
      </c>
      <c r="C619" t="s">
        <v>1803</v>
      </c>
      <c r="D619" t="s">
        <v>1804</v>
      </c>
    </row>
    <row r="620" spans="1:4" x14ac:dyDescent="0.2">
      <c r="A620" t="s">
        <v>2525</v>
      </c>
      <c r="B620" s="2">
        <v>43202</v>
      </c>
      <c r="C620" t="s">
        <v>1863</v>
      </c>
      <c r="D620" t="s">
        <v>1804</v>
      </c>
    </row>
    <row r="621" spans="1:4" x14ac:dyDescent="0.2">
      <c r="A621" t="s">
        <v>2526</v>
      </c>
      <c r="B621" s="2">
        <v>43237</v>
      </c>
      <c r="C621" t="s">
        <v>2291</v>
      </c>
      <c r="D621" t="s">
        <v>1807</v>
      </c>
    </row>
    <row r="622" spans="1:4" x14ac:dyDescent="0.2">
      <c r="A622" t="s">
        <v>2527</v>
      </c>
      <c r="B622" s="2">
        <v>43028</v>
      </c>
      <c r="C622" t="s">
        <v>1803</v>
      </c>
      <c r="D622" t="s">
        <v>1804</v>
      </c>
    </row>
    <row r="623" spans="1:4" x14ac:dyDescent="0.2">
      <c r="A623" t="s">
        <v>2528</v>
      </c>
      <c r="B623" s="2">
        <v>43134</v>
      </c>
      <c r="C623" t="s">
        <v>1803</v>
      </c>
      <c r="D623" t="s">
        <v>1804</v>
      </c>
    </row>
    <row r="624" spans="1:4" x14ac:dyDescent="0.2">
      <c r="A624" t="s">
        <v>2529</v>
      </c>
      <c r="B624" s="2">
        <v>43006</v>
      </c>
      <c r="C624" t="s">
        <v>2530</v>
      </c>
      <c r="D624" t="s">
        <v>1807</v>
      </c>
    </row>
    <row r="625" spans="1:4" x14ac:dyDescent="0.2">
      <c r="A625" t="s">
        <v>2531</v>
      </c>
      <c r="B625" s="2">
        <v>43025</v>
      </c>
      <c r="C625" t="s">
        <v>1921</v>
      </c>
      <c r="D625" t="s">
        <v>1031</v>
      </c>
    </row>
    <row r="626" spans="1:4" x14ac:dyDescent="0.2">
      <c r="A626" t="s">
        <v>2532</v>
      </c>
      <c r="B626" s="2">
        <v>43140</v>
      </c>
      <c r="C626" t="s">
        <v>1836</v>
      </c>
      <c r="D626" t="s">
        <v>1840</v>
      </c>
    </row>
    <row r="627" spans="1:4" x14ac:dyDescent="0.2">
      <c r="A627" t="s">
        <v>2533</v>
      </c>
      <c r="B627" s="2">
        <v>43111</v>
      </c>
      <c r="C627" t="s">
        <v>1816</v>
      </c>
      <c r="D627" t="s">
        <v>1031</v>
      </c>
    </row>
    <row r="628" spans="1:4" x14ac:dyDescent="0.2">
      <c r="A628" t="s">
        <v>2534</v>
      </c>
      <c r="B628" s="2">
        <v>42926</v>
      </c>
      <c r="C628" t="s">
        <v>2535</v>
      </c>
      <c r="D628" t="s">
        <v>1807</v>
      </c>
    </row>
    <row r="629" spans="1:4" x14ac:dyDescent="0.2">
      <c r="A629" t="s">
        <v>2536</v>
      </c>
      <c r="B629" s="2">
        <v>43131</v>
      </c>
      <c r="C629" t="s">
        <v>1854</v>
      </c>
      <c r="D629" t="s">
        <v>1810</v>
      </c>
    </row>
    <row r="630" spans="1:4" x14ac:dyDescent="0.2">
      <c r="A630" t="s">
        <v>2537</v>
      </c>
      <c r="B630" s="2">
        <v>43213</v>
      </c>
      <c r="C630" t="s">
        <v>2115</v>
      </c>
      <c r="D630" t="s">
        <v>1804</v>
      </c>
    </row>
    <row r="631" spans="1:4" x14ac:dyDescent="0.2">
      <c r="A631" t="s">
        <v>2538</v>
      </c>
      <c r="B631" s="2">
        <v>43181</v>
      </c>
      <c r="C631" t="s">
        <v>1907</v>
      </c>
      <c r="D631" t="s">
        <v>1807</v>
      </c>
    </row>
    <row r="632" spans="1:4" x14ac:dyDescent="0.2">
      <c r="A632" t="s">
        <v>2539</v>
      </c>
      <c r="B632" s="2">
        <v>43117</v>
      </c>
      <c r="C632" t="s">
        <v>1836</v>
      </c>
      <c r="D632" t="s">
        <v>1810</v>
      </c>
    </row>
    <row r="633" spans="1:4" x14ac:dyDescent="0.2">
      <c r="A633" t="s">
        <v>2540</v>
      </c>
      <c r="B633" s="2">
        <v>43118</v>
      </c>
      <c r="C633" t="s">
        <v>2318</v>
      </c>
      <c r="D633" t="s">
        <v>1810</v>
      </c>
    </row>
    <row r="634" spans="1:4" x14ac:dyDescent="0.2">
      <c r="A634" t="s">
        <v>2541</v>
      </c>
      <c r="B634" s="2">
        <v>43227</v>
      </c>
      <c r="C634" t="s">
        <v>1863</v>
      </c>
      <c r="D634" t="s">
        <v>1804</v>
      </c>
    </row>
    <row r="635" spans="1:4" x14ac:dyDescent="0.2">
      <c r="A635" t="s">
        <v>2542</v>
      </c>
      <c r="B635" s="2">
        <v>43152</v>
      </c>
      <c r="C635" t="s">
        <v>2154</v>
      </c>
      <c r="D635" t="s">
        <v>1807</v>
      </c>
    </row>
    <row r="636" spans="1:4" x14ac:dyDescent="0.2">
      <c r="A636" t="s">
        <v>2543</v>
      </c>
      <c r="B636" s="2">
        <v>43214</v>
      </c>
      <c r="C636" t="s">
        <v>1863</v>
      </c>
      <c r="D636" t="s">
        <v>1804</v>
      </c>
    </row>
    <row r="637" spans="1:4" x14ac:dyDescent="0.2">
      <c r="A637" t="s">
        <v>2544</v>
      </c>
      <c r="B637" s="2">
        <v>43180</v>
      </c>
      <c r="C637" t="s">
        <v>1836</v>
      </c>
      <c r="D637" t="s">
        <v>1031</v>
      </c>
    </row>
    <row r="638" spans="1:4" x14ac:dyDescent="0.2">
      <c r="A638" t="s">
        <v>2545</v>
      </c>
      <c r="B638" s="2">
        <v>43200</v>
      </c>
      <c r="C638" t="s">
        <v>1816</v>
      </c>
      <c r="D638" t="s">
        <v>1810</v>
      </c>
    </row>
    <row r="639" spans="1:4" x14ac:dyDescent="0.2">
      <c r="A639" t="s">
        <v>2546</v>
      </c>
      <c r="B639" s="2">
        <v>43117</v>
      </c>
      <c r="C639" t="s">
        <v>1959</v>
      </c>
      <c r="D639" t="s">
        <v>1840</v>
      </c>
    </row>
    <row r="640" spans="1:4" x14ac:dyDescent="0.2">
      <c r="A640" t="s">
        <v>2547</v>
      </c>
      <c r="B640" s="2">
        <v>43195</v>
      </c>
      <c r="C640" t="s">
        <v>2014</v>
      </c>
      <c r="D640" t="s">
        <v>1796</v>
      </c>
    </row>
    <row r="641" spans="1:4" x14ac:dyDescent="0.2">
      <c r="A641" t="s">
        <v>2548</v>
      </c>
      <c r="B641" s="2">
        <v>42982</v>
      </c>
      <c r="C641" t="s">
        <v>1816</v>
      </c>
      <c r="D641" t="s">
        <v>1810</v>
      </c>
    </row>
    <row r="642" spans="1:4" x14ac:dyDescent="0.2">
      <c r="A642" t="s">
        <v>2549</v>
      </c>
      <c r="B642" s="2">
        <v>43229</v>
      </c>
      <c r="C642" t="s">
        <v>1905</v>
      </c>
      <c r="D642" t="s">
        <v>1810</v>
      </c>
    </row>
    <row r="643" spans="1:4" x14ac:dyDescent="0.2">
      <c r="A643" t="s">
        <v>182</v>
      </c>
      <c r="B643" s="2">
        <v>43182</v>
      </c>
      <c r="C643" t="s">
        <v>1836</v>
      </c>
      <c r="D643" t="s">
        <v>1031</v>
      </c>
    </row>
    <row r="644" spans="1:4" x14ac:dyDescent="0.2">
      <c r="A644" t="s">
        <v>2550</v>
      </c>
      <c r="B644" s="2">
        <v>43171</v>
      </c>
      <c r="C644" t="s">
        <v>1993</v>
      </c>
      <c r="D644" t="s">
        <v>1810</v>
      </c>
    </row>
    <row r="645" spans="1:4" x14ac:dyDescent="0.2">
      <c r="A645" t="s">
        <v>2551</v>
      </c>
      <c r="B645" s="2">
        <v>42922</v>
      </c>
      <c r="C645" t="s">
        <v>2552</v>
      </c>
      <c r="D645" t="s">
        <v>1807</v>
      </c>
    </row>
    <row r="646" spans="1:4" x14ac:dyDescent="0.2">
      <c r="A646" t="s">
        <v>2553</v>
      </c>
      <c r="B646" s="2">
        <v>42982</v>
      </c>
      <c r="C646" t="s">
        <v>1836</v>
      </c>
      <c r="D646" t="s">
        <v>1031</v>
      </c>
    </row>
    <row r="647" spans="1:4" x14ac:dyDescent="0.2">
      <c r="A647" t="s">
        <v>2554</v>
      </c>
      <c r="B647" s="2">
        <v>43167</v>
      </c>
      <c r="C647" t="s">
        <v>1809</v>
      </c>
      <c r="D647" t="s">
        <v>1810</v>
      </c>
    </row>
    <row r="648" spans="1:4" x14ac:dyDescent="0.2">
      <c r="A648" t="s">
        <v>2555</v>
      </c>
      <c r="B648" s="2">
        <v>43209</v>
      </c>
      <c r="C648" t="s">
        <v>1867</v>
      </c>
      <c r="D648" t="s">
        <v>1829</v>
      </c>
    </row>
    <row r="649" spans="1:4" x14ac:dyDescent="0.2">
      <c r="A649" t="s">
        <v>2556</v>
      </c>
      <c r="B649" s="2">
        <v>43065</v>
      </c>
      <c r="C649" t="s">
        <v>1816</v>
      </c>
      <c r="D649" t="s">
        <v>1031</v>
      </c>
    </row>
    <row r="650" spans="1:4" x14ac:dyDescent="0.2">
      <c r="A650" t="s">
        <v>2557</v>
      </c>
      <c r="B650" s="2">
        <v>43145</v>
      </c>
      <c r="C650" t="s">
        <v>1816</v>
      </c>
      <c r="D650" t="s">
        <v>1810</v>
      </c>
    </row>
    <row r="651" spans="1:4" x14ac:dyDescent="0.2">
      <c r="A651" t="s">
        <v>2558</v>
      </c>
      <c r="B651" s="2">
        <v>43217</v>
      </c>
      <c r="C651" t="s">
        <v>2559</v>
      </c>
      <c r="D651" t="s">
        <v>1810</v>
      </c>
    </row>
    <row r="652" spans="1:4" x14ac:dyDescent="0.2">
      <c r="A652" t="s">
        <v>2560</v>
      </c>
      <c r="B652" s="2">
        <v>43153</v>
      </c>
      <c r="C652" t="s">
        <v>2048</v>
      </c>
      <c r="D652" t="s">
        <v>1807</v>
      </c>
    </row>
    <row r="653" spans="1:4" x14ac:dyDescent="0.2">
      <c r="A653" t="s">
        <v>2561</v>
      </c>
      <c r="B653" s="2">
        <v>43220</v>
      </c>
      <c r="C653" t="s">
        <v>1838</v>
      </c>
      <c r="D653" t="s">
        <v>1810</v>
      </c>
    </row>
    <row r="654" spans="1:4" x14ac:dyDescent="0.2">
      <c r="A654" t="s">
        <v>2562</v>
      </c>
      <c r="B654" s="2">
        <v>43059</v>
      </c>
      <c r="C654" t="s">
        <v>2563</v>
      </c>
      <c r="D654" t="s">
        <v>1031</v>
      </c>
    </row>
    <row r="655" spans="1:4" x14ac:dyDescent="0.2">
      <c r="A655" t="s">
        <v>2564</v>
      </c>
      <c r="B655" s="2">
        <v>43123</v>
      </c>
      <c r="C655" t="s">
        <v>1905</v>
      </c>
      <c r="D655" t="s">
        <v>1813</v>
      </c>
    </row>
    <row r="656" spans="1:4" x14ac:dyDescent="0.2">
      <c r="A656" t="s">
        <v>2565</v>
      </c>
      <c r="B656" s="2">
        <v>43028</v>
      </c>
      <c r="C656" t="s">
        <v>1939</v>
      </c>
      <c r="D656" t="s">
        <v>1807</v>
      </c>
    </row>
    <row r="657" spans="1:4" x14ac:dyDescent="0.2">
      <c r="A657" t="s">
        <v>184</v>
      </c>
      <c r="B657" s="2">
        <v>43200</v>
      </c>
      <c r="C657" t="s">
        <v>1836</v>
      </c>
      <c r="D657" t="s">
        <v>1031</v>
      </c>
    </row>
    <row r="658" spans="1:4" x14ac:dyDescent="0.2">
      <c r="A658" t="s">
        <v>2566</v>
      </c>
      <c r="B658" s="2">
        <v>43152</v>
      </c>
      <c r="C658" t="s">
        <v>1836</v>
      </c>
      <c r="D658" t="s">
        <v>1031</v>
      </c>
    </row>
    <row r="659" spans="1:4" x14ac:dyDescent="0.2">
      <c r="A659" t="s">
        <v>2567</v>
      </c>
      <c r="B659" s="2">
        <v>43247</v>
      </c>
      <c r="C659" t="s">
        <v>1816</v>
      </c>
      <c r="D659" t="s">
        <v>1810</v>
      </c>
    </row>
    <row r="660" spans="1:4" x14ac:dyDescent="0.2">
      <c r="A660" t="s">
        <v>2568</v>
      </c>
      <c r="B660" s="2">
        <v>42963</v>
      </c>
      <c r="C660" t="s">
        <v>2569</v>
      </c>
      <c r="D660" t="s">
        <v>1829</v>
      </c>
    </row>
    <row r="661" spans="1:4" x14ac:dyDescent="0.2">
      <c r="A661" t="s">
        <v>2570</v>
      </c>
      <c r="B661" s="2">
        <v>43154</v>
      </c>
      <c r="C661" t="s">
        <v>1867</v>
      </c>
      <c r="D661" t="s">
        <v>1813</v>
      </c>
    </row>
    <row r="662" spans="1:4" x14ac:dyDescent="0.2">
      <c r="A662" t="s">
        <v>2571</v>
      </c>
      <c r="B662" s="2">
        <v>42997</v>
      </c>
      <c r="C662" t="s">
        <v>2206</v>
      </c>
      <c r="D662" t="s">
        <v>1813</v>
      </c>
    </row>
    <row r="663" spans="1:4" x14ac:dyDescent="0.2">
      <c r="A663" t="s">
        <v>2572</v>
      </c>
      <c r="B663" s="2">
        <v>43146</v>
      </c>
      <c r="C663" t="s">
        <v>1803</v>
      </c>
      <c r="D663" t="s">
        <v>1804</v>
      </c>
    </row>
    <row r="664" spans="1:4" x14ac:dyDescent="0.2">
      <c r="A664" t="s">
        <v>2573</v>
      </c>
      <c r="B664" s="2">
        <v>43237</v>
      </c>
      <c r="C664" t="s">
        <v>1816</v>
      </c>
      <c r="D664" t="s">
        <v>1810</v>
      </c>
    </row>
    <row r="665" spans="1:4" x14ac:dyDescent="0.2">
      <c r="A665" t="s">
        <v>2574</v>
      </c>
      <c r="B665" s="2">
        <v>43248</v>
      </c>
      <c r="C665" t="s">
        <v>1863</v>
      </c>
      <c r="D665" t="s">
        <v>1804</v>
      </c>
    </row>
    <row r="666" spans="1:4" x14ac:dyDescent="0.2">
      <c r="A666" t="s">
        <v>2575</v>
      </c>
      <c r="B666" s="2">
        <v>42984</v>
      </c>
      <c r="C666" t="s">
        <v>2576</v>
      </c>
      <c r="D666" t="s">
        <v>1031</v>
      </c>
    </row>
    <row r="667" spans="1:4" x14ac:dyDescent="0.2">
      <c r="A667" t="s">
        <v>187</v>
      </c>
      <c r="B667" s="2">
        <v>43181</v>
      </c>
      <c r="C667" t="s">
        <v>1836</v>
      </c>
      <c r="D667" t="s">
        <v>1031</v>
      </c>
    </row>
    <row r="668" spans="1:4" x14ac:dyDescent="0.2">
      <c r="A668" t="s">
        <v>189</v>
      </c>
      <c r="B668" s="2">
        <v>43195</v>
      </c>
      <c r="C668" t="s">
        <v>1825</v>
      </c>
      <c r="D668" t="s">
        <v>1810</v>
      </c>
    </row>
    <row r="669" spans="1:4" x14ac:dyDescent="0.2">
      <c r="A669" t="s">
        <v>2577</v>
      </c>
      <c r="B669" s="2">
        <v>43220</v>
      </c>
      <c r="C669" t="s">
        <v>1857</v>
      </c>
      <c r="D669" t="s">
        <v>1804</v>
      </c>
    </row>
    <row r="670" spans="1:4" x14ac:dyDescent="0.2">
      <c r="A670" t="s">
        <v>2578</v>
      </c>
      <c r="B670" s="2">
        <v>43189</v>
      </c>
      <c r="C670" t="s">
        <v>2579</v>
      </c>
      <c r="D670" t="s">
        <v>1813</v>
      </c>
    </row>
    <row r="671" spans="1:4" x14ac:dyDescent="0.2">
      <c r="A671" t="s">
        <v>2580</v>
      </c>
      <c r="B671" s="2">
        <v>43176</v>
      </c>
      <c r="C671" t="s">
        <v>1867</v>
      </c>
      <c r="D671" t="s">
        <v>1804</v>
      </c>
    </row>
    <row r="672" spans="1:4" x14ac:dyDescent="0.2">
      <c r="A672" t="s">
        <v>2581</v>
      </c>
      <c r="B672" s="2">
        <v>43190</v>
      </c>
      <c r="C672" t="s">
        <v>1863</v>
      </c>
      <c r="D672" t="s">
        <v>1804</v>
      </c>
    </row>
    <row r="673" spans="1:4" x14ac:dyDescent="0.2">
      <c r="A673" t="s">
        <v>2582</v>
      </c>
      <c r="B673" s="2">
        <v>42971</v>
      </c>
      <c r="C673" t="s">
        <v>1836</v>
      </c>
      <c r="D673" t="s">
        <v>1810</v>
      </c>
    </row>
    <row r="674" spans="1:4" x14ac:dyDescent="0.2">
      <c r="A674" t="s">
        <v>2583</v>
      </c>
      <c r="B674" s="2">
        <v>43181</v>
      </c>
      <c r="C674" t="s">
        <v>1816</v>
      </c>
      <c r="D674" t="s">
        <v>1810</v>
      </c>
    </row>
    <row r="675" spans="1:4" x14ac:dyDescent="0.2">
      <c r="A675" t="s">
        <v>191</v>
      </c>
      <c r="B675" s="2">
        <v>43141</v>
      </c>
      <c r="C675" t="s">
        <v>1803</v>
      </c>
      <c r="D675" t="s">
        <v>1804</v>
      </c>
    </row>
    <row r="676" spans="1:4" x14ac:dyDescent="0.2">
      <c r="A676" t="s">
        <v>2584</v>
      </c>
      <c r="B676" s="2">
        <v>43182</v>
      </c>
      <c r="C676" t="s">
        <v>2585</v>
      </c>
      <c r="D676" t="s">
        <v>1031</v>
      </c>
    </row>
    <row r="677" spans="1:4" x14ac:dyDescent="0.2">
      <c r="A677" t="s">
        <v>193</v>
      </c>
      <c r="B677" s="2">
        <v>43203</v>
      </c>
      <c r="C677" t="s">
        <v>1816</v>
      </c>
      <c r="D677" t="s">
        <v>1810</v>
      </c>
    </row>
    <row r="678" spans="1:4" x14ac:dyDescent="0.2">
      <c r="A678" t="s">
        <v>2586</v>
      </c>
      <c r="B678" s="2">
        <v>43167</v>
      </c>
      <c r="C678" t="s">
        <v>1816</v>
      </c>
      <c r="D678" t="s">
        <v>1813</v>
      </c>
    </row>
    <row r="679" spans="1:4" x14ac:dyDescent="0.2">
      <c r="A679" t="s">
        <v>195</v>
      </c>
      <c r="B679" s="2">
        <v>43201</v>
      </c>
      <c r="C679" t="s">
        <v>1816</v>
      </c>
      <c r="D679" t="s">
        <v>1807</v>
      </c>
    </row>
    <row r="680" spans="1:4" x14ac:dyDescent="0.2">
      <c r="A680" t="s">
        <v>2587</v>
      </c>
      <c r="B680" s="2">
        <v>43238</v>
      </c>
      <c r="C680" t="s">
        <v>1818</v>
      </c>
      <c r="D680" t="s">
        <v>1813</v>
      </c>
    </row>
    <row r="681" spans="1:4" x14ac:dyDescent="0.2">
      <c r="A681" t="s">
        <v>2588</v>
      </c>
      <c r="B681" s="2">
        <v>43143</v>
      </c>
      <c r="C681" t="s">
        <v>1816</v>
      </c>
      <c r="D681" t="s">
        <v>1840</v>
      </c>
    </row>
    <row r="682" spans="1:4" x14ac:dyDescent="0.2">
      <c r="A682" t="s">
        <v>2589</v>
      </c>
      <c r="B682" s="2">
        <v>42963</v>
      </c>
      <c r="C682" t="s">
        <v>2321</v>
      </c>
      <c r="D682" t="s">
        <v>1810</v>
      </c>
    </row>
    <row r="683" spans="1:4" x14ac:dyDescent="0.2">
      <c r="A683" t="s">
        <v>197</v>
      </c>
      <c r="B683" s="2">
        <v>43149</v>
      </c>
      <c r="C683" t="s">
        <v>1930</v>
      </c>
      <c r="D683" t="s">
        <v>1807</v>
      </c>
    </row>
    <row r="684" spans="1:4" x14ac:dyDescent="0.2">
      <c r="A684" t="s">
        <v>200</v>
      </c>
      <c r="B684" s="2">
        <v>43201</v>
      </c>
      <c r="C684" t="s">
        <v>1836</v>
      </c>
      <c r="D684" t="s">
        <v>1031</v>
      </c>
    </row>
    <row r="685" spans="1:4" x14ac:dyDescent="0.2">
      <c r="A685" t="s">
        <v>2590</v>
      </c>
      <c r="B685" s="2">
        <v>43154</v>
      </c>
      <c r="C685" t="s">
        <v>2591</v>
      </c>
      <c r="D685" t="s">
        <v>1829</v>
      </c>
    </row>
    <row r="686" spans="1:4" x14ac:dyDescent="0.2">
      <c r="A686" t="s">
        <v>2592</v>
      </c>
      <c r="B686" s="2">
        <v>43217</v>
      </c>
      <c r="C686" t="s">
        <v>1836</v>
      </c>
      <c r="D686" t="s">
        <v>1807</v>
      </c>
    </row>
    <row r="687" spans="1:4" x14ac:dyDescent="0.2">
      <c r="A687" t="s">
        <v>2593</v>
      </c>
      <c r="B687" s="2">
        <v>43208</v>
      </c>
      <c r="C687" t="s">
        <v>2158</v>
      </c>
      <c r="D687" t="s">
        <v>1810</v>
      </c>
    </row>
    <row r="688" spans="1:4" x14ac:dyDescent="0.2">
      <c r="A688" t="s">
        <v>2594</v>
      </c>
      <c r="B688" s="2">
        <v>43200</v>
      </c>
      <c r="C688" t="s">
        <v>1905</v>
      </c>
      <c r="D688" t="s">
        <v>1840</v>
      </c>
    </row>
    <row r="689" spans="1:4" x14ac:dyDescent="0.2">
      <c r="A689" t="s">
        <v>2595</v>
      </c>
      <c r="B689" s="2">
        <v>43111</v>
      </c>
      <c r="C689" t="s">
        <v>1836</v>
      </c>
      <c r="D689" t="s">
        <v>1031</v>
      </c>
    </row>
    <row r="690" spans="1:4" x14ac:dyDescent="0.2">
      <c r="A690" t="s">
        <v>2596</v>
      </c>
      <c r="B690" s="2">
        <v>42947</v>
      </c>
      <c r="C690" t="s">
        <v>1809</v>
      </c>
      <c r="D690" t="s">
        <v>1840</v>
      </c>
    </row>
    <row r="691" spans="1:4" x14ac:dyDescent="0.2">
      <c r="A691" t="s">
        <v>2597</v>
      </c>
      <c r="B691" s="2">
        <v>43215</v>
      </c>
      <c r="C691" t="s">
        <v>1909</v>
      </c>
      <c r="D691" t="s">
        <v>1829</v>
      </c>
    </row>
    <row r="692" spans="1:4" x14ac:dyDescent="0.2">
      <c r="A692" t="s">
        <v>2598</v>
      </c>
      <c r="B692" s="2">
        <v>43150</v>
      </c>
      <c r="C692" t="s">
        <v>1803</v>
      </c>
      <c r="D692" t="s">
        <v>1804</v>
      </c>
    </row>
    <row r="693" spans="1:4" x14ac:dyDescent="0.2">
      <c r="A693" t="s">
        <v>2599</v>
      </c>
      <c r="B693" s="2">
        <v>43144</v>
      </c>
      <c r="C693" t="s">
        <v>1930</v>
      </c>
      <c r="D693" t="s">
        <v>1807</v>
      </c>
    </row>
    <row r="694" spans="1:4" x14ac:dyDescent="0.2">
      <c r="A694" t="s">
        <v>2600</v>
      </c>
      <c r="B694" s="2">
        <v>43230</v>
      </c>
      <c r="C694" t="s">
        <v>1825</v>
      </c>
      <c r="D694" t="s">
        <v>1810</v>
      </c>
    </row>
    <row r="695" spans="1:4" x14ac:dyDescent="0.2">
      <c r="A695" t="s">
        <v>2601</v>
      </c>
      <c r="B695" s="2">
        <v>43215</v>
      </c>
      <c r="C695" t="s">
        <v>1909</v>
      </c>
      <c r="D695" t="s">
        <v>1840</v>
      </c>
    </row>
    <row r="696" spans="1:4" x14ac:dyDescent="0.2">
      <c r="A696" t="s">
        <v>2602</v>
      </c>
      <c r="B696" s="2">
        <v>43131</v>
      </c>
      <c r="C696" t="s">
        <v>1831</v>
      </c>
      <c r="D696" t="s">
        <v>160</v>
      </c>
    </row>
    <row r="697" spans="1:4" x14ac:dyDescent="0.2">
      <c r="A697" t="s">
        <v>2603</v>
      </c>
      <c r="B697" s="2">
        <v>43238</v>
      </c>
      <c r="C697" t="s">
        <v>1836</v>
      </c>
      <c r="D697" t="s">
        <v>1031</v>
      </c>
    </row>
    <row r="698" spans="1:4" x14ac:dyDescent="0.2">
      <c r="A698" t="s">
        <v>2604</v>
      </c>
      <c r="B698" s="2">
        <v>43211</v>
      </c>
      <c r="C698" t="s">
        <v>1905</v>
      </c>
      <c r="D698" t="s">
        <v>1807</v>
      </c>
    </row>
    <row r="699" spans="1:4" x14ac:dyDescent="0.2">
      <c r="A699" t="s">
        <v>2605</v>
      </c>
      <c r="B699" s="2">
        <v>43157</v>
      </c>
      <c r="C699" t="s">
        <v>2344</v>
      </c>
      <c r="D699" t="s">
        <v>1031</v>
      </c>
    </row>
    <row r="700" spans="1:4" x14ac:dyDescent="0.2">
      <c r="A700" t="s">
        <v>2606</v>
      </c>
      <c r="B700" s="2">
        <v>43174</v>
      </c>
      <c r="C700" t="s">
        <v>1809</v>
      </c>
      <c r="D700" t="s">
        <v>1810</v>
      </c>
    </row>
    <row r="701" spans="1:4" x14ac:dyDescent="0.2">
      <c r="A701" t="s">
        <v>2607</v>
      </c>
      <c r="B701" s="2">
        <v>43166</v>
      </c>
      <c r="C701" t="s">
        <v>2048</v>
      </c>
      <c r="D701" t="s">
        <v>1810</v>
      </c>
    </row>
    <row r="702" spans="1:4" x14ac:dyDescent="0.2">
      <c r="A702" t="s">
        <v>2608</v>
      </c>
      <c r="B702" s="2">
        <v>43192</v>
      </c>
      <c r="C702" t="s">
        <v>1836</v>
      </c>
      <c r="D702" t="s">
        <v>1807</v>
      </c>
    </row>
    <row r="703" spans="1:4" x14ac:dyDescent="0.2">
      <c r="A703" t="s">
        <v>2609</v>
      </c>
      <c r="B703" s="2">
        <v>42959</v>
      </c>
      <c r="C703" t="s">
        <v>1836</v>
      </c>
      <c r="D703" t="s">
        <v>1810</v>
      </c>
    </row>
    <row r="704" spans="1:4" x14ac:dyDescent="0.2">
      <c r="A704" t="s">
        <v>2610</v>
      </c>
      <c r="B704" s="2">
        <v>43241</v>
      </c>
      <c r="C704" t="s">
        <v>1836</v>
      </c>
      <c r="D704" t="s">
        <v>1031</v>
      </c>
    </row>
    <row r="705" spans="1:4" x14ac:dyDescent="0.2">
      <c r="A705" t="s">
        <v>2611</v>
      </c>
      <c r="B705" s="2">
        <v>43068</v>
      </c>
      <c r="C705" t="s">
        <v>2612</v>
      </c>
      <c r="D705" t="s">
        <v>1796</v>
      </c>
    </row>
    <row r="706" spans="1:4" x14ac:dyDescent="0.2">
      <c r="A706" t="s">
        <v>2613</v>
      </c>
      <c r="B706" s="2">
        <v>43133</v>
      </c>
      <c r="C706" t="s">
        <v>1836</v>
      </c>
      <c r="D706" t="s">
        <v>1840</v>
      </c>
    </row>
    <row r="707" spans="1:4" x14ac:dyDescent="0.2">
      <c r="A707" t="s">
        <v>2614</v>
      </c>
      <c r="B707" s="2">
        <v>43223</v>
      </c>
      <c r="C707" t="s">
        <v>1905</v>
      </c>
      <c r="D707" t="s">
        <v>1031</v>
      </c>
    </row>
    <row r="708" spans="1:4" x14ac:dyDescent="0.2">
      <c r="A708" t="s">
        <v>2615</v>
      </c>
      <c r="B708" s="2">
        <v>43208</v>
      </c>
      <c r="C708" t="s">
        <v>1863</v>
      </c>
      <c r="D708" t="s">
        <v>1840</v>
      </c>
    </row>
    <row r="709" spans="1:4" x14ac:dyDescent="0.2">
      <c r="A709" t="s">
        <v>2616</v>
      </c>
      <c r="B709" s="2">
        <v>43199</v>
      </c>
      <c r="C709" t="s">
        <v>2617</v>
      </c>
      <c r="D709" t="s">
        <v>1804</v>
      </c>
    </row>
    <row r="710" spans="1:4" x14ac:dyDescent="0.2">
      <c r="A710" t="s">
        <v>2618</v>
      </c>
      <c r="B710" s="2">
        <v>42962</v>
      </c>
      <c r="C710" t="s">
        <v>1894</v>
      </c>
      <c r="D710" t="s">
        <v>1804</v>
      </c>
    </row>
    <row r="711" spans="1:4" x14ac:dyDescent="0.2">
      <c r="A711" t="s">
        <v>2619</v>
      </c>
      <c r="B711" s="2">
        <v>43249</v>
      </c>
      <c r="C711" t="s">
        <v>2620</v>
      </c>
      <c r="D711" t="s">
        <v>1807</v>
      </c>
    </row>
    <row r="712" spans="1:4" x14ac:dyDescent="0.2">
      <c r="A712" t="s">
        <v>2621</v>
      </c>
      <c r="B712" s="2">
        <v>42966</v>
      </c>
      <c r="C712" t="s">
        <v>1878</v>
      </c>
      <c r="D712" t="s">
        <v>1810</v>
      </c>
    </row>
    <row r="713" spans="1:4" x14ac:dyDescent="0.2">
      <c r="A713" t="s">
        <v>2622</v>
      </c>
      <c r="B713" s="2">
        <v>43146</v>
      </c>
      <c r="C713" t="s">
        <v>1803</v>
      </c>
      <c r="D713" t="s">
        <v>1804</v>
      </c>
    </row>
    <row r="714" spans="1:4" x14ac:dyDescent="0.2">
      <c r="A714" t="s">
        <v>2623</v>
      </c>
      <c r="B714" s="2">
        <v>43138</v>
      </c>
      <c r="C714" t="s">
        <v>2054</v>
      </c>
      <c r="D714" t="s">
        <v>1807</v>
      </c>
    </row>
    <row r="715" spans="1:4" x14ac:dyDescent="0.2">
      <c r="A715" t="s">
        <v>2624</v>
      </c>
      <c r="B715" s="2">
        <v>42996</v>
      </c>
      <c r="C715" t="s">
        <v>2206</v>
      </c>
      <c r="D715" t="s">
        <v>1813</v>
      </c>
    </row>
    <row r="716" spans="1:4" x14ac:dyDescent="0.2">
      <c r="A716" t="s">
        <v>2625</v>
      </c>
      <c r="B716" s="2">
        <v>43188</v>
      </c>
      <c r="C716" t="s">
        <v>2206</v>
      </c>
      <c r="D716" t="s">
        <v>1810</v>
      </c>
    </row>
    <row r="717" spans="1:4" x14ac:dyDescent="0.2">
      <c r="A717" t="s">
        <v>2626</v>
      </c>
      <c r="B717" s="2">
        <v>43183</v>
      </c>
      <c r="C717" t="s">
        <v>1834</v>
      </c>
      <c r="D717" t="s">
        <v>1810</v>
      </c>
    </row>
    <row r="718" spans="1:4" x14ac:dyDescent="0.2">
      <c r="A718" t="s">
        <v>2627</v>
      </c>
      <c r="B718" s="2">
        <v>43125</v>
      </c>
      <c r="C718" t="s">
        <v>1825</v>
      </c>
      <c r="D718" t="s">
        <v>1813</v>
      </c>
    </row>
    <row r="719" spans="1:4" x14ac:dyDescent="0.2">
      <c r="A719" t="s">
        <v>2628</v>
      </c>
      <c r="B719" s="2">
        <v>43240</v>
      </c>
      <c r="C719" t="s">
        <v>1863</v>
      </c>
      <c r="D719" t="s">
        <v>1810</v>
      </c>
    </row>
    <row r="720" spans="1:4" x14ac:dyDescent="0.2">
      <c r="A720" t="s">
        <v>202</v>
      </c>
      <c r="B720" s="2">
        <v>43153</v>
      </c>
      <c r="C720" t="s">
        <v>2249</v>
      </c>
      <c r="D720" t="s">
        <v>1807</v>
      </c>
    </row>
    <row r="721" spans="1:4" x14ac:dyDescent="0.2">
      <c r="A721" t="s">
        <v>2629</v>
      </c>
      <c r="B721" s="2">
        <v>43084</v>
      </c>
      <c r="C721" t="s">
        <v>1867</v>
      </c>
      <c r="D721" t="s">
        <v>1810</v>
      </c>
    </row>
    <row r="722" spans="1:4" x14ac:dyDescent="0.2">
      <c r="A722" t="s">
        <v>205</v>
      </c>
      <c r="B722" s="2">
        <v>43105</v>
      </c>
      <c r="C722" t="s">
        <v>1816</v>
      </c>
      <c r="D722" t="s">
        <v>1810</v>
      </c>
    </row>
    <row r="723" spans="1:4" x14ac:dyDescent="0.2">
      <c r="A723" t="s">
        <v>2630</v>
      </c>
      <c r="B723" s="2">
        <v>43187</v>
      </c>
      <c r="C723" t="s">
        <v>1836</v>
      </c>
      <c r="D723" t="s">
        <v>1031</v>
      </c>
    </row>
    <row r="724" spans="1:4" x14ac:dyDescent="0.2">
      <c r="A724" t="s">
        <v>2631</v>
      </c>
      <c r="B724" s="2">
        <v>43104</v>
      </c>
      <c r="C724" t="s">
        <v>1803</v>
      </c>
      <c r="D724" t="s">
        <v>1804</v>
      </c>
    </row>
    <row r="725" spans="1:4" x14ac:dyDescent="0.2">
      <c r="A725" t="s">
        <v>2632</v>
      </c>
      <c r="B725" s="2">
        <v>43242</v>
      </c>
      <c r="C725" t="s">
        <v>1905</v>
      </c>
      <c r="D725" t="s">
        <v>1810</v>
      </c>
    </row>
    <row r="726" spans="1:4" x14ac:dyDescent="0.2">
      <c r="A726" t="s">
        <v>2633</v>
      </c>
      <c r="B726" s="2">
        <v>43172</v>
      </c>
      <c r="C726" t="s">
        <v>2303</v>
      </c>
      <c r="D726" t="s">
        <v>1810</v>
      </c>
    </row>
    <row r="727" spans="1:4" x14ac:dyDescent="0.2">
      <c r="A727" t="s">
        <v>207</v>
      </c>
      <c r="B727" s="2">
        <v>43147</v>
      </c>
      <c r="C727" t="s">
        <v>1816</v>
      </c>
      <c r="D727" t="s">
        <v>1810</v>
      </c>
    </row>
    <row r="728" spans="1:4" x14ac:dyDescent="0.2">
      <c r="A728" t="s">
        <v>2634</v>
      </c>
      <c r="B728" s="2">
        <v>43241</v>
      </c>
      <c r="C728" t="s">
        <v>1816</v>
      </c>
      <c r="D728" t="s">
        <v>1810</v>
      </c>
    </row>
    <row r="729" spans="1:4" x14ac:dyDescent="0.2">
      <c r="A729" t="s">
        <v>209</v>
      </c>
      <c r="B729" s="2">
        <v>43178</v>
      </c>
      <c r="C729" t="s">
        <v>2187</v>
      </c>
      <c r="D729" t="s">
        <v>1807</v>
      </c>
    </row>
    <row r="730" spans="1:4" x14ac:dyDescent="0.2">
      <c r="A730" t="s">
        <v>2635</v>
      </c>
      <c r="B730" s="2">
        <v>43058</v>
      </c>
      <c r="C730" t="s">
        <v>1816</v>
      </c>
      <c r="D730" t="s">
        <v>1807</v>
      </c>
    </row>
    <row r="731" spans="1:4" x14ac:dyDescent="0.2">
      <c r="A731" t="s">
        <v>2636</v>
      </c>
      <c r="B731" s="2">
        <v>43113</v>
      </c>
      <c r="C731" t="s">
        <v>1854</v>
      </c>
      <c r="D731" t="s">
        <v>1807</v>
      </c>
    </row>
    <row r="732" spans="1:4" x14ac:dyDescent="0.2">
      <c r="A732" t="s">
        <v>2637</v>
      </c>
      <c r="B732" s="2">
        <v>43227</v>
      </c>
      <c r="C732" t="s">
        <v>1809</v>
      </c>
      <c r="D732" t="s">
        <v>1810</v>
      </c>
    </row>
    <row r="733" spans="1:4" x14ac:dyDescent="0.2">
      <c r="A733" t="s">
        <v>2638</v>
      </c>
      <c r="B733" s="2">
        <v>43041</v>
      </c>
      <c r="C733" t="s">
        <v>1902</v>
      </c>
      <c r="D733" t="s">
        <v>1031</v>
      </c>
    </row>
    <row r="734" spans="1:4" x14ac:dyDescent="0.2">
      <c r="A734" t="s">
        <v>2639</v>
      </c>
      <c r="B734" s="2">
        <v>43168</v>
      </c>
      <c r="C734" t="s">
        <v>1907</v>
      </c>
      <c r="D734" t="s">
        <v>1807</v>
      </c>
    </row>
    <row r="735" spans="1:4" x14ac:dyDescent="0.2">
      <c r="A735" t="s">
        <v>2640</v>
      </c>
      <c r="B735" s="2">
        <v>43167</v>
      </c>
      <c r="C735" t="s">
        <v>1930</v>
      </c>
      <c r="D735" t="s">
        <v>1807</v>
      </c>
    </row>
    <row r="736" spans="1:4" x14ac:dyDescent="0.2">
      <c r="A736" t="s">
        <v>2641</v>
      </c>
      <c r="B736" s="2">
        <v>43161</v>
      </c>
      <c r="C736" t="s">
        <v>1907</v>
      </c>
      <c r="D736" t="s">
        <v>1807</v>
      </c>
    </row>
    <row r="737" spans="1:4" x14ac:dyDescent="0.2">
      <c r="A737" t="s">
        <v>2642</v>
      </c>
      <c r="B737" s="2">
        <v>43241</v>
      </c>
      <c r="C737" t="s">
        <v>2643</v>
      </c>
      <c r="D737" t="s">
        <v>1810</v>
      </c>
    </row>
    <row r="738" spans="1:4" x14ac:dyDescent="0.2">
      <c r="A738" t="s">
        <v>2644</v>
      </c>
      <c r="B738" s="2">
        <v>43192</v>
      </c>
      <c r="C738" t="s">
        <v>2645</v>
      </c>
      <c r="D738" t="s">
        <v>1796</v>
      </c>
    </row>
    <row r="739" spans="1:4" x14ac:dyDescent="0.2">
      <c r="A739" t="s">
        <v>2646</v>
      </c>
      <c r="B739" s="2">
        <v>42989</v>
      </c>
      <c r="C739" t="s">
        <v>1971</v>
      </c>
      <c r="D739" t="s">
        <v>1813</v>
      </c>
    </row>
    <row r="740" spans="1:4" x14ac:dyDescent="0.2">
      <c r="A740" t="s">
        <v>2647</v>
      </c>
      <c r="B740" s="2">
        <v>43164</v>
      </c>
      <c r="C740" t="s">
        <v>1803</v>
      </c>
      <c r="D740" t="s">
        <v>1804</v>
      </c>
    </row>
    <row r="741" spans="1:4" x14ac:dyDescent="0.2">
      <c r="A741" t="s">
        <v>2648</v>
      </c>
      <c r="B741" s="2">
        <v>43245</v>
      </c>
      <c r="C741" t="s">
        <v>1905</v>
      </c>
      <c r="D741" t="s">
        <v>1807</v>
      </c>
    </row>
    <row r="742" spans="1:4" x14ac:dyDescent="0.2">
      <c r="A742" t="s">
        <v>2649</v>
      </c>
      <c r="B742" s="2">
        <v>43053</v>
      </c>
      <c r="C742" t="s">
        <v>2650</v>
      </c>
      <c r="D742" t="s">
        <v>1810</v>
      </c>
    </row>
    <row r="743" spans="1:4" x14ac:dyDescent="0.2">
      <c r="A743" t="s">
        <v>2651</v>
      </c>
      <c r="B743" s="2">
        <v>43125</v>
      </c>
      <c r="C743" t="s">
        <v>1905</v>
      </c>
      <c r="D743" t="s">
        <v>1810</v>
      </c>
    </row>
    <row r="744" spans="1:4" x14ac:dyDescent="0.2">
      <c r="A744" t="s">
        <v>2652</v>
      </c>
      <c r="B744" s="2">
        <v>43003</v>
      </c>
      <c r="C744" t="s">
        <v>1892</v>
      </c>
      <c r="D744" t="s">
        <v>1810</v>
      </c>
    </row>
    <row r="745" spans="1:4" x14ac:dyDescent="0.2">
      <c r="A745" t="s">
        <v>2653</v>
      </c>
      <c r="B745" s="2">
        <v>43223</v>
      </c>
      <c r="C745" t="s">
        <v>1998</v>
      </c>
      <c r="D745" t="s">
        <v>1807</v>
      </c>
    </row>
    <row r="746" spans="1:4" x14ac:dyDescent="0.2">
      <c r="A746" t="s">
        <v>2654</v>
      </c>
      <c r="B746" s="2">
        <v>43222</v>
      </c>
      <c r="C746" t="s">
        <v>1828</v>
      </c>
      <c r="D746" t="s">
        <v>1810</v>
      </c>
    </row>
    <row r="747" spans="1:4" x14ac:dyDescent="0.2">
      <c r="A747" t="s">
        <v>2655</v>
      </c>
      <c r="B747" s="2">
        <v>43249</v>
      </c>
      <c r="C747" t="s">
        <v>1836</v>
      </c>
      <c r="D747" t="s">
        <v>1031</v>
      </c>
    </row>
    <row r="748" spans="1:4" x14ac:dyDescent="0.2">
      <c r="A748" t="s">
        <v>2656</v>
      </c>
      <c r="B748" s="2">
        <v>43026</v>
      </c>
      <c r="C748" t="s">
        <v>2657</v>
      </c>
      <c r="D748" t="s">
        <v>1810</v>
      </c>
    </row>
    <row r="749" spans="1:4" x14ac:dyDescent="0.2">
      <c r="A749" t="s">
        <v>2658</v>
      </c>
      <c r="B749" s="2">
        <v>43244</v>
      </c>
      <c r="C749" t="s">
        <v>1863</v>
      </c>
      <c r="D749" t="s">
        <v>1804</v>
      </c>
    </row>
    <row r="750" spans="1:4" x14ac:dyDescent="0.2">
      <c r="A750" t="s">
        <v>2659</v>
      </c>
      <c r="B750" s="2">
        <v>43222</v>
      </c>
      <c r="C750" t="s">
        <v>1865</v>
      </c>
      <c r="D750" t="s">
        <v>1810</v>
      </c>
    </row>
    <row r="751" spans="1:4" x14ac:dyDescent="0.2">
      <c r="A751" t="s">
        <v>211</v>
      </c>
      <c r="B751" s="2">
        <v>43194</v>
      </c>
      <c r="C751" t="s">
        <v>1863</v>
      </c>
      <c r="D751" t="s">
        <v>1804</v>
      </c>
    </row>
    <row r="752" spans="1:4" x14ac:dyDescent="0.2">
      <c r="A752" t="s">
        <v>2660</v>
      </c>
      <c r="B752" s="2">
        <v>43154</v>
      </c>
      <c r="C752" t="s">
        <v>1867</v>
      </c>
      <c r="D752" t="s">
        <v>1031</v>
      </c>
    </row>
    <row r="753" spans="1:4" x14ac:dyDescent="0.2">
      <c r="A753" t="s">
        <v>2661</v>
      </c>
      <c r="B753" s="2">
        <v>43062</v>
      </c>
      <c r="C753" t="s">
        <v>1825</v>
      </c>
      <c r="D753" t="s">
        <v>1810</v>
      </c>
    </row>
    <row r="754" spans="1:4" x14ac:dyDescent="0.2">
      <c r="A754" t="s">
        <v>2662</v>
      </c>
      <c r="B754" s="2">
        <v>43235</v>
      </c>
      <c r="C754" t="s">
        <v>1867</v>
      </c>
      <c r="D754" t="s">
        <v>1813</v>
      </c>
    </row>
    <row r="755" spans="1:4" x14ac:dyDescent="0.2">
      <c r="A755" t="s">
        <v>2663</v>
      </c>
      <c r="B755" s="2">
        <v>43222</v>
      </c>
      <c r="C755" t="s">
        <v>1857</v>
      </c>
      <c r="D755" t="s">
        <v>1804</v>
      </c>
    </row>
    <row r="756" spans="1:4" x14ac:dyDescent="0.2">
      <c r="A756" t="s">
        <v>2664</v>
      </c>
      <c r="B756" s="2">
        <v>43198</v>
      </c>
      <c r="C756" t="s">
        <v>1816</v>
      </c>
      <c r="D756" t="s">
        <v>1810</v>
      </c>
    </row>
    <row r="757" spans="1:4" x14ac:dyDescent="0.2">
      <c r="A757" t="s">
        <v>2665</v>
      </c>
      <c r="B757" s="2">
        <v>43164</v>
      </c>
      <c r="C757" t="s">
        <v>2666</v>
      </c>
      <c r="D757" t="s">
        <v>1807</v>
      </c>
    </row>
    <row r="758" spans="1:4" x14ac:dyDescent="0.2">
      <c r="A758" t="s">
        <v>2667</v>
      </c>
      <c r="B758" s="2">
        <v>43045</v>
      </c>
      <c r="C758" t="s">
        <v>1836</v>
      </c>
      <c r="D758" t="s">
        <v>1031</v>
      </c>
    </row>
    <row r="759" spans="1:4" x14ac:dyDescent="0.2">
      <c r="A759" t="s">
        <v>2668</v>
      </c>
      <c r="B759" s="2">
        <v>43174</v>
      </c>
      <c r="C759" t="s">
        <v>2669</v>
      </c>
      <c r="D759" t="s">
        <v>1810</v>
      </c>
    </row>
    <row r="760" spans="1:4" x14ac:dyDescent="0.2">
      <c r="A760" t="s">
        <v>2670</v>
      </c>
      <c r="B760" s="2">
        <v>43107</v>
      </c>
      <c r="C760" t="s">
        <v>1803</v>
      </c>
      <c r="D760" t="s">
        <v>1804</v>
      </c>
    </row>
    <row r="761" spans="1:4" x14ac:dyDescent="0.2">
      <c r="A761" t="s">
        <v>2671</v>
      </c>
      <c r="B761" s="2">
        <v>43235</v>
      </c>
      <c r="C761" t="s">
        <v>1816</v>
      </c>
      <c r="D761" t="s">
        <v>1810</v>
      </c>
    </row>
    <row r="762" spans="1:4" x14ac:dyDescent="0.2">
      <c r="A762" t="s">
        <v>2672</v>
      </c>
      <c r="B762" s="2">
        <v>42981</v>
      </c>
      <c r="C762" t="s">
        <v>1816</v>
      </c>
      <c r="D762" t="s">
        <v>1840</v>
      </c>
    </row>
    <row r="763" spans="1:4" x14ac:dyDescent="0.2">
      <c r="A763" t="s">
        <v>2673</v>
      </c>
      <c r="B763" s="2">
        <v>43063</v>
      </c>
      <c r="C763" t="s">
        <v>2187</v>
      </c>
      <c r="D763" t="s">
        <v>1807</v>
      </c>
    </row>
    <row r="764" spans="1:4" x14ac:dyDescent="0.2">
      <c r="A764" t="s">
        <v>2674</v>
      </c>
      <c r="B764" s="2">
        <v>43038</v>
      </c>
      <c r="C764" t="s">
        <v>1902</v>
      </c>
      <c r="D764" t="s">
        <v>1031</v>
      </c>
    </row>
    <row r="765" spans="1:4" x14ac:dyDescent="0.2">
      <c r="A765" t="s">
        <v>2675</v>
      </c>
      <c r="B765" s="2">
        <v>43098</v>
      </c>
      <c r="C765" t="s">
        <v>1831</v>
      </c>
      <c r="D765" t="s">
        <v>1829</v>
      </c>
    </row>
    <row r="766" spans="1:4" x14ac:dyDescent="0.2">
      <c r="A766" t="s">
        <v>2676</v>
      </c>
      <c r="B766" s="2">
        <v>43056</v>
      </c>
      <c r="C766" t="s">
        <v>2187</v>
      </c>
      <c r="D766" t="s">
        <v>1807</v>
      </c>
    </row>
    <row r="767" spans="1:4" x14ac:dyDescent="0.2">
      <c r="A767" t="s">
        <v>2677</v>
      </c>
      <c r="B767" s="2">
        <v>43175</v>
      </c>
      <c r="C767" t="s">
        <v>1867</v>
      </c>
      <c r="D767" t="s">
        <v>1829</v>
      </c>
    </row>
    <row r="768" spans="1:4" x14ac:dyDescent="0.2">
      <c r="A768" t="s">
        <v>213</v>
      </c>
      <c r="B768" s="2">
        <v>43195</v>
      </c>
      <c r="C768" t="s">
        <v>1816</v>
      </c>
      <c r="D768" t="s">
        <v>1810</v>
      </c>
    </row>
    <row r="769" spans="1:4" x14ac:dyDescent="0.2">
      <c r="A769" t="s">
        <v>215</v>
      </c>
      <c r="B769" s="2">
        <v>43145</v>
      </c>
      <c r="C769" t="s">
        <v>2349</v>
      </c>
      <c r="D769" t="s">
        <v>1840</v>
      </c>
    </row>
    <row r="770" spans="1:4" x14ac:dyDescent="0.2">
      <c r="A770" t="s">
        <v>217</v>
      </c>
      <c r="B770" s="2">
        <v>43123</v>
      </c>
      <c r="C770" t="s">
        <v>1836</v>
      </c>
      <c r="D770" t="s">
        <v>1031</v>
      </c>
    </row>
    <row r="771" spans="1:4" x14ac:dyDescent="0.2">
      <c r="A771" t="s">
        <v>2678</v>
      </c>
      <c r="B771" s="2">
        <v>42937</v>
      </c>
      <c r="C771" t="s">
        <v>2679</v>
      </c>
      <c r="D771" t="s">
        <v>1810</v>
      </c>
    </row>
    <row r="772" spans="1:4" x14ac:dyDescent="0.2">
      <c r="A772" t="s">
        <v>2680</v>
      </c>
      <c r="B772" s="2">
        <v>42991</v>
      </c>
      <c r="C772" t="s">
        <v>2276</v>
      </c>
      <c r="D772" t="s">
        <v>1813</v>
      </c>
    </row>
    <row r="773" spans="1:4" x14ac:dyDescent="0.2">
      <c r="A773" t="s">
        <v>2681</v>
      </c>
      <c r="B773" s="2">
        <v>43235</v>
      </c>
      <c r="C773" t="s">
        <v>1836</v>
      </c>
      <c r="D773" t="s">
        <v>1031</v>
      </c>
    </row>
    <row r="774" spans="1:4" x14ac:dyDescent="0.2">
      <c r="A774" t="s">
        <v>2682</v>
      </c>
      <c r="B774" s="2">
        <v>43039</v>
      </c>
      <c r="C774" t="s">
        <v>2683</v>
      </c>
      <c r="D774" t="s">
        <v>1807</v>
      </c>
    </row>
    <row r="775" spans="1:4" x14ac:dyDescent="0.2">
      <c r="A775" t="s">
        <v>2684</v>
      </c>
      <c r="B775" s="2">
        <v>43221</v>
      </c>
      <c r="C775" t="s">
        <v>1857</v>
      </c>
      <c r="D775" t="s">
        <v>1804</v>
      </c>
    </row>
    <row r="776" spans="1:4" x14ac:dyDescent="0.2">
      <c r="A776" t="s">
        <v>2685</v>
      </c>
      <c r="B776" s="2">
        <v>43230</v>
      </c>
      <c r="C776" t="s">
        <v>1998</v>
      </c>
      <c r="D776" t="s">
        <v>1807</v>
      </c>
    </row>
    <row r="777" spans="1:4" x14ac:dyDescent="0.2">
      <c r="A777" t="s">
        <v>2686</v>
      </c>
      <c r="B777" s="2">
        <v>43215</v>
      </c>
      <c r="C777" t="s">
        <v>1816</v>
      </c>
      <c r="D777" t="s">
        <v>1031</v>
      </c>
    </row>
    <row r="778" spans="1:4" x14ac:dyDescent="0.2">
      <c r="A778" t="s">
        <v>2687</v>
      </c>
      <c r="B778" s="2">
        <v>43030</v>
      </c>
      <c r="C778" t="s">
        <v>1987</v>
      </c>
      <c r="D778" t="s">
        <v>1807</v>
      </c>
    </row>
    <row r="779" spans="1:4" x14ac:dyDescent="0.2">
      <c r="A779" t="s">
        <v>2688</v>
      </c>
      <c r="B779" s="2">
        <v>42966</v>
      </c>
      <c r="C779" t="s">
        <v>1825</v>
      </c>
      <c r="D779" t="s">
        <v>1810</v>
      </c>
    </row>
    <row r="780" spans="1:4" x14ac:dyDescent="0.2">
      <c r="A780" t="s">
        <v>2689</v>
      </c>
      <c r="B780" s="2">
        <v>43203</v>
      </c>
      <c r="C780" t="s">
        <v>2690</v>
      </c>
      <c r="D780" t="s">
        <v>160</v>
      </c>
    </row>
    <row r="781" spans="1:4" x14ac:dyDescent="0.2">
      <c r="A781" t="s">
        <v>2691</v>
      </c>
      <c r="B781" s="2">
        <v>43231</v>
      </c>
      <c r="C781" t="s">
        <v>1863</v>
      </c>
      <c r="D781" t="s">
        <v>1804</v>
      </c>
    </row>
    <row r="782" spans="1:4" x14ac:dyDescent="0.2">
      <c r="A782" t="s">
        <v>2692</v>
      </c>
      <c r="B782" s="2">
        <v>43064</v>
      </c>
      <c r="C782" t="s">
        <v>1816</v>
      </c>
      <c r="D782" t="s">
        <v>1807</v>
      </c>
    </row>
    <row r="783" spans="1:4" x14ac:dyDescent="0.2">
      <c r="A783" t="s">
        <v>2693</v>
      </c>
      <c r="B783" s="2">
        <v>43165</v>
      </c>
      <c r="C783" t="s">
        <v>1867</v>
      </c>
      <c r="D783" t="s">
        <v>1840</v>
      </c>
    </row>
    <row r="784" spans="1:4" x14ac:dyDescent="0.2">
      <c r="A784" t="s">
        <v>2694</v>
      </c>
      <c r="B784" s="2">
        <v>43195</v>
      </c>
      <c r="C784" t="s">
        <v>1873</v>
      </c>
      <c r="D784" t="s">
        <v>1807</v>
      </c>
    </row>
    <row r="785" spans="1:4" x14ac:dyDescent="0.2">
      <c r="A785" t="s">
        <v>2695</v>
      </c>
      <c r="B785" s="2">
        <v>43162</v>
      </c>
      <c r="C785" t="s">
        <v>1996</v>
      </c>
      <c r="D785" t="s">
        <v>1807</v>
      </c>
    </row>
    <row r="786" spans="1:4" x14ac:dyDescent="0.2">
      <c r="A786" t="s">
        <v>2696</v>
      </c>
      <c r="B786" s="2">
        <v>43042</v>
      </c>
      <c r="C786" t="s">
        <v>2182</v>
      </c>
      <c r="D786" t="s">
        <v>1813</v>
      </c>
    </row>
    <row r="787" spans="1:4" x14ac:dyDescent="0.2">
      <c r="A787" t="s">
        <v>2697</v>
      </c>
      <c r="B787" s="2">
        <v>43251</v>
      </c>
      <c r="C787" t="s">
        <v>2698</v>
      </c>
      <c r="D787" t="s">
        <v>1031</v>
      </c>
    </row>
    <row r="788" spans="1:4" x14ac:dyDescent="0.2">
      <c r="A788" t="s">
        <v>2699</v>
      </c>
      <c r="B788" s="2">
        <v>43095</v>
      </c>
      <c r="C788" t="s">
        <v>1902</v>
      </c>
      <c r="D788" t="s">
        <v>1810</v>
      </c>
    </row>
    <row r="789" spans="1:4" x14ac:dyDescent="0.2">
      <c r="A789" t="s">
        <v>2700</v>
      </c>
      <c r="B789" s="2">
        <v>43180</v>
      </c>
      <c r="C789" t="s">
        <v>1993</v>
      </c>
      <c r="D789" t="s">
        <v>1813</v>
      </c>
    </row>
    <row r="790" spans="1:4" x14ac:dyDescent="0.2">
      <c r="A790" t="s">
        <v>2701</v>
      </c>
      <c r="B790" s="2">
        <v>43062</v>
      </c>
      <c r="C790" t="s">
        <v>1836</v>
      </c>
      <c r="D790" t="s">
        <v>1810</v>
      </c>
    </row>
    <row r="791" spans="1:4" x14ac:dyDescent="0.2">
      <c r="A791" t="s">
        <v>219</v>
      </c>
      <c r="B791" s="2">
        <v>43244</v>
      </c>
      <c r="C791" t="s">
        <v>1930</v>
      </c>
      <c r="D791" t="s">
        <v>1807</v>
      </c>
    </row>
    <row r="792" spans="1:4" x14ac:dyDescent="0.2">
      <c r="A792" t="s">
        <v>2702</v>
      </c>
      <c r="B792" s="2">
        <v>43014</v>
      </c>
      <c r="C792" t="s">
        <v>1806</v>
      </c>
      <c r="D792" t="s">
        <v>1807</v>
      </c>
    </row>
    <row r="793" spans="1:4" x14ac:dyDescent="0.2">
      <c r="A793" t="s">
        <v>2703</v>
      </c>
      <c r="B793" s="2">
        <v>42955</v>
      </c>
      <c r="C793" t="s">
        <v>1825</v>
      </c>
      <c r="D793" t="s">
        <v>1804</v>
      </c>
    </row>
    <row r="794" spans="1:4" x14ac:dyDescent="0.2">
      <c r="A794" t="s">
        <v>2704</v>
      </c>
      <c r="B794" s="2">
        <v>42982</v>
      </c>
      <c r="C794" t="s">
        <v>2576</v>
      </c>
      <c r="D794" t="s">
        <v>1031</v>
      </c>
    </row>
    <row r="795" spans="1:4" x14ac:dyDescent="0.2">
      <c r="A795" t="s">
        <v>2705</v>
      </c>
      <c r="B795" s="2">
        <v>43227</v>
      </c>
      <c r="C795" t="s">
        <v>1863</v>
      </c>
      <c r="D795" t="s">
        <v>1804</v>
      </c>
    </row>
    <row r="796" spans="1:4" x14ac:dyDescent="0.2">
      <c r="A796" t="s">
        <v>2706</v>
      </c>
      <c r="B796" s="2">
        <v>43205</v>
      </c>
      <c r="C796" t="s">
        <v>1863</v>
      </c>
      <c r="D796" t="s">
        <v>1804</v>
      </c>
    </row>
    <row r="797" spans="1:4" x14ac:dyDescent="0.2">
      <c r="A797" t="s">
        <v>2707</v>
      </c>
      <c r="B797" s="2">
        <v>43150</v>
      </c>
      <c r="C797" t="s">
        <v>1987</v>
      </c>
      <c r="D797" t="s">
        <v>1810</v>
      </c>
    </row>
    <row r="798" spans="1:4" x14ac:dyDescent="0.2">
      <c r="A798" t="s">
        <v>2708</v>
      </c>
      <c r="B798" s="2">
        <v>42979</v>
      </c>
      <c r="C798" t="s">
        <v>1894</v>
      </c>
      <c r="D798" t="s">
        <v>1031</v>
      </c>
    </row>
    <row r="799" spans="1:4" x14ac:dyDescent="0.2">
      <c r="A799" t="s">
        <v>2709</v>
      </c>
      <c r="B799" s="2">
        <v>43122</v>
      </c>
      <c r="C799" t="s">
        <v>1816</v>
      </c>
      <c r="D799" t="s">
        <v>1810</v>
      </c>
    </row>
    <row r="800" spans="1:4" x14ac:dyDescent="0.2">
      <c r="A800" t="s">
        <v>2710</v>
      </c>
      <c r="B800" s="2">
        <v>43133</v>
      </c>
      <c r="C800" t="s">
        <v>1809</v>
      </c>
      <c r="D800" t="s">
        <v>1810</v>
      </c>
    </row>
    <row r="801" spans="1:4" x14ac:dyDescent="0.2">
      <c r="A801" t="s">
        <v>2711</v>
      </c>
      <c r="B801" s="2">
        <v>43125</v>
      </c>
      <c r="C801" t="s">
        <v>1809</v>
      </c>
      <c r="D801" t="s">
        <v>1840</v>
      </c>
    </row>
    <row r="802" spans="1:4" x14ac:dyDescent="0.2">
      <c r="A802" t="s">
        <v>2712</v>
      </c>
      <c r="B802" s="2">
        <v>42944</v>
      </c>
      <c r="C802" t="s">
        <v>1865</v>
      </c>
      <c r="D802" t="s">
        <v>1807</v>
      </c>
    </row>
    <row r="803" spans="1:4" x14ac:dyDescent="0.2">
      <c r="A803" t="s">
        <v>2713</v>
      </c>
      <c r="B803" s="2">
        <v>43116</v>
      </c>
      <c r="C803" t="s">
        <v>1885</v>
      </c>
      <c r="D803" t="s">
        <v>1807</v>
      </c>
    </row>
    <row r="804" spans="1:4" x14ac:dyDescent="0.2">
      <c r="A804" t="s">
        <v>2714</v>
      </c>
      <c r="B804" s="2">
        <v>43147</v>
      </c>
      <c r="C804" t="s">
        <v>1825</v>
      </c>
      <c r="D804" t="s">
        <v>1813</v>
      </c>
    </row>
    <row r="805" spans="1:4" x14ac:dyDescent="0.2">
      <c r="A805" t="s">
        <v>2715</v>
      </c>
      <c r="B805" s="2">
        <v>42924</v>
      </c>
      <c r="C805" t="s">
        <v>2716</v>
      </c>
      <c r="D805" t="s">
        <v>1829</v>
      </c>
    </row>
    <row r="806" spans="1:4" x14ac:dyDescent="0.2">
      <c r="A806" t="s">
        <v>2717</v>
      </c>
      <c r="B806" s="2">
        <v>43219</v>
      </c>
      <c r="C806" t="s">
        <v>1809</v>
      </c>
      <c r="D806" t="s">
        <v>1810</v>
      </c>
    </row>
    <row r="807" spans="1:4" x14ac:dyDescent="0.2">
      <c r="A807" t="s">
        <v>2718</v>
      </c>
      <c r="B807" s="2">
        <v>42977</v>
      </c>
      <c r="C807" t="s">
        <v>1843</v>
      </c>
      <c r="D807" t="s">
        <v>1807</v>
      </c>
    </row>
    <row r="808" spans="1:4" x14ac:dyDescent="0.2">
      <c r="A808" t="s">
        <v>2719</v>
      </c>
      <c r="B808" s="2">
        <v>43182</v>
      </c>
      <c r="C808" t="s">
        <v>1863</v>
      </c>
      <c r="D808" t="s">
        <v>1804</v>
      </c>
    </row>
    <row r="809" spans="1:4" x14ac:dyDescent="0.2">
      <c r="A809" t="s">
        <v>2720</v>
      </c>
      <c r="B809" s="2">
        <v>43034</v>
      </c>
      <c r="C809" t="s">
        <v>1836</v>
      </c>
      <c r="D809" t="s">
        <v>1849</v>
      </c>
    </row>
    <row r="810" spans="1:4" x14ac:dyDescent="0.2">
      <c r="A810" t="s">
        <v>2721</v>
      </c>
      <c r="B810" s="2">
        <v>43193</v>
      </c>
      <c r="C810" t="s">
        <v>1825</v>
      </c>
      <c r="D810" t="s">
        <v>1810</v>
      </c>
    </row>
    <row r="811" spans="1:4" x14ac:dyDescent="0.2">
      <c r="A811" t="s">
        <v>2722</v>
      </c>
      <c r="B811" s="2">
        <v>43108</v>
      </c>
      <c r="C811" t="s">
        <v>1836</v>
      </c>
      <c r="D811" t="s">
        <v>1031</v>
      </c>
    </row>
    <row r="812" spans="1:4" x14ac:dyDescent="0.2">
      <c r="A812" t="s">
        <v>2723</v>
      </c>
      <c r="B812" s="2">
        <v>42947</v>
      </c>
      <c r="C812" t="s">
        <v>2407</v>
      </c>
      <c r="D812" t="s">
        <v>1031</v>
      </c>
    </row>
    <row r="813" spans="1:4" x14ac:dyDescent="0.2">
      <c r="A813" t="s">
        <v>2724</v>
      </c>
      <c r="B813" s="2">
        <v>43201</v>
      </c>
      <c r="C813" t="s">
        <v>1836</v>
      </c>
      <c r="D813" t="s">
        <v>1840</v>
      </c>
    </row>
    <row r="814" spans="1:4" x14ac:dyDescent="0.2">
      <c r="A814" t="s">
        <v>2725</v>
      </c>
      <c r="B814" s="2">
        <v>43231</v>
      </c>
      <c r="C814" t="s">
        <v>1836</v>
      </c>
      <c r="D814" t="s">
        <v>1031</v>
      </c>
    </row>
    <row r="815" spans="1:4" x14ac:dyDescent="0.2">
      <c r="A815" t="s">
        <v>2726</v>
      </c>
      <c r="B815" s="2">
        <v>43200</v>
      </c>
      <c r="C815" t="s">
        <v>1863</v>
      </c>
      <c r="D815" t="s">
        <v>1804</v>
      </c>
    </row>
    <row r="816" spans="1:4" x14ac:dyDescent="0.2">
      <c r="A816" t="s">
        <v>2727</v>
      </c>
      <c r="B816" s="2">
        <v>43248</v>
      </c>
      <c r="C816" t="s">
        <v>1863</v>
      </c>
      <c r="D816" t="s">
        <v>1804</v>
      </c>
    </row>
    <row r="817" spans="1:4" x14ac:dyDescent="0.2">
      <c r="A817" t="s">
        <v>2728</v>
      </c>
      <c r="B817" s="2">
        <v>43210</v>
      </c>
      <c r="C817" t="s">
        <v>1863</v>
      </c>
      <c r="D817" t="s">
        <v>1804</v>
      </c>
    </row>
    <row r="818" spans="1:4" x14ac:dyDescent="0.2">
      <c r="A818" t="s">
        <v>2729</v>
      </c>
      <c r="B818" s="2">
        <v>43196</v>
      </c>
      <c r="C818" t="s">
        <v>1816</v>
      </c>
      <c r="D818" t="s">
        <v>1840</v>
      </c>
    </row>
    <row r="819" spans="1:4" x14ac:dyDescent="0.2">
      <c r="A819" t="s">
        <v>2730</v>
      </c>
      <c r="B819" s="2">
        <v>43188</v>
      </c>
      <c r="C819" t="s">
        <v>1806</v>
      </c>
      <c r="D819" t="s">
        <v>1807</v>
      </c>
    </row>
    <row r="820" spans="1:4" x14ac:dyDescent="0.2">
      <c r="A820" t="s">
        <v>2731</v>
      </c>
      <c r="B820" s="2">
        <v>43146</v>
      </c>
      <c r="C820" t="s">
        <v>1836</v>
      </c>
      <c r="D820" t="s">
        <v>1810</v>
      </c>
    </row>
    <row r="821" spans="1:4" x14ac:dyDescent="0.2">
      <c r="A821" t="s">
        <v>2732</v>
      </c>
      <c r="B821" s="2">
        <v>43220</v>
      </c>
      <c r="C821" t="s">
        <v>1865</v>
      </c>
      <c r="D821" t="s">
        <v>1810</v>
      </c>
    </row>
    <row r="822" spans="1:4" x14ac:dyDescent="0.2">
      <c r="A822" t="s">
        <v>222</v>
      </c>
      <c r="B822" s="2">
        <v>43182</v>
      </c>
      <c r="C822" t="s">
        <v>1907</v>
      </c>
      <c r="D822" t="s">
        <v>1807</v>
      </c>
    </row>
    <row r="823" spans="1:4" x14ac:dyDescent="0.2">
      <c r="A823" t="s">
        <v>2733</v>
      </c>
      <c r="B823" s="2">
        <v>43161</v>
      </c>
      <c r="C823" t="s">
        <v>2734</v>
      </c>
      <c r="D823" t="s">
        <v>1840</v>
      </c>
    </row>
    <row r="824" spans="1:4" x14ac:dyDescent="0.2">
      <c r="A824" t="s">
        <v>2735</v>
      </c>
      <c r="B824" s="2">
        <v>43060</v>
      </c>
      <c r="C824" t="s">
        <v>1836</v>
      </c>
      <c r="D824" t="s">
        <v>1031</v>
      </c>
    </row>
    <row r="825" spans="1:4" x14ac:dyDescent="0.2">
      <c r="A825" t="s">
        <v>2736</v>
      </c>
      <c r="B825" s="2">
        <v>43208</v>
      </c>
      <c r="C825" t="s">
        <v>2690</v>
      </c>
      <c r="D825" t="s">
        <v>1810</v>
      </c>
    </row>
    <row r="826" spans="1:4" x14ac:dyDescent="0.2">
      <c r="A826" t="s">
        <v>2737</v>
      </c>
      <c r="B826" s="2">
        <v>43225</v>
      </c>
      <c r="C826" t="s">
        <v>1998</v>
      </c>
      <c r="D826" t="s">
        <v>1807</v>
      </c>
    </row>
    <row r="827" spans="1:4" x14ac:dyDescent="0.2">
      <c r="A827" t="s">
        <v>2738</v>
      </c>
      <c r="B827" s="2">
        <v>43182</v>
      </c>
      <c r="C827" t="s">
        <v>1905</v>
      </c>
      <c r="D827" t="s">
        <v>1810</v>
      </c>
    </row>
    <row r="828" spans="1:4" x14ac:dyDescent="0.2">
      <c r="A828" t="s">
        <v>2739</v>
      </c>
      <c r="B828" s="2">
        <v>43251</v>
      </c>
      <c r="C828" t="s">
        <v>2740</v>
      </c>
      <c r="D828" t="s">
        <v>1810</v>
      </c>
    </row>
    <row r="829" spans="1:4" x14ac:dyDescent="0.2">
      <c r="A829" t="s">
        <v>2741</v>
      </c>
      <c r="B829" s="2">
        <v>42963</v>
      </c>
      <c r="C829" t="s">
        <v>1867</v>
      </c>
      <c r="D829" t="s">
        <v>1031</v>
      </c>
    </row>
    <row r="830" spans="1:4" x14ac:dyDescent="0.2">
      <c r="A830" t="s">
        <v>226</v>
      </c>
      <c r="B830" s="2">
        <v>43159</v>
      </c>
      <c r="C830" t="s">
        <v>1836</v>
      </c>
      <c r="D830" t="s">
        <v>1031</v>
      </c>
    </row>
    <row r="831" spans="1:4" x14ac:dyDescent="0.2">
      <c r="A831" t="s">
        <v>2742</v>
      </c>
      <c r="B831" s="2">
        <v>43202</v>
      </c>
      <c r="C831" t="s">
        <v>1836</v>
      </c>
      <c r="D831" t="s">
        <v>1031</v>
      </c>
    </row>
    <row r="832" spans="1:4" x14ac:dyDescent="0.2">
      <c r="A832" t="s">
        <v>228</v>
      </c>
      <c r="B832" s="2">
        <v>43103</v>
      </c>
      <c r="C832" t="s">
        <v>1836</v>
      </c>
      <c r="D832" t="s">
        <v>1031</v>
      </c>
    </row>
    <row r="833" spans="1:4" x14ac:dyDescent="0.2">
      <c r="A833" t="s">
        <v>2743</v>
      </c>
      <c r="B833" s="2">
        <v>42942</v>
      </c>
      <c r="C833" t="s">
        <v>2679</v>
      </c>
      <c r="D833" t="s">
        <v>1031</v>
      </c>
    </row>
    <row r="834" spans="1:4" x14ac:dyDescent="0.2">
      <c r="A834" t="s">
        <v>2744</v>
      </c>
      <c r="B834" s="2">
        <v>42920</v>
      </c>
      <c r="C834" t="s">
        <v>2745</v>
      </c>
      <c r="D834" t="s">
        <v>1849</v>
      </c>
    </row>
    <row r="835" spans="1:4" x14ac:dyDescent="0.2">
      <c r="A835" t="s">
        <v>2746</v>
      </c>
      <c r="B835" s="2">
        <v>43250</v>
      </c>
      <c r="C835" t="s">
        <v>1816</v>
      </c>
      <c r="D835" t="s">
        <v>1807</v>
      </c>
    </row>
    <row r="836" spans="1:4" x14ac:dyDescent="0.2">
      <c r="A836" t="s">
        <v>2747</v>
      </c>
      <c r="B836" s="2">
        <v>43018</v>
      </c>
      <c r="C836" t="s">
        <v>1816</v>
      </c>
      <c r="D836" t="s">
        <v>1807</v>
      </c>
    </row>
    <row r="837" spans="1:4" x14ac:dyDescent="0.2">
      <c r="A837" t="s">
        <v>2748</v>
      </c>
      <c r="B837" s="2">
        <v>43103</v>
      </c>
      <c r="C837" t="s">
        <v>1836</v>
      </c>
      <c r="D837" t="s">
        <v>1804</v>
      </c>
    </row>
    <row r="838" spans="1:4" x14ac:dyDescent="0.2">
      <c r="A838" t="s">
        <v>2749</v>
      </c>
      <c r="B838" s="2">
        <v>42941</v>
      </c>
      <c r="C838" t="s">
        <v>2750</v>
      </c>
      <c r="D838" t="s">
        <v>1810</v>
      </c>
    </row>
    <row r="839" spans="1:4" x14ac:dyDescent="0.2">
      <c r="A839" t="s">
        <v>230</v>
      </c>
      <c r="B839" s="2">
        <v>43179</v>
      </c>
      <c r="C839" t="s">
        <v>1867</v>
      </c>
      <c r="D839" t="s">
        <v>1807</v>
      </c>
    </row>
    <row r="840" spans="1:4" x14ac:dyDescent="0.2">
      <c r="A840" t="s">
        <v>2751</v>
      </c>
      <c r="B840" s="2">
        <v>43096</v>
      </c>
      <c r="C840" t="s">
        <v>1915</v>
      </c>
      <c r="D840" t="s">
        <v>1807</v>
      </c>
    </row>
    <row r="841" spans="1:4" x14ac:dyDescent="0.2">
      <c r="A841" t="s">
        <v>2752</v>
      </c>
      <c r="B841" s="2">
        <v>43113</v>
      </c>
      <c r="C841" t="s">
        <v>1825</v>
      </c>
      <c r="D841" t="s">
        <v>1810</v>
      </c>
    </row>
    <row r="842" spans="1:4" x14ac:dyDescent="0.2">
      <c r="A842" t="s">
        <v>2753</v>
      </c>
      <c r="B842" s="2">
        <v>43141</v>
      </c>
      <c r="C842" t="s">
        <v>1816</v>
      </c>
      <c r="D842" t="s">
        <v>1810</v>
      </c>
    </row>
    <row r="843" spans="1:4" x14ac:dyDescent="0.2">
      <c r="A843" t="s">
        <v>2754</v>
      </c>
      <c r="B843" s="2">
        <v>43175</v>
      </c>
      <c r="C843" t="s">
        <v>1836</v>
      </c>
      <c r="D843" t="s">
        <v>1807</v>
      </c>
    </row>
    <row r="844" spans="1:4" x14ac:dyDescent="0.2">
      <c r="A844" t="s">
        <v>2755</v>
      </c>
      <c r="B844" s="2">
        <v>43127</v>
      </c>
      <c r="C844" t="s">
        <v>1825</v>
      </c>
      <c r="D844" t="s">
        <v>1804</v>
      </c>
    </row>
    <row r="845" spans="1:4" x14ac:dyDescent="0.2">
      <c r="A845" t="s">
        <v>2756</v>
      </c>
      <c r="B845" s="2">
        <v>43063</v>
      </c>
      <c r="C845" t="s">
        <v>2000</v>
      </c>
      <c r="D845" t="s">
        <v>1807</v>
      </c>
    </row>
    <row r="846" spans="1:4" x14ac:dyDescent="0.2">
      <c r="A846" t="s">
        <v>2757</v>
      </c>
      <c r="B846" s="2">
        <v>43150</v>
      </c>
      <c r="C846" t="s">
        <v>1836</v>
      </c>
      <c r="D846" t="s">
        <v>1031</v>
      </c>
    </row>
    <row r="847" spans="1:4" x14ac:dyDescent="0.2">
      <c r="A847" t="s">
        <v>2758</v>
      </c>
      <c r="B847" s="2">
        <v>43071</v>
      </c>
      <c r="C847" t="s">
        <v>1816</v>
      </c>
      <c r="D847" t="s">
        <v>1810</v>
      </c>
    </row>
    <row r="848" spans="1:4" x14ac:dyDescent="0.2">
      <c r="A848" t="s">
        <v>2759</v>
      </c>
      <c r="B848" s="2">
        <v>42945</v>
      </c>
      <c r="C848" t="s">
        <v>2433</v>
      </c>
      <c r="D848" t="s">
        <v>1804</v>
      </c>
    </row>
    <row r="849" spans="1:4" x14ac:dyDescent="0.2">
      <c r="A849" t="s">
        <v>2760</v>
      </c>
      <c r="B849" s="2">
        <v>43129</v>
      </c>
      <c r="C849" t="s">
        <v>1825</v>
      </c>
      <c r="D849" t="s">
        <v>1810</v>
      </c>
    </row>
    <row r="850" spans="1:4" x14ac:dyDescent="0.2">
      <c r="A850" t="s">
        <v>2761</v>
      </c>
      <c r="B850" s="2">
        <v>43112</v>
      </c>
      <c r="C850" t="s">
        <v>1930</v>
      </c>
      <c r="D850" t="s">
        <v>1807</v>
      </c>
    </row>
    <row r="851" spans="1:4" x14ac:dyDescent="0.2">
      <c r="A851" t="s">
        <v>2762</v>
      </c>
      <c r="B851" s="2">
        <v>43119</v>
      </c>
      <c r="C851" t="s">
        <v>1831</v>
      </c>
      <c r="D851" t="s">
        <v>160</v>
      </c>
    </row>
    <row r="852" spans="1:4" x14ac:dyDescent="0.2">
      <c r="A852" t="s">
        <v>2763</v>
      </c>
      <c r="B852" s="2">
        <v>43227</v>
      </c>
      <c r="C852" t="s">
        <v>1905</v>
      </c>
      <c r="D852" t="s">
        <v>1807</v>
      </c>
    </row>
    <row r="853" spans="1:4" x14ac:dyDescent="0.2">
      <c r="A853" t="s">
        <v>2764</v>
      </c>
      <c r="B853" s="2">
        <v>43210</v>
      </c>
      <c r="C853" t="s">
        <v>1816</v>
      </c>
      <c r="D853" t="s">
        <v>1810</v>
      </c>
    </row>
    <row r="854" spans="1:4" x14ac:dyDescent="0.2">
      <c r="A854" t="s">
        <v>2765</v>
      </c>
      <c r="B854" s="2">
        <v>43166</v>
      </c>
      <c r="C854" t="s">
        <v>1885</v>
      </c>
      <c r="D854" t="s">
        <v>1807</v>
      </c>
    </row>
    <row r="855" spans="1:4" x14ac:dyDescent="0.2">
      <c r="A855" t="s">
        <v>2766</v>
      </c>
      <c r="B855" s="2">
        <v>43200</v>
      </c>
      <c r="C855" t="s">
        <v>1825</v>
      </c>
      <c r="D855" t="s">
        <v>1810</v>
      </c>
    </row>
    <row r="856" spans="1:4" x14ac:dyDescent="0.2">
      <c r="A856" t="s">
        <v>232</v>
      </c>
      <c r="B856" s="2">
        <v>43201</v>
      </c>
      <c r="C856" t="s">
        <v>2767</v>
      </c>
      <c r="D856" t="s">
        <v>1031</v>
      </c>
    </row>
    <row r="857" spans="1:4" x14ac:dyDescent="0.2">
      <c r="A857" t="s">
        <v>2768</v>
      </c>
      <c r="B857" s="2">
        <v>43217</v>
      </c>
      <c r="C857" t="s">
        <v>2182</v>
      </c>
      <c r="D857" t="s">
        <v>1810</v>
      </c>
    </row>
    <row r="858" spans="1:4" x14ac:dyDescent="0.2">
      <c r="A858" t="s">
        <v>2769</v>
      </c>
      <c r="B858" s="2">
        <v>43186</v>
      </c>
      <c r="C858" t="s">
        <v>1905</v>
      </c>
      <c r="D858" t="s">
        <v>1840</v>
      </c>
    </row>
    <row r="859" spans="1:4" x14ac:dyDescent="0.2">
      <c r="A859" t="s">
        <v>2770</v>
      </c>
      <c r="B859" s="2">
        <v>43113</v>
      </c>
      <c r="C859" t="s">
        <v>1930</v>
      </c>
      <c r="D859" t="s">
        <v>1807</v>
      </c>
    </row>
    <row r="860" spans="1:4" x14ac:dyDescent="0.2">
      <c r="A860" t="s">
        <v>2771</v>
      </c>
      <c r="B860" s="2">
        <v>43104</v>
      </c>
      <c r="C860" t="s">
        <v>1836</v>
      </c>
      <c r="D860" t="s">
        <v>1031</v>
      </c>
    </row>
    <row r="861" spans="1:4" x14ac:dyDescent="0.2">
      <c r="A861" t="s">
        <v>2772</v>
      </c>
      <c r="B861" s="2">
        <v>43201</v>
      </c>
      <c r="C861" t="s">
        <v>1836</v>
      </c>
      <c r="D861" t="s">
        <v>1031</v>
      </c>
    </row>
    <row r="862" spans="1:4" x14ac:dyDescent="0.2">
      <c r="A862" t="s">
        <v>2773</v>
      </c>
      <c r="B862" s="2">
        <v>43124</v>
      </c>
      <c r="C862" t="s">
        <v>1993</v>
      </c>
      <c r="D862" t="s">
        <v>1813</v>
      </c>
    </row>
    <row r="863" spans="1:4" x14ac:dyDescent="0.2">
      <c r="A863" t="s">
        <v>2774</v>
      </c>
      <c r="B863" s="2">
        <v>43198</v>
      </c>
      <c r="C863" t="s">
        <v>2115</v>
      </c>
      <c r="D863" t="s">
        <v>1804</v>
      </c>
    </row>
    <row r="864" spans="1:4" x14ac:dyDescent="0.2">
      <c r="A864" t="s">
        <v>2775</v>
      </c>
      <c r="B864" s="2">
        <v>43132</v>
      </c>
      <c r="C864" t="s">
        <v>1836</v>
      </c>
      <c r="D864" t="s">
        <v>1810</v>
      </c>
    </row>
    <row r="865" spans="1:4" x14ac:dyDescent="0.2">
      <c r="A865" t="s">
        <v>2776</v>
      </c>
      <c r="B865" s="2">
        <v>43194</v>
      </c>
      <c r="C865" t="s">
        <v>1825</v>
      </c>
      <c r="D865" t="s">
        <v>1807</v>
      </c>
    </row>
    <row r="866" spans="1:4" x14ac:dyDescent="0.2">
      <c r="A866" t="s">
        <v>2777</v>
      </c>
      <c r="B866" s="2">
        <v>43017</v>
      </c>
      <c r="C866" t="s">
        <v>1809</v>
      </c>
      <c r="D866" t="s">
        <v>1840</v>
      </c>
    </row>
    <row r="867" spans="1:4" x14ac:dyDescent="0.2">
      <c r="A867" t="s">
        <v>2778</v>
      </c>
      <c r="B867" s="2">
        <v>43208</v>
      </c>
      <c r="C867" t="s">
        <v>1816</v>
      </c>
      <c r="D867" t="s">
        <v>1804</v>
      </c>
    </row>
    <row r="868" spans="1:4" x14ac:dyDescent="0.2">
      <c r="A868" t="s">
        <v>2779</v>
      </c>
      <c r="B868" s="2">
        <v>43052</v>
      </c>
      <c r="C868" t="s">
        <v>2650</v>
      </c>
      <c r="D868" t="s">
        <v>1031</v>
      </c>
    </row>
    <row r="869" spans="1:4" x14ac:dyDescent="0.2">
      <c r="A869" t="s">
        <v>2780</v>
      </c>
      <c r="B869" s="2">
        <v>43035</v>
      </c>
      <c r="C869" t="s">
        <v>1816</v>
      </c>
      <c r="D869" t="s">
        <v>1807</v>
      </c>
    </row>
    <row r="870" spans="1:4" x14ac:dyDescent="0.2">
      <c r="A870" t="s">
        <v>2781</v>
      </c>
      <c r="B870" s="2">
        <v>42948</v>
      </c>
      <c r="C870" t="s">
        <v>1867</v>
      </c>
      <c r="D870" t="s">
        <v>1829</v>
      </c>
    </row>
    <row r="871" spans="1:4" x14ac:dyDescent="0.2">
      <c r="A871" t="s">
        <v>2782</v>
      </c>
      <c r="B871" s="2">
        <v>43245</v>
      </c>
      <c r="C871" t="s">
        <v>1863</v>
      </c>
      <c r="D871" t="s">
        <v>1804</v>
      </c>
    </row>
    <row r="872" spans="1:4" x14ac:dyDescent="0.2">
      <c r="A872" t="s">
        <v>2783</v>
      </c>
      <c r="B872" s="2">
        <v>43249</v>
      </c>
      <c r="C872" t="s">
        <v>1863</v>
      </c>
      <c r="D872" t="s">
        <v>1804</v>
      </c>
    </row>
    <row r="873" spans="1:4" x14ac:dyDescent="0.2">
      <c r="A873" t="s">
        <v>2784</v>
      </c>
      <c r="B873" s="2">
        <v>43156</v>
      </c>
      <c r="C873" t="s">
        <v>2196</v>
      </c>
      <c r="D873" t="s">
        <v>1840</v>
      </c>
    </row>
    <row r="874" spans="1:4" x14ac:dyDescent="0.2">
      <c r="A874" t="s">
        <v>2785</v>
      </c>
      <c r="B874" s="2">
        <v>42950</v>
      </c>
      <c r="C874" t="s">
        <v>2014</v>
      </c>
      <c r="D874" t="s">
        <v>1840</v>
      </c>
    </row>
    <row r="875" spans="1:4" x14ac:dyDescent="0.2">
      <c r="A875" t="s">
        <v>2786</v>
      </c>
      <c r="B875" s="2">
        <v>43209</v>
      </c>
      <c r="C875" t="s">
        <v>1905</v>
      </c>
      <c r="D875" t="s">
        <v>1810</v>
      </c>
    </row>
    <row r="876" spans="1:4" x14ac:dyDescent="0.2">
      <c r="A876" t="s">
        <v>2787</v>
      </c>
      <c r="B876" s="2">
        <v>43229</v>
      </c>
      <c r="C876" t="s">
        <v>1863</v>
      </c>
      <c r="D876" t="s">
        <v>1804</v>
      </c>
    </row>
    <row r="877" spans="1:4" x14ac:dyDescent="0.2">
      <c r="A877" t="s">
        <v>2788</v>
      </c>
      <c r="B877" s="2">
        <v>43230</v>
      </c>
      <c r="C877" t="s">
        <v>2242</v>
      </c>
      <c r="D877" t="s">
        <v>1840</v>
      </c>
    </row>
    <row r="878" spans="1:4" x14ac:dyDescent="0.2">
      <c r="A878" t="s">
        <v>2789</v>
      </c>
      <c r="B878" s="2">
        <v>43116</v>
      </c>
      <c r="C878" t="s">
        <v>1867</v>
      </c>
      <c r="D878" t="s">
        <v>1810</v>
      </c>
    </row>
    <row r="879" spans="1:4" x14ac:dyDescent="0.2">
      <c r="A879" t="s">
        <v>234</v>
      </c>
      <c r="B879" s="2">
        <v>43137</v>
      </c>
      <c r="C879" t="s">
        <v>1816</v>
      </c>
      <c r="D879" t="s">
        <v>1807</v>
      </c>
    </row>
    <row r="880" spans="1:4" x14ac:dyDescent="0.2">
      <c r="A880" t="s">
        <v>2790</v>
      </c>
      <c r="B880" s="2">
        <v>43232</v>
      </c>
      <c r="C880" t="s">
        <v>1863</v>
      </c>
      <c r="D880" t="s">
        <v>1804</v>
      </c>
    </row>
    <row r="881" spans="1:4" x14ac:dyDescent="0.2">
      <c r="A881" t="s">
        <v>2791</v>
      </c>
      <c r="B881" s="2">
        <v>43137</v>
      </c>
      <c r="C881" t="s">
        <v>1836</v>
      </c>
      <c r="D881" t="s">
        <v>1031</v>
      </c>
    </row>
    <row r="882" spans="1:4" x14ac:dyDescent="0.2">
      <c r="A882" t="s">
        <v>2792</v>
      </c>
      <c r="B882" s="2">
        <v>43033</v>
      </c>
      <c r="C882" t="s">
        <v>2657</v>
      </c>
      <c r="D882" t="s">
        <v>1810</v>
      </c>
    </row>
    <row r="883" spans="1:4" x14ac:dyDescent="0.2">
      <c r="A883" t="s">
        <v>2793</v>
      </c>
      <c r="B883" s="2">
        <v>43152</v>
      </c>
      <c r="C883" t="s">
        <v>2048</v>
      </c>
      <c r="D883" t="s">
        <v>1031</v>
      </c>
    </row>
    <row r="884" spans="1:4" x14ac:dyDescent="0.2">
      <c r="A884" t="s">
        <v>2794</v>
      </c>
      <c r="B884" s="2">
        <v>43159</v>
      </c>
      <c r="C884" t="s">
        <v>2242</v>
      </c>
      <c r="D884" t="s">
        <v>1810</v>
      </c>
    </row>
    <row r="885" spans="1:4" x14ac:dyDescent="0.2">
      <c r="A885" t="s">
        <v>2795</v>
      </c>
      <c r="B885" s="2">
        <v>43006</v>
      </c>
      <c r="C885" t="s">
        <v>2303</v>
      </c>
      <c r="D885" t="s">
        <v>1810</v>
      </c>
    </row>
    <row r="886" spans="1:4" x14ac:dyDescent="0.2">
      <c r="A886" t="s">
        <v>2796</v>
      </c>
      <c r="B886" s="2">
        <v>43131</v>
      </c>
      <c r="C886" t="s">
        <v>2163</v>
      </c>
      <c r="D886" t="s">
        <v>1804</v>
      </c>
    </row>
    <row r="887" spans="1:4" x14ac:dyDescent="0.2">
      <c r="A887" t="s">
        <v>2797</v>
      </c>
      <c r="B887" s="2">
        <v>43175</v>
      </c>
      <c r="C887" t="s">
        <v>2798</v>
      </c>
      <c r="D887" t="s">
        <v>1031</v>
      </c>
    </row>
    <row r="888" spans="1:4" x14ac:dyDescent="0.2">
      <c r="A888" t="s">
        <v>2799</v>
      </c>
      <c r="B888" s="2">
        <v>43173</v>
      </c>
      <c r="C888" t="s">
        <v>1836</v>
      </c>
      <c r="D888" t="s">
        <v>1031</v>
      </c>
    </row>
    <row r="889" spans="1:4" x14ac:dyDescent="0.2">
      <c r="A889" t="s">
        <v>2800</v>
      </c>
      <c r="B889" s="2">
        <v>43244</v>
      </c>
      <c r="C889" t="s">
        <v>1816</v>
      </c>
      <c r="D889" t="s">
        <v>1807</v>
      </c>
    </row>
    <row r="890" spans="1:4" x14ac:dyDescent="0.2">
      <c r="A890" t="s">
        <v>2801</v>
      </c>
      <c r="B890" s="2">
        <v>43181</v>
      </c>
      <c r="C890" t="s">
        <v>1905</v>
      </c>
      <c r="D890" t="s">
        <v>1810</v>
      </c>
    </row>
    <row r="891" spans="1:4" x14ac:dyDescent="0.2">
      <c r="A891" t="s">
        <v>2802</v>
      </c>
      <c r="B891" s="2">
        <v>42998</v>
      </c>
      <c r="C891" t="s">
        <v>1905</v>
      </c>
      <c r="D891" t="s">
        <v>1807</v>
      </c>
    </row>
    <row r="892" spans="1:4" x14ac:dyDescent="0.2">
      <c r="A892" t="s">
        <v>236</v>
      </c>
      <c r="B892" s="2">
        <v>43164</v>
      </c>
      <c r="C892" t="s">
        <v>1836</v>
      </c>
      <c r="D892" t="s">
        <v>1031</v>
      </c>
    </row>
    <row r="893" spans="1:4" x14ac:dyDescent="0.2">
      <c r="A893" t="s">
        <v>2803</v>
      </c>
      <c r="B893" s="2">
        <v>43034</v>
      </c>
      <c r="C893" t="s">
        <v>2294</v>
      </c>
      <c r="D893" t="s">
        <v>1807</v>
      </c>
    </row>
    <row r="894" spans="1:4" x14ac:dyDescent="0.2">
      <c r="A894" t="s">
        <v>2804</v>
      </c>
      <c r="B894" s="2">
        <v>43133</v>
      </c>
      <c r="C894" t="s">
        <v>1930</v>
      </c>
      <c r="D894" t="s">
        <v>1807</v>
      </c>
    </row>
    <row r="895" spans="1:4" x14ac:dyDescent="0.2">
      <c r="A895" t="s">
        <v>2805</v>
      </c>
      <c r="B895" s="2">
        <v>43234</v>
      </c>
      <c r="C895" t="s">
        <v>1836</v>
      </c>
      <c r="D895" t="s">
        <v>1031</v>
      </c>
    </row>
    <row r="896" spans="1:4" x14ac:dyDescent="0.2">
      <c r="A896" t="s">
        <v>2806</v>
      </c>
      <c r="B896" s="2">
        <v>42944</v>
      </c>
      <c r="C896" t="s">
        <v>1907</v>
      </c>
      <c r="D896" t="s">
        <v>1807</v>
      </c>
    </row>
    <row r="897" spans="1:4" x14ac:dyDescent="0.2">
      <c r="A897" t="s">
        <v>2807</v>
      </c>
      <c r="B897" s="2">
        <v>43208</v>
      </c>
      <c r="C897" t="s">
        <v>1930</v>
      </c>
      <c r="D897" t="s">
        <v>1807</v>
      </c>
    </row>
    <row r="898" spans="1:4" x14ac:dyDescent="0.2">
      <c r="A898" t="s">
        <v>238</v>
      </c>
      <c r="B898" s="2">
        <v>43216</v>
      </c>
      <c r="C898" t="s">
        <v>2808</v>
      </c>
      <c r="D898" t="s">
        <v>1031</v>
      </c>
    </row>
    <row r="899" spans="1:4" x14ac:dyDescent="0.2">
      <c r="A899" t="s">
        <v>2809</v>
      </c>
      <c r="B899" s="2">
        <v>43071</v>
      </c>
      <c r="C899" t="s">
        <v>1816</v>
      </c>
      <c r="D899" t="s">
        <v>1840</v>
      </c>
    </row>
    <row r="900" spans="1:4" x14ac:dyDescent="0.2">
      <c r="A900" t="s">
        <v>2810</v>
      </c>
      <c r="B900" s="2">
        <v>43157</v>
      </c>
      <c r="C900" t="s">
        <v>2344</v>
      </c>
      <c r="D900" t="s">
        <v>1813</v>
      </c>
    </row>
    <row r="901" spans="1:4" x14ac:dyDescent="0.2">
      <c r="A901" t="s">
        <v>2811</v>
      </c>
      <c r="B901" s="2">
        <v>43199</v>
      </c>
      <c r="C901" t="s">
        <v>1863</v>
      </c>
      <c r="D901" t="s">
        <v>1804</v>
      </c>
    </row>
    <row r="902" spans="1:4" x14ac:dyDescent="0.2">
      <c r="A902" t="s">
        <v>2812</v>
      </c>
      <c r="B902" s="2">
        <v>43202</v>
      </c>
      <c r="C902" t="s">
        <v>1905</v>
      </c>
      <c r="D902" t="s">
        <v>1810</v>
      </c>
    </row>
    <row r="903" spans="1:4" x14ac:dyDescent="0.2">
      <c r="A903" t="s">
        <v>240</v>
      </c>
      <c r="B903" s="2">
        <v>43104</v>
      </c>
      <c r="C903" t="s">
        <v>1816</v>
      </c>
      <c r="D903" t="s">
        <v>1031</v>
      </c>
    </row>
    <row r="904" spans="1:4" x14ac:dyDescent="0.2">
      <c r="A904" t="s">
        <v>2813</v>
      </c>
      <c r="B904" s="2">
        <v>43119</v>
      </c>
      <c r="C904" t="s">
        <v>1885</v>
      </c>
      <c r="D904" t="s">
        <v>1807</v>
      </c>
    </row>
    <row r="905" spans="1:4" x14ac:dyDescent="0.2">
      <c r="A905" t="s">
        <v>2814</v>
      </c>
      <c r="B905" s="2">
        <v>43038</v>
      </c>
      <c r="C905" t="s">
        <v>1889</v>
      </c>
      <c r="D905" t="s">
        <v>1810</v>
      </c>
    </row>
    <row r="906" spans="1:4" x14ac:dyDescent="0.2">
      <c r="A906" t="s">
        <v>2815</v>
      </c>
      <c r="B906" s="2">
        <v>43248</v>
      </c>
      <c r="C906" t="s">
        <v>2070</v>
      </c>
      <c r="D906" t="s">
        <v>1810</v>
      </c>
    </row>
    <row r="907" spans="1:4" x14ac:dyDescent="0.2">
      <c r="A907" t="s">
        <v>242</v>
      </c>
      <c r="B907" s="2">
        <v>43216</v>
      </c>
      <c r="C907" t="s">
        <v>1816</v>
      </c>
      <c r="D907" t="s">
        <v>1813</v>
      </c>
    </row>
    <row r="908" spans="1:4" x14ac:dyDescent="0.2">
      <c r="A908" t="s">
        <v>2816</v>
      </c>
      <c r="B908" s="2">
        <v>43221</v>
      </c>
      <c r="C908" t="s">
        <v>1863</v>
      </c>
      <c r="D908" t="s">
        <v>1804</v>
      </c>
    </row>
    <row r="909" spans="1:4" x14ac:dyDescent="0.2">
      <c r="A909" t="s">
        <v>244</v>
      </c>
      <c r="B909" s="2">
        <v>43208</v>
      </c>
      <c r="C909" t="s">
        <v>1836</v>
      </c>
      <c r="D909" t="s">
        <v>1031</v>
      </c>
    </row>
    <row r="910" spans="1:4" x14ac:dyDescent="0.2">
      <c r="A910" t="s">
        <v>2817</v>
      </c>
      <c r="B910" s="2">
        <v>43140</v>
      </c>
      <c r="C910" t="s">
        <v>1836</v>
      </c>
      <c r="D910" t="s">
        <v>1031</v>
      </c>
    </row>
    <row r="911" spans="1:4" x14ac:dyDescent="0.2">
      <c r="A911" t="s">
        <v>2818</v>
      </c>
      <c r="B911" s="2">
        <v>43117</v>
      </c>
      <c r="C911" t="s">
        <v>2819</v>
      </c>
      <c r="D911" t="s">
        <v>1810</v>
      </c>
    </row>
    <row r="912" spans="1:4" x14ac:dyDescent="0.2">
      <c r="A912" t="s">
        <v>2820</v>
      </c>
      <c r="B912" s="2">
        <v>43031</v>
      </c>
      <c r="C912" t="s">
        <v>2657</v>
      </c>
      <c r="D912" t="s">
        <v>1829</v>
      </c>
    </row>
    <row r="913" spans="1:4" x14ac:dyDescent="0.2">
      <c r="A913" t="s">
        <v>2821</v>
      </c>
      <c r="B913" s="2">
        <v>43171</v>
      </c>
      <c r="C913" t="s">
        <v>2216</v>
      </c>
      <c r="D913" t="s">
        <v>1807</v>
      </c>
    </row>
    <row r="914" spans="1:4" x14ac:dyDescent="0.2">
      <c r="A914" t="s">
        <v>246</v>
      </c>
      <c r="B914" s="2">
        <v>43024</v>
      </c>
      <c r="C914" t="s">
        <v>1836</v>
      </c>
      <c r="D914" t="s">
        <v>1031</v>
      </c>
    </row>
    <row r="915" spans="1:4" x14ac:dyDescent="0.2">
      <c r="A915" t="s">
        <v>248</v>
      </c>
      <c r="B915" s="2">
        <v>43152</v>
      </c>
      <c r="C915" t="s">
        <v>2822</v>
      </c>
      <c r="D915" t="s">
        <v>1031</v>
      </c>
    </row>
    <row r="916" spans="1:4" x14ac:dyDescent="0.2">
      <c r="A916" t="s">
        <v>2823</v>
      </c>
      <c r="B916" s="2">
        <v>42922</v>
      </c>
      <c r="C916" t="s">
        <v>2380</v>
      </c>
      <c r="D916" t="s">
        <v>160</v>
      </c>
    </row>
    <row r="917" spans="1:4" x14ac:dyDescent="0.2">
      <c r="A917" t="s">
        <v>2824</v>
      </c>
      <c r="B917" s="2">
        <v>43117</v>
      </c>
      <c r="C917" t="s">
        <v>2819</v>
      </c>
      <c r="D917" t="s">
        <v>1813</v>
      </c>
    </row>
    <row r="918" spans="1:4" x14ac:dyDescent="0.2">
      <c r="A918" t="s">
        <v>2825</v>
      </c>
      <c r="B918" s="2">
        <v>43185</v>
      </c>
      <c r="C918" t="s">
        <v>1836</v>
      </c>
      <c r="D918" t="s">
        <v>1810</v>
      </c>
    </row>
    <row r="919" spans="1:4" x14ac:dyDescent="0.2">
      <c r="A919" t="s">
        <v>250</v>
      </c>
      <c r="B919" s="2">
        <v>43178</v>
      </c>
      <c r="C919" t="s">
        <v>1816</v>
      </c>
      <c r="D919" t="s">
        <v>1810</v>
      </c>
    </row>
    <row r="920" spans="1:4" x14ac:dyDescent="0.2">
      <c r="A920" t="s">
        <v>2826</v>
      </c>
      <c r="B920" s="2">
        <v>43249</v>
      </c>
      <c r="C920" t="s">
        <v>1836</v>
      </c>
      <c r="D920" t="s">
        <v>1031</v>
      </c>
    </row>
    <row r="921" spans="1:4" x14ac:dyDescent="0.2">
      <c r="A921" t="s">
        <v>2827</v>
      </c>
      <c r="B921" s="2">
        <v>43185</v>
      </c>
      <c r="C921" t="s">
        <v>1867</v>
      </c>
      <c r="D921" t="s">
        <v>1829</v>
      </c>
    </row>
    <row r="922" spans="1:4" x14ac:dyDescent="0.2">
      <c r="A922" t="s">
        <v>2828</v>
      </c>
      <c r="B922" s="2">
        <v>43119</v>
      </c>
      <c r="C922" t="s">
        <v>2829</v>
      </c>
      <c r="D922" t="s">
        <v>1840</v>
      </c>
    </row>
    <row r="923" spans="1:4" x14ac:dyDescent="0.2">
      <c r="A923" t="s">
        <v>2830</v>
      </c>
      <c r="B923" s="2">
        <v>43217</v>
      </c>
      <c r="C923" t="s">
        <v>2831</v>
      </c>
      <c r="D923" t="s">
        <v>1840</v>
      </c>
    </row>
    <row r="924" spans="1:4" x14ac:dyDescent="0.2">
      <c r="A924" t="s">
        <v>2832</v>
      </c>
      <c r="B924" s="2">
        <v>43062</v>
      </c>
      <c r="C924" t="s">
        <v>1803</v>
      </c>
      <c r="D924" t="s">
        <v>1804</v>
      </c>
    </row>
    <row r="925" spans="1:4" x14ac:dyDescent="0.2">
      <c r="A925" t="s">
        <v>2833</v>
      </c>
      <c r="B925" s="2">
        <v>42934</v>
      </c>
      <c r="C925" t="s">
        <v>2834</v>
      </c>
      <c r="D925" t="s">
        <v>1804</v>
      </c>
    </row>
    <row r="926" spans="1:4" x14ac:dyDescent="0.2">
      <c r="A926" t="s">
        <v>2835</v>
      </c>
      <c r="B926" s="2">
        <v>43222</v>
      </c>
      <c r="C926" t="s">
        <v>1915</v>
      </c>
      <c r="D926" t="s">
        <v>1807</v>
      </c>
    </row>
    <row r="927" spans="1:4" x14ac:dyDescent="0.2">
      <c r="A927" t="s">
        <v>2836</v>
      </c>
      <c r="B927" s="2">
        <v>42982</v>
      </c>
      <c r="C927" t="s">
        <v>1971</v>
      </c>
      <c r="D927" t="s">
        <v>1031</v>
      </c>
    </row>
    <row r="928" spans="1:4" x14ac:dyDescent="0.2">
      <c r="A928" t="s">
        <v>252</v>
      </c>
      <c r="B928" s="2">
        <v>43119</v>
      </c>
      <c r="C928" t="s">
        <v>1905</v>
      </c>
      <c r="D928" t="s">
        <v>1807</v>
      </c>
    </row>
    <row r="929" spans="1:4" x14ac:dyDescent="0.2">
      <c r="A929" t="s">
        <v>2837</v>
      </c>
      <c r="B929" s="2">
        <v>43222</v>
      </c>
      <c r="C929" t="s">
        <v>1863</v>
      </c>
      <c r="D929" t="s">
        <v>1804</v>
      </c>
    </row>
    <row r="930" spans="1:4" x14ac:dyDescent="0.2">
      <c r="A930" t="s">
        <v>2838</v>
      </c>
      <c r="B930" s="2">
        <v>43093</v>
      </c>
      <c r="C930" t="s">
        <v>2182</v>
      </c>
      <c r="D930" t="s">
        <v>1810</v>
      </c>
    </row>
    <row r="931" spans="1:4" x14ac:dyDescent="0.2">
      <c r="A931" t="s">
        <v>2839</v>
      </c>
      <c r="B931" s="2">
        <v>43248</v>
      </c>
      <c r="C931" t="s">
        <v>1831</v>
      </c>
      <c r="D931" t="s">
        <v>160</v>
      </c>
    </row>
    <row r="932" spans="1:4" x14ac:dyDescent="0.2">
      <c r="A932" t="s">
        <v>2840</v>
      </c>
      <c r="B932" s="2">
        <v>43185</v>
      </c>
      <c r="C932" t="s">
        <v>1816</v>
      </c>
      <c r="D932" t="s">
        <v>1829</v>
      </c>
    </row>
    <row r="933" spans="1:4" x14ac:dyDescent="0.2">
      <c r="A933" t="s">
        <v>2841</v>
      </c>
      <c r="B933" s="2">
        <v>42947</v>
      </c>
      <c r="C933" t="s">
        <v>1825</v>
      </c>
      <c r="D933" t="s">
        <v>1813</v>
      </c>
    </row>
    <row r="934" spans="1:4" x14ac:dyDescent="0.2">
      <c r="A934" t="s">
        <v>2842</v>
      </c>
      <c r="B934" s="2">
        <v>43122</v>
      </c>
      <c r="C934" t="s">
        <v>1987</v>
      </c>
      <c r="D934" t="s">
        <v>1810</v>
      </c>
    </row>
    <row r="935" spans="1:4" x14ac:dyDescent="0.2">
      <c r="A935" t="s">
        <v>2843</v>
      </c>
      <c r="B935" s="2">
        <v>43240</v>
      </c>
      <c r="C935" t="s">
        <v>2242</v>
      </c>
      <c r="D935" t="s">
        <v>1807</v>
      </c>
    </row>
    <row r="936" spans="1:4" x14ac:dyDescent="0.2">
      <c r="A936" t="s">
        <v>254</v>
      </c>
      <c r="B936" s="2">
        <v>43152</v>
      </c>
      <c r="C936" t="s">
        <v>1816</v>
      </c>
      <c r="D936" t="s">
        <v>1840</v>
      </c>
    </row>
    <row r="937" spans="1:4" x14ac:dyDescent="0.2">
      <c r="A937" t="s">
        <v>2844</v>
      </c>
      <c r="B937" s="2">
        <v>43235</v>
      </c>
      <c r="C937" t="s">
        <v>1863</v>
      </c>
      <c r="D937" t="s">
        <v>1804</v>
      </c>
    </row>
    <row r="938" spans="1:4" x14ac:dyDescent="0.2">
      <c r="A938" t="s">
        <v>256</v>
      </c>
      <c r="B938" s="2">
        <v>43195</v>
      </c>
      <c r="C938" t="s">
        <v>1832</v>
      </c>
      <c r="D938" t="s">
        <v>1810</v>
      </c>
    </row>
    <row r="939" spans="1:4" x14ac:dyDescent="0.2">
      <c r="A939" t="s">
        <v>2845</v>
      </c>
      <c r="B939" s="2">
        <v>43052</v>
      </c>
      <c r="C939" t="s">
        <v>1867</v>
      </c>
      <c r="D939" t="s">
        <v>160</v>
      </c>
    </row>
    <row r="940" spans="1:4" x14ac:dyDescent="0.2">
      <c r="A940" t="s">
        <v>2846</v>
      </c>
      <c r="B940" s="2">
        <v>43152</v>
      </c>
      <c r="C940" t="s">
        <v>2014</v>
      </c>
      <c r="D940" t="s">
        <v>1840</v>
      </c>
    </row>
    <row r="941" spans="1:4" x14ac:dyDescent="0.2">
      <c r="A941" t="s">
        <v>2847</v>
      </c>
      <c r="B941" s="2">
        <v>43157</v>
      </c>
      <c r="C941" t="s">
        <v>2848</v>
      </c>
      <c r="D941" t="s">
        <v>1810</v>
      </c>
    </row>
    <row r="942" spans="1:4" x14ac:dyDescent="0.2">
      <c r="A942" t="s">
        <v>2849</v>
      </c>
      <c r="B942" s="2">
        <v>43031</v>
      </c>
      <c r="C942" t="s">
        <v>1939</v>
      </c>
      <c r="D942" t="s">
        <v>1810</v>
      </c>
    </row>
    <row r="943" spans="1:4" x14ac:dyDescent="0.2">
      <c r="A943" t="s">
        <v>2850</v>
      </c>
      <c r="B943" s="2">
        <v>43234</v>
      </c>
      <c r="C943" t="s">
        <v>1905</v>
      </c>
      <c r="D943" t="s">
        <v>1810</v>
      </c>
    </row>
    <row r="944" spans="1:4" x14ac:dyDescent="0.2">
      <c r="A944" t="s">
        <v>2851</v>
      </c>
      <c r="B944" s="2">
        <v>43007</v>
      </c>
      <c r="C944" t="s">
        <v>1867</v>
      </c>
      <c r="D944" t="s">
        <v>1807</v>
      </c>
    </row>
    <row r="945" spans="1:4" x14ac:dyDescent="0.2">
      <c r="A945" t="s">
        <v>2852</v>
      </c>
      <c r="B945" s="2">
        <v>43045</v>
      </c>
      <c r="C945" t="s">
        <v>1836</v>
      </c>
      <c r="D945" t="s">
        <v>1031</v>
      </c>
    </row>
    <row r="946" spans="1:4" x14ac:dyDescent="0.2">
      <c r="A946" t="s">
        <v>2853</v>
      </c>
      <c r="B946" s="2">
        <v>43236</v>
      </c>
      <c r="C946" t="s">
        <v>2470</v>
      </c>
      <c r="D946" t="s">
        <v>1810</v>
      </c>
    </row>
    <row r="947" spans="1:4" x14ac:dyDescent="0.2">
      <c r="A947" t="s">
        <v>2854</v>
      </c>
      <c r="B947" s="2">
        <v>43236</v>
      </c>
      <c r="C947" t="s">
        <v>2690</v>
      </c>
      <c r="D947" t="s">
        <v>160</v>
      </c>
    </row>
    <row r="948" spans="1:4" x14ac:dyDescent="0.2">
      <c r="A948" t="s">
        <v>2855</v>
      </c>
      <c r="B948" s="2">
        <v>43136</v>
      </c>
      <c r="C948" t="s">
        <v>1803</v>
      </c>
      <c r="D948" t="s">
        <v>1804</v>
      </c>
    </row>
    <row r="949" spans="1:4" x14ac:dyDescent="0.2">
      <c r="A949" t="s">
        <v>2856</v>
      </c>
      <c r="B949" s="2">
        <v>43153</v>
      </c>
      <c r="C949" t="s">
        <v>1816</v>
      </c>
      <c r="D949" t="s">
        <v>1810</v>
      </c>
    </row>
    <row r="950" spans="1:4" x14ac:dyDescent="0.2">
      <c r="A950" t="s">
        <v>2857</v>
      </c>
      <c r="B950" s="2">
        <v>43200</v>
      </c>
      <c r="C950" t="s">
        <v>1816</v>
      </c>
      <c r="D950" t="s">
        <v>1810</v>
      </c>
    </row>
    <row r="951" spans="1:4" x14ac:dyDescent="0.2">
      <c r="A951" t="s">
        <v>2858</v>
      </c>
      <c r="B951" s="2">
        <v>42992</v>
      </c>
      <c r="C951" t="s">
        <v>2108</v>
      </c>
      <c r="D951" t="s">
        <v>1813</v>
      </c>
    </row>
    <row r="952" spans="1:4" x14ac:dyDescent="0.2">
      <c r="A952" t="s">
        <v>2859</v>
      </c>
      <c r="B952" s="2">
        <v>43117</v>
      </c>
      <c r="C952" t="s">
        <v>1816</v>
      </c>
      <c r="D952" t="s">
        <v>1810</v>
      </c>
    </row>
    <row r="953" spans="1:4" x14ac:dyDescent="0.2">
      <c r="A953" t="s">
        <v>2860</v>
      </c>
      <c r="B953" s="2">
        <v>43173</v>
      </c>
      <c r="C953" t="s">
        <v>1836</v>
      </c>
      <c r="D953" t="s">
        <v>1810</v>
      </c>
    </row>
    <row r="954" spans="1:4" x14ac:dyDescent="0.2">
      <c r="A954" t="s">
        <v>2861</v>
      </c>
      <c r="B954" s="2">
        <v>43199</v>
      </c>
      <c r="C954" t="s">
        <v>2035</v>
      </c>
      <c r="D954" t="s">
        <v>1804</v>
      </c>
    </row>
    <row r="955" spans="1:4" x14ac:dyDescent="0.2">
      <c r="A955" t="s">
        <v>2862</v>
      </c>
      <c r="B955" s="2">
        <v>43250</v>
      </c>
      <c r="C955" t="s">
        <v>1836</v>
      </c>
      <c r="D955" t="s">
        <v>160</v>
      </c>
    </row>
    <row r="956" spans="1:4" x14ac:dyDescent="0.2">
      <c r="A956" t="s">
        <v>2863</v>
      </c>
      <c r="B956" s="2">
        <v>43174</v>
      </c>
      <c r="C956" t="s">
        <v>1928</v>
      </c>
      <c r="D956" t="s">
        <v>1813</v>
      </c>
    </row>
    <row r="957" spans="1:4" x14ac:dyDescent="0.2">
      <c r="A957" t="s">
        <v>2864</v>
      </c>
      <c r="B957" s="2">
        <v>43199</v>
      </c>
      <c r="C957" t="s">
        <v>2865</v>
      </c>
      <c r="D957" t="s">
        <v>1810</v>
      </c>
    </row>
    <row r="958" spans="1:4" x14ac:dyDescent="0.2">
      <c r="A958" t="s">
        <v>2866</v>
      </c>
      <c r="B958" s="2">
        <v>43122</v>
      </c>
      <c r="C958" t="s">
        <v>1812</v>
      </c>
      <c r="D958" t="s">
        <v>1813</v>
      </c>
    </row>
    <row r="959" spans="1:4" x14ac:dyDescent="0.2">
      <c r="A959" t="s">
        <v>2867</v>
      </c>
      <c r="B959" s="2">
        <v>43067</v>
      </c>
      <c r="C959" t="s">
        <v>1836</v>
      </c>
      <c r="D959" t="s">
        <v>1804</v>
      </c>
    </row>
    <row r="960" spans="1:4" x14ac:dyDescent="0.2">
      <c r="A960" t="s">
        <v>258</v>
      </c>
      <c r="B960" s="2">
        <v>43222</v>
      </c>
      <c r="C960" t="s">
        <v>2066</v>
      </c>
      <c r="D960" t="s">
        <v>1813</v>
      </c>
    </row>
    <row r="961" spans="1:4" x14ac:dyDescent="0.2">
      <c r="A961" t="s">
        <v>2868</v>
      </c>
      <c r="B961" s="2">
        <v>43192</v>
      </c>
      <c r="C961" t="s">
        <v>2048</v>
      </c>
      <c r="D961" t="s">
        <v>1840</v>
      </c>
    </row>
    <row r="962" spans="1:4" x14ac:dyDescent="0.2">
      <c r="A962" t="s">
        <v>2869</v>
      </c>
      <c r="B962" s="2">
        <v>43183</v>
      </c>
      <c r="C962" t="s">
        <v>1863</v>
      </c>
      <c r="D962" t="s">
        <v>1804</v>
      </c>
    </row>
    <row r="963" spans="1:4" x14ac:dyDescent="0.2">
      <c r="A963" t="s">
        <v>2870</v>
      </c>
      <c r="B963" s="2">
        <v>43194</v>
      </c>
      <c r="C963" t="s">
        <v>1905</v>
      </c>
      <c r="D963" t="s">
        <v>1810</v>
      </c>
    </row>
    <row r="964" spans="1:4" x14ac:dyDescent="0.2">
      <c r="A964" t="s">
        <v>260</v>
      </c>
      <c r="B964" s="2">
        <v>43124</v>
      </c>
      <c r="C964" t="s">
        <v>1836</v>
      </c>
      <c r="D964" t="s">
        <v>1031</v>
      </c>
    </row>
    <row r="965" spans="1:4" x14ac:dyDescent="0.2">
      <c r="A965" t="s">
        <v>2871</v>
      </c>
      <c r="B965" s="2">
        <v>43131</v>
      </c>
      <c r="C965" t="s">
        <v>1803</v>
      </c>
      <c r="D965" t="s">
        <v>1804</v>
      </c>
    </row>
    <row r="966" spans="1:4" x14ac:dyDescent="0.2">
      <c r="A966" t="s">
        <v>2872</v>
      </c>
      <c r="B966" s="2">
        <v>43208</v>
      </c>
      <c r="C966" t="s">
        <v>1836</v>
      </c>
      <c r="D966" t="s">
        <v>1031</v>
      </c>
    </row>
    <row r="967" spans="1:4" x14ac:dyDescent="0.2">
      <c r="A967" t="s">
        <v>2873</v>
      </c>
      <c r="B967" s="2">
        <v>43186</v>
      </c>
      <c r="C967" t="s">
        <v>1863</v>
      </c>
      <c r="D967" t="s">
        <v>1804</v>
      </c>
    </row>
    <row r="968" spans="1:4" x14ac:dyDescent="0.2">
      <c r="A968" t="s">
        <v>2874</v>
      </c>
      <c r="B968" s="2">
        <v>43244</v>
      </c>
      <c r="C968" t="s">
        <v>1867</v>
      </c>
      <c r="D968" t="s">
        <v>1810</v>
      </c>
    </row>
    <row r="969" spans="1:4" x14ac:dyDescent="0.2">
      <c r="A969" t="s">
        <v>2875</v>
      </c>
      <c r="B969" s="2">
        <v>43063</v>
      </c>
      <c r="C969" t="s">
        <v>1816</v>
      </c>
      <c r="D969" t="s">
        <v>1807</v>
      </c>
    </row>
    <row r="970" spans="1:4" x14ac:dyDescent="0.2">
      <c r="A970" t="s">
        <v>2876</v>
      </c>
      <c r="B970" s="2">
        <v>43110</v>
      </c>
      <c r="C970" t="s">
        <v>1803</v>
      </c>
      <c r="D970" t="s">
        <v>1804</v>
      </c>
    </row>
    <row r="971" spans="1:4" x14ac:dyDescent="0.2">
      <c r="A971" t="s">
        <v>2877</v>
      </c>
      <c r="B971" s="2">
        <v>43006</v>
      </c>
      <c r="C971" t="s">
        <v>1825</v>
      </c>
      <c r="D971" t="s">
        <v>1810</v>
      </c>
    </row>
    <row r="972" spans="1:4" x14ac:dyDescent="0.2">
      <c r="A972" t="s">
        <v>2878</v>
      </c>
      <c r="B972" s="2">
        <v>43203</v>
      </c>
      <c r="C972" t="s">
        <v>1867</v>
      </c>
      <c r="D972" t="s">
        <v>1810</v>
      </c>
    </row>
    <row r="973" spans="1:4" x14ac:dyDescent="0.2">
      <c r="A973" t="s">
        <v>2879</v>
      </c>
      <c r="B973" s="2">
        <v>43150</v>
      </c>
      <c r="C973" t="s">
        <v>1825</v>
      </c>
      <c r="D973" t="s">
        <v>1810</v>
      </c>
    </row>
    <row r="974" spans="1:4" x14ac:dyDescent="0.2">
      <c r="A974" t="s">
        <v>2880</v>
      </c>
      <c r="B974" s="2">
        <v>43188</v>
      </c>
      <c r="C974" t="s">
        <v>1863</v>
      </c>
      <c r="D974" t="s">
        <v>1804</v>
      </c>
    </row>
    <row r="975" spans="1:4" x14ac:dyDescent="0.2">
      <c r="A975" t="s">
        <v>2881</v>
      </c>
      <c r="B975" s="2">
        <v>43145</v>
      </c>
      <c r="C975" t="s">
        <v>2182</v>
      </c>
      <c r="D975" t="s">
        <v>1840</v>
      </c>
    </row>
    <row r="976" spans="1:4" x14ac:dyDescent="0.2">
      <c r="A976" t="s">
        <v>2882</v>
      </c>
      <c r="B976" s="2">
        <v>42996</v>
      </c>
      <c r="C976" t="s">
        <v>1894</v>
      </c>
      <c r="D976" t="s">
        <v>1804</v>
      </c>
    </row>
    <row r="977" spans="1:4" x14ac:dyDescent="0.2">
      <c r="A977" t="s">
        <v>2883</v>
      </c>
      <c r="B977" s="2">
        <v>43118</v>
      </c>
      <c r="C977" t="s">
        <v>1996</v>
      </c>
      <c r="D977" t="s">
        <v>1807</v>
      </c>
    </row>
    <row r="978" spans="1:4" x14ac:dyDescent="0.2">
      <c r="A978" t="s">
        <v>2884</v>
      </c>
      <c r="B978" s="2">
        <v>43234</v>
      </c>
      <c r="C978" t="s">
        <v>1836</v>
      </c>
      <c r="D978" t="s">
        <v>1810</v>
      </c>
    </row>
    <row r="979" spans="1:4" x14ac:dyDescent="0.2">
      <c r="A979" t="s">
        <v>2885</v>
      </c>
      <c r="B979" s="2">
        <v>43061</v>
      </c>
      <c r="C979" t="s">
        <v>1836</v>
      </c>
      <c r="D979" t="s">
        <v>1031</v>
      </c>
    </row>
    <row r="980" spans="1:4" x14ac:dyDescent="0.2">
      <c r="A980" t="s">
        <v>262</v>
      </c>
      <c r="B980" s="2">
        <v>43133</v>
      </c>
      <c r="C980" t="s">
        <v>1836</v>
      </c>
      <c r="D980" t="s">
        <v>1031</v>
      </c>
    </row>
    <row r="981" spans="1:4" x14ac:dyDescent="0.2">
      <c r="A981" t="s">
        <v>2886</v>
      </c>
      <c r="B981" s="2">
        <v>42982</v>
      </c>
      <c r="C981" t="s">
        <v>2066</v>
      </c>
      <c r="D981" t="s">
        <v>1031</v>
      </c>
    </row>
    <row r="982" spans="1:4" x14ac:dyDescent="0.2">
      <c r="A982" t="s">
        <v>2887</v>
      </c>
      <c r="B982" s="2">
        <v>43235</v>
      </c>
      <c r="C982" t="s">
        <v>1816</v>
      </c>
      <c r="D982" t="s">
        <v>1807</v>
      </c>
    </row>
    <row r="983" spans="1:4" x14ac:dyDescent="0.2">
      <c r="A983" t="s">
        <v>2888</v>
      </c>
      <c r="B983" s="2">
        <v>43122</v>
      </c>
      <c r="C983" t="s">
        <v>1812</v>
      </c>
      <c r="D983" t="s">
        <v>1813</v>
      </c>
    </row>
    <row r="984" spans="1:4" x14ac:dyDescent="0.2">
      <c r="A984" t="s">
        <v>2889</v>
      </c>
      <c r="B984" s="2">
        <v>43141</v>
      </c>
      <c r="C984" t="s">
        <v>1905</v>
      </c>
      <c r="D984" t="s">
        <v>1810</v>
      </c>
    </row>
    <row r="985" spans="1:4" x14ac:dyDescent="0.2">
      <c r="A985" t="s">
        <v>2890</v>
      </c>
      <c r="B985" s="2">
        <v>43235</v>
      </c>
      <c r="C985" t="s">
        <v>2643</v>
      </c>
      <c r="D985" t="s">
        <v>1031</v>
      </c>
    </row>
    <row r="986" spans="1:4" x14ac:dyDescent="0.2">
      <c r="A986" t="s">
        <v>2891</v>
      </c>
      <c r="B986" s="2">
        <v>43247</v>
      </c>
      <c r="C986" t="s">
        <v>1809</v>
      </c>
      <c r="D986" t="s">
        <v>1849</v>
      </c>
    </row>
    <row r="987" spans="1:4" x14ac:dyDescent="0.2">
      <c r="A987" t="s">
        <v>2892</v>
      </c>
      <c r="B987" s="2">
        <v>43216</v>
      </c>
      <c r="C987" t="s">
        <v>1909</v>
      </c>
      <c r="D987" t="s">
        <v>1813</v>
      </c>
    </row>
    <row r="988" spans="1:4" x14ac:dyDescent="0.2">
      <c r="A988" t="s">
        <v>2893</v>
      </c>
      <c r="B988" s="2">
        <v>43227</v>
      </c>
      <c r="C988" t="s">
        <v>2170</v>
      </c>
      <c r="D988" t="s">
        <v>1829</v>
      </c>
    </row>
    <row r="989" spans="1:4" x14ac:dyDescent="0.2">
      <c r="A989" t="s">
        <v>2894</v>
      </c>
      <c r="B989" s="2">
        <v>43158</v>
      </c>
      <c r="C989" t="s">
        <v>1825</v>
      </c>
      <c r="D989" t="s">
        <v>1810</v>
      </c>
    </row>
    <row r="990" spans="1:4" x14ac:dyDescent="0.2">
      <c r="A990" t="s">
        <v>2895</v>
      </c>
      <c r="B990" s="2">
        <v>43249</v>
      </c>
      <c r="C990" t="s">
        <v>2249</v>
      </c>
      <c r="D990" t="s">
        <v>1807</v>
      </c>
    </row>
    <row r="991" spans="1:4" x14ac:dyDescent="0.2">
      <c r="A991" t="s">
        <v>2896</v>
      </c>
      <c r="B991" s="2">
        <v>43108</v>
      </c>
      <c r="C991" t="s">
        <v>1809</v>
      </c>
      <c r="D991" t="s">
        <v>1840</v>
      </c>
    </row>
    <row r="992" spans="1:4" x14ac:dyDescent="0.2">
      <c r="A992" t="s">
        <v>264</v>
      </c>
      <c r="B992" s="2">
        <v>43206</v>
      </c>
      <c r="C992" t="s">
        <v>1905</v>
      </c>
      <c r="D992" t="s">
        <v>1807</v>
      </c>
    </row>
    <row r="993" spans="1:4" x14ac:dyDescent="0.2">
      <c r="A993" t="s">
        <v>2897</v>
      </c>
      <c r="B993" s="2">
        <v>43115</v>
      </c>
      <c r="C993" t="s">
        <v>1816</v>
      </c>
      <c r="D993" t="s">
        <v>1807</v>
      </c>
    </row>
    <row r="994" spans="1:4" x14ac:dyDescent="0.2">
      <c r="A994" t="s">
        <v>2898</v>
      </c>
      <c r="B994" s="2">
        <v>43178</v>
      </c>
      <c r="C994" t="s">
        <v>2115</v>
      </c>
      <c r="D994" t="s">
        <v>1804</v>
      </c>
    </row>
    <row r="995" spans="1:4" x14ac:dyDescent="0.2">
      <c r="A995" t="s">
        <v>2899</v>
      </c>
      <c r="B995" s="2">
        <v>43144</v>
      </c>
      <c r="C995" t="s">
        <v>1803</v>
      </c>
      <c r="D995" t="s">
        <v>1804</v>
      </c>
    </row>
    <row r="996" spans="1:4" x14ac:dyDescent="0.2">
      <c r="A996" t="s">
        <v>2900</v>
      </c>
      <c r="B996" s="2">
        <v>43223</v>
      </c>
      <c r="C996" t="s">
        <v>1816</v>
      </c>
      <c r="D996" t="s">
        <v>1810</v>
      </c>
    </row>
    <row r="997" spans="1:4" x14ac:dyDescent="0.2">
      <c r="A997" t="s">
        <v>266</v>
      </c>
      <c r="B997" s="2">
        <v>43210</v>
      </c>
      <c r="C997" t="s">
        <v>2901</v>
      </c>
      <c r="D997" t="s">
        <v>1807</v>
      </c>
    </row>
    <row r="998" spans="1:4" x14ac:dyDescent="0.2">
      <c r="A998" t="s">
        <v>2902</v>
      </c>
      <c r="B998" s="2">
        <v>42950</v>
      </c>
      <c r="C998" t="s">
        <v>1867</v>
      </c>
      <c r="D998" t="s">
        <v>1807</v>
      </c>
    </row>
    <row r="999" spans="1:4" x14ac:dyDescent="0.2">
      <c r="A999" t="s">
        <v>2903</v>
      </c>
      <c r="B999" s="2">
        <v>43217</v>
      </c>
      <c r="C999" t="s">
        <v>2054</v>
      </c>
      <c r="D999" t="s">
        <v>1807</v>
      </c>
    </row>
    <row r="1000" spans="1:4" x14ac:dyDescent="0.2">
      <c r="A1000" t="s">
        <v>2904</v>
      </c>
      <c r="B1000" s="2">
        <v>43242</v>
      </c>
      <c r="C1000" t="s">
        <v>2242</v>
      </c>
      <c r="D1000" t="s">
        <v>1840</v>
      </c>
    </row>
    <row r="1001" spans="1:4" x14ac:dyDescent="0.2">
      <c r="A1001" t="s">
        <v>2905</v>
      </c>
      <c r="B1001" s="2">
        <v>43161</v>
      </c>
      <c r="C1001" t="s">
        <v>1905</v>
      </c>
      <c r="D1001" t="s">
        <v>1810</v>
      </c>
    </row>
    <row r="1002" spans="1:4" x14ac:dyDescent="0.2">
      <c r="A1002" t="s">
        <v>2906</v>
      </c>
      <c r="B1002" s="2">
        <v>43061</v>
      </c>
      <c r="C1002" t="s">
        <v>2907</v>
      </c>
      <c r="D1002" t="s">
        <v>1813</v>
      </c>
    </row>
    <row r="1003" spans="1:4" x14ac:dyDescent="0.2">
      <c r="A1003" t="s">
        <v>2908</v>
      </c>
      <c r="B1003" s="2">
        <v>43035</v>
      </c>
      <c r="C1003" t="s">
        <v>1880</v>
      </c>
      <c r="D1003" t="s">
        <v>1810</v>
      </c>
    </row>
    <row r="1004" spans="1:4" x14ac:dyDescent="0.2">
      <c r="A1004" t="s">
        <v>268</v>
      </c>
      <c r="B1004" s="2">
        <v>43226</v>
      </c>
      <c r="C1004" t="s">
        <v>1827</v>
      </c>
      <c r="D1004" t="s">
        <v>1804</v>
      </c>
    </row>
    <row r="1005" spans="1:4" x14ac:dyDescent="0.2">
      <c r="A1005" t="s">
        <v>2909</v>
      </c>
      <c r="B1005" s="2">
        <v>43223</v>
      </c>
      <c r="C1005" t="s">
        <v>2910</v>
      </c>
      <c r="D1005" t="s">
        <v>1807</v>
      </c>
    </row>
    <row r="1006" spans="1:4" x14ac:dyDescent="0.2">
      <c r="A1006" t="s">
        <v>2911</v>
      </c>
      <c r="B1006" s="2">
        <v>43199</v>
      </c>
      <c r="C1006" t="s">
        <v>1905</v>
      </c>
      <c r="D1006" t="s">
        <v>1813</v>
      </c>
    </row>
    <row r="1007" spans="1:4" x14ac:dyDescent="0.2">
      <c r="A1007" t="s">
        <v>2912</v>
      </c>
      <c r="B1007" s="2">
        <v>42982</v>
      </c>
      <c r="C1007" t="s">
        <v>1816</v>
      </c>
      <c r="D1007" t="s">
        <v>1810</v>
      </c>
    </row>
    <row r="1008" spans="1:4" x14ac:dyDescent="0.2">
      <c r="A1008" t="s">
        <v>2913</v>
      </c>
      <c r="B1008" s="2">
        <v>43150</v>
      </c>
      <c r="C1008" t="s">
        <v>1905</v>
      </c>
      <c r="D1008" t="s">
        <v>1810</v>
      </c>
    </row>
    <row r="1009" spans="1:4" x14ac:dyDescent="0.2">
      <c r="A1009" t="s">
        <v>2914</v>
      </c>
      <c r="B1009" s="2">
        <v>43195</v>
      </c>
      <c r="C1009" t="s">
        <v>1930</v>
      </c>
      <c r="D1009" t="s">
        <v>1807</v>
      </c>
    </row>
    <row r="1010" spans="1:4" x14ac:dyDescent="0.2">
      <c r="A1010" t="s">
        <v>2915</v>
      </c>
      <c r="B1010" s="2">
        <v>43191</v>
      </c>
      <c r="C1010" t="s">
        <v>1902</v>
      </c>
      <c r="D1010" t="s">
        <v>1031</v>
      </c>
    </row>
    <row r="1011" spans="1:4" x14ac:dyDescent="0.2">
      <c r="A1011" t="s">
        <v>2916</v>
      </c>
      <c r="B1011" s="2">
        <v>43005</v>
      </c>
      <c r="C1011" t="s">
        <v>1915</v>
      </c>
      <c r="D1011" t="s">
        <v>1810</v>
      </c>
    </row>
    <row r="1012" spans="1:4" x14ac:dyDescent="0.2">
      <c r="A1012" t="s">
        <v>270</v>
      </c>
      <c r="B1012" s="2">
        <v>43143</v>
      </c>
      <c r="C1012" t="s">
        <v>1809</v>
      </c>
      <c r="D1012" t="s">
        <v>1810</v>
      </c>
    </row>
    <row r="1013" spans="1:4" x14ac:dyDescent="0.2">
      <c r="A1013" t="s">
        <v>2917</v>
      </c>
      <c r="B1013" s="2">
        <v>43213</v>
      </c>
      <c r="C1013" t="s">
        <v>2918</v>
      </c>
      <c r="D1013" t="s">
        <v>1813</v>
      </c>
    </row>
    <row r="1014" spans="1:4" x14ac:dyDescent="0.2">
      <c r="A1014" t="s">
        <v>2919</v>
      </c>
      <c r="B1014" s="2">
        <v>43208</v>
      </c>
      <c r="C1014" t="s">
        <v>1816</v>
      </c>
      <c r="D1014" t="s">
        <v>1807</v>
      </c>
    </row>
    <row r="1015" spans="1:4" x14ac:dyDescent="0.2">
      <c r="A1015" t="s">
        <v>2920</v>
      </c>
      <c r="B1015" s="2">
        <v>43101</v>
      </c>
      <c r="C1015" t="s">
        <v>1867</v>
      </c>
      <c r="D1015" t="s">
        <v>1840</v>
      </c>
    </row>
    <row r="1016" spans="1:4" x14ac:dyDescent="0.2">
      <c r="A1016" t="s">
        <v>2921</v>
      </c>
      <c r="B1016" s="2">
        <v>43153</v>
      </c>
      <c r="C1016" t="s">
        <v>1930</v>
      </c>
      <c r="D1016" t="s">
        <v>1807</v>
      </c>
    </row>
    <row r="1017" spans="1:4" x14ac:dyDescent="0.2">
      <c r="A1017" t="s">
        <v>2922</v>
      </c>
      <c r="B1017" s="2">
        <v>43046</v>
      </c>
      <c r="C1017" t="s">
        <v>1930</v>
      </c>
      <c r="D1017" t="s">
        <v>1810</v>
      </c>
    </row>
    <row r="1018" spans="1:4" x14ac:dyDescent="0.2">
      <c r="A1018" t="s">
        <v>2923</v>
      </c>
      <c r="B1018" s="2">
        <v>43140</v>
      </c>
      <c r="C1018" t="s">
        <v>1885</v>
      </c>
      <c r="D1018" t="s">
        <v>1807</v>
      </c>
    </row>
    <row r="1019" spans="1:4" x14ac:dyDescent="0.2">
      <c r="A1019" t="s">
        <v>2924</v>
      </c>
      <c r="B1019" s="2">
        <v>43056</v>
      </c>
      <c r="C1019" t="s">
        <v>2216</v>
      </c>
      <c r="D1019" t="s">
        <v>1810</v>
      </c>
    </row>
    <row r="1020" spans="1:4" x14ac:dyDescent="0.2">
      <c r="A1020" t="s">
        <v>2925</v>
      </c>
      <c r="B1020" s="2">
        <v>43195</v>
      </c>
      <c r="C1020" t="s">
        <v>1863</v>
      </c>
      <c r="D1020" t="s">
        <v>1910</v>
      </c>
    </row>
    <row r="1021" spans="1:4" x14ac:dyDescent="0.2">
      <c r="A1021" t="s">
        <v>272</v>
      </c>
      <c r="B1021" s="2">
        <v>43207</v>
      </c>
      <c r="C1021" t="s">
        <v>2831</v>
      </c>
      <c r="D1021" t="s">
        <v>1807</v>
      </c>
    </row>
    <row r="1022" spans="1:4" x14ac:dyDescent="0.2">
      <c r="A1022" t="s">
        <v>2926</v>
      </c>
      <c r="B1022" s="2">
        <v>43183</v>
      </c>
      <c r="C1022" t="s">
        <v>1806</v>
      </c>
      <c r="D1022" t="s">
        <v>1807</v>
      </c>
    </row>
    <row r="1023" spans="1:4" x14ac:dyDescent="0.2">
      <c r="A1023" t="s">
        <v>2927</v>
      </c>
      <c r="B1023" s="2">
        <v>43117</v>
      </c>
      <c r="C1023" t="s">
        <v>2000</v>
      </c>
      <c r="D1023" t="s">
        <v>1807</v>
      </c>
    </row>
    <row r="1024" spans="1:4" x14ac:dyDescent="0.2">
      <c r="A1024" t="s">
        <v>2928</v>
      </c>
      <c r="B1024" s="2">
        <v>43249</v>
      </c>
      <c r="C1024" t="s">
        <v>1836</v>
      </c>
      <c r="D1024" t="s">
        <v>1031</v>
      </c>
    </row>
    <row r="1025" spans="1:4" x14ac:dyDescent="0.2">
      <c r="A1025" t="s">
        <v>2929</v>
      </c>
      <c r="B1025" s="2">
        <v>43108</v>
      </c>
      <c r="C1025" t="s">
        <v>2187</v>
      </c>
      <c r="D1025" t="s">
        <v>1807</v>
      </c>
    </row>
    <row r="1026" spans="1:4" x14ac:dyDescent="0.2">
      <c r="A1026" t="s">
        <v>2930</v>
      </c>
      <c r="B1026" s="2">
        <v>43216</v>
      </c>
      <c r="C1026" t="s">
        <v>1909</v>
      </c>
      <c r="D1026" t="s">
        <v>1804</v>
      </c>
    </row>
    <row r="1027" spans="1:4" x14ac:dyDescent="0.2">
      <c r="A1027" t="s">
        <v>2931</v>
      </c>
      <c r="B1027" s="2">
        <v>43196</v>
      </c>
      <c r="C1027" t="s">
        <v>1905</v>
      </c>
      <c r="D1027" t="s">
        <v>1810</v>
      </c>
    </row>
    <row r="1028" spans="1:4" x14ac:dyDescent="0.2">
      <c r="A1028" t="s">
        <v>2932</v>
      </c>
      <c r="B1028" s="2">
        <v>43193</v>
      </c>
      <c r="C1028" t="s">
        <v>2933</v>
      </c>
      <c r="D1028" t="s">
        <v>1813</v>
      </c>
    </row>
    <row r="1029" spans="1:4" x14ac:dyDescent="0.2">
      <c r="A1029" t="s">
        <v>2934</v>
      </c>
      <c r="B1029" s="2">
        <v>43115</v>
      </c>
      <c r="C1029" t="s">
        <v>1905</v>
      </c>
      <c r="D1029" t="s">
        <v>1810</v>
      </c>
    </row>
    <row r="1030" spans="1:4" x14ac:dyDescent="0.2">
      <c r="A1030" t="s">
        <v>2935</v>
      </c>
      <c r="B1030" s="2">
        <v>43157</v>
      </c>
      <c r="C1030" t="s">
        <v>2108</v>
      </c>
      <c r="D1030" t="s">
        <v>1807</v>
      </c>
    </row>
    <row r="1031" spans="1:4" x14ac:dyDescent="0.2">
      <c r="A1031" t="s">
        <v>2936</v>
      </c>
      <c r="B1031" s="2">
        <v>43029</v>
      </c>
      <c r="C1031" t="s">
        <v>1905</v>
      </c>
      <c r="D1031" t="s">
        <v>1810</v>
      </c>
    </row>
    <row r="1032" spans="1:4" x14ac:dyDescent="0.2">
      <c r="A1032" t="s">
        <v>2937</v>
      </c>
      <c r="B1032" s="2">
        <v>43208</v>
      </c>
      <c r="C1032" t="s">
        <v>2158</v>
      </c>
      <c r="D1032" t="s">
        <v>1840</v>
      </c>
    </row>
    <row r="1033" spans="1:4" x14ac:dyDescent="0.2">
      <c r="A1033" t="s">
        <v>2938</v>
      </c>
      <c r="B1033" s="2">
        <v>43242</v>
      </c>
      <c r="C1033" t="s">
        <v>1816</v>
      </c>
      <c r="D1033" t="s">
        <v>1810</v>
      </c>
    </row>
    <row r="1034" spans="1:4" x14ac:dyDescent="0.2">
      <c r="A1034" t="s">
        <v>2939</v>
      </c>
      <c r="B1034" s="2">
        <v>43158</v>
      </c>
      <c r="C1034" t="s">
        <v>1816</v>
      </c>
      <c r="D1034" t="s">
        <v>1810</v>
      </c>
    </row>
    <row r="1035" spans="1:4" x14ac:dyDescent="0.2">
      <c r="A1035" t="s">
        <v>2940</v>
      </c>
      <c r="B1035" s="2">
        <v>43203</v>
      </c>
      <c r="C1035" t="s">
        <v>1863</v>
      </c>
      <c r="D1035" t="s">
        <v>1804</v>
      </c>
    </row>
    <row r="1036" spans="1:4" x14ac:dyDescent="0.2">
      <c r="A1036" t="s">
        <v>2941</v>
      </c>
      <c r="B1036" s="2">
        <v>43222</v>
      </c>
      <c r="C1036" t="s">
        <v>1867</v>
      </c>
      <c r="D1036" t="s">
        <v>1810</v>
      </c>
    </row>
    <row r="1037" spans="1:4" x14ac:dyDescent="0.2">
      <c r="A1037" t="s">
        <v>2942</v>
      </c>
      <c r="B1037" s="2">
        <v>43046</v>
      </c>
      <c r="C1037" t="s">
        <v>1902</v>
      </c>
      <c r="D1037" t="s">
        <v>1810</v>
      </c>
    </row>
    <row r="1038" spans="1:4" x14ac:dyDescent="0.2">
      <c r="A1038" t="s">
        <v>2943</v>
      </c>
      <c r="B1038" s="2">
        <v>43146</v>
      </c>
      <c r="C1038" t="s">
        <v>1803</v>
      </c>
      <c r="D1038" t="s">
        <v>1804</v>
      </c>
    </row>
    <row r="1039" spans="1:4" x14ac:dyDescent="0.2">
      <c r="A1039" t="s">
        <v>2944</v>
      </c>
      <c r="B1039" s="2">
        <v>43040</v>
      </c>
      <c r="C1039" t="s">
        <v>1803</v>
      </c>
      <c r="D1039" t="s">
        <v>1804</v>
      </c>
    </row>
    <row r="1040" spans="1:4" x14ac:dyDescent="0.2">
      <c r="A1040" t="s">
        <v>2945</v>
      </c>
      <c r="B1040" s="2">
        <v>42965</v>
      </c>
      <c r="C1040" t="s">
        <v>1836</v>
      </c>
      <c r="D1040" t="s">
        <v>1031</v>
      </c>
    </row>
    <row r="1041" spans="1:4" x14ac:dyDescent="0.2">
      <c r="A1041" t="s">
        <v>2946</v>
      </c>
      <c r="B1041" s="2">
        <v>43146</v>
      </c>
      <c r="C1041" t="s">
        <v>1831</v>
      </c>
      <c r="D1041" t="s">
        <v>160</v>
      </c>
    </row>
    <row r="1042" spans="1:4" x14ac:dyDescent="0.2">
      <c r="A1042" t="s">
        <v>2947</v>
      </c>
      <c r="B1042" s="2">
        <v>43222</v>
      </c>
      <c r="C1042" t="s">
        <v>1827</v>
      </c>
      <c r="D1042" t="s">
        <v>1807</v>
      </c>
    </row>
    <row r="1043" spans="1:4" x14ac:dyDescent="0.2">
      <c r="A1043" t="s">
        <v>2948</v>
      </c>
      <c r="B1043" s="2">
        <v>43127</v>
      </c>
      <c r="C1043" t="s">
        <v>1816</v>
      </c>
      <c r="D1043" t="s">
        <v>1810</v>
      </c>
    </row>
    <row r="1044" spans="1:4" x14ac:dyDescent="0.2">
      <c r="A1044" t="s">
        <v>2949</v>
      </c>
      <c r="B1044" s="2">
        <v>42930</v>
      </c>
      <c r="C1044" t="s">
        <v>2143</v>
      </c>
      <c r="D1044" t="s">
        <v>1840</v>
      </c>
    </row>
    <row r="1045" spans="1:4" x14ac:dyDescent="0.2">
      <c r="A1045" t="s">
        <v>2950</v>
      </c>
      <c r="B1045" s="2">
        <v>43243</v>
      </c>
      <c r="C1045" t="s">
        <v>1863</v>
      </c>
      <c r="D1045" t="s">
        <v>1804</v>
      </c>
    </row>
    <row r="1046" spans="1:4" x14ac:dyDescent="0.2">
      <c r="A1046" t="s">
        <v>2951</v>
      </c>
      <c r="B1046" s="2">
        <v>43223</v>
      </c>
      <c r="C1046" t="s">
        <v>2952</v>
      </c>
      <c r="D1046" t="s">
        <v>1807</v>
      </c>
    </row>
    <row r="1047" spans="1:4" x14ac:dyDescent="0.2">
      <c r="A1047" t="s">
        <v>2953</v>
      </c>
      <c r="B1047" s="2">
        <v>43157</v>
      </c>
      <c r="C1047" t="s">
        <v>2344</v>
      </c>
      <c r="D1047" t="s">
        <v>1031</v>
      </c>
    </row>
    <row r="1048" spans="1:4" x14ac:dyDescent="0.2">
      <c r="A1048" t="s">
        <v>2954</v>
      </c>
      <c r="B1048" s="2">
        <v>43136</v>
      </c>
      <c r="C1048" t="s">
        <v>1825</v>
      </c>
      <c r="D1048" t="s">
        <v>1810</v>
      </c>
    </row>
    <row r="1049" spans="1:4" x14ac:dyDescent="0.2">
      <c r="A1049" t="s">
        <v>2955</v>
      </c>
      <c r="B1049" s="2">
        <v>43116</v>
      </c>
      <c r="C1049" t="s">
        <v>1816</v>
      </c>
      <c r="D1049" t="s">
        <v>1810</v>
      </c>
    </row>
    <row r="1050" spans="1:4" x14ac:dyDescent="0.2">
      <c r="A1050" t="s">
        <v>2956</v>
      </c>
      <c r="B1050" s="2">
        <v>43154</v>
      </c>
      <c r="C1050" t="s">
        <v>1921</v>
      </c>
      <c r="D1050" t="s">
        <v>1829</v>
      </c>
    </row>
    <row r="1051" spans="1:4" x14ac:dyDescent="0.2">
      <c r="A1051" t="s">
        <v>2957</v>
      </c>
      <c r="B1051" s="2">
        <v>43213</v>
      </c>
      <c r="C1051" t="s">
        <v>1816</v>
      </c>
      <c r="D1051" t="s">
        <v>1810</v>
      </c>
    </row>
    <row r="1052" spans="1:4" x14ac:dyDescent="0.2">
      <c r="A1052" t="s">
        <v>2958</v>
      </c>
      <c r="B1052" s="2">
        <v>43059</v>
      </c>
      <c r="C1052" t="s">
        <v>1803</v>
      </c>
      <c r="D1052" t="s">
        <v>1804</v>
      </c>
    </row>
    <row r="1053" spans="1:4" x14ac:dyDescent="0.2">
      <c r="A1053" t="s">
        <v>2959</v>
      </c>
      <c r="B1053" s="2">
        <v>43194</v>
      </c>
      <c r="C1053" t="s">
        <v>1825</v>
      </c>
      <c r="D1053" t="s">
        <v>1840</v>
      </c>
    </row>
    <row r="1054" spans="1:4" x14ac:dyDescent="0.2">
      <c r="A1054" t="s">
        <v>2960</v>
      </c>
      <c r="B1054" s="2">
        <v>43241</v>
      </c>
      <c r="C1054" t="s">
        <v>1863</v>
      </c>
      <c r="D1054" t="s">
        <v>1804</v>
      </c>
    </row>
    <row r="1055" spans="1:4" x14ac:dyDescent="0.2">
      <c r="A1055" t="s">
        <v>2961</v>
      </c>
      <c r="B1055" s="2">
        <v>43157</v>
      </c>
      <c r="C1055" t="s">
        <v>2344</v>
      </c>
      <c r="D1055" t="s">
        <v>1813</v>
      </c>
    </row>
    <row r="1056" spans="1:4" x14ac:dyDescent="0.2">
      <c r="A1056" t="s">
        <v>2962</v>
      </c>
      <c r="B1056" s="2">
        <v>42970</v>
      </c>
      <c r="C1056" t="s">
        <v>2012</v>
      </c>
      <c r="D1056" t="s">
        <v>1810</v>
      </c>
    </row>
    <row r="1057" spans="1:4" x14ac:dyDescent="0.2">
      <c r="A1057" t="s">
        <v>2963</v>
      </c>
      <c r="B1057" s="2">
        <v>42997</v>
      </c>
      <c r="C1057" t="s">
        <v>2206</v>
      </c>
      <c r="D1057" t="s">
        <v>1810</v>
      </c>
    </row>
    <row r="1058" spans="1:4" x14ac:dyDescent="0.2">
      <c r="A1058" t="s">
        <v>2964</v>
      </c>
      <c r="B1058" s="2">
        <v>43033</v>
      </c>
      <c r="C1058" t="s">
        <v>2965</v>
      </c>
      <c r="D1058" t="s">
        <v>1813</v>
      </c>
    </row>
    <row r="1059" spans="1:4" x14ac:dyDescent="0.2">
      <c r="A1059" t="s">
        <v>2966</v>
      </c>
      <c r="B1059" s="2">
        <v>43076</v>
      </c>
      <c r="C1059" t="s">
        <v>1836</v>
      </c>
      <c r="D1059" t="s">
        <v>1031</v>
      </c>
    </row>
    <row r="1060" spans="1:4" x14ac:dyDescent="0.2">
      <c r="A1060" t="s">
        <v>2967</v>
      </c>
      <c r="B1060" s="2">
        <v>43151</v>
      </c>
      <c r="C1060" t="s">
        <v>1907</v>
      </c>
      <c r="D1060" t="s">
        <v>1810</v>
      </c>
    </row>
    <row r="1061" spans="1:4" x14ac:dyDescent="0.2">
      <c r="A1061" t="s">
        <v>2968</v>
      </c>
      <c r="B1061" s="2">
        <v>43112</v>
      </c>
      <c r="C1061" t="s">
        <v>1905</v>
      </c>
      <c r="D1061" t="s">
        <v>1810</v>
      </c>
    </row>
    <row r="1062" spans="1:4" x14ac:dyDescent="0.2">
      <c r="A1062" t="s">
        <v>275</v>
      </c>
      <c r="B1062" s="2">
        <v>43228</v>
      </c>
      <c r="C1062" t="s">
        <v>2291</v>
      </c>
      <c r="D1062" t="s">
        <v>1031</v>
      </c>
    </row>
    <row r="1063" spans="1:4" x14ac:dyDescent="0.2">
      <c r="A1063" t="s">
        <v>2969</v>
      </c>
      <c r="B1063" s="2">
        <v>43209</v>
      </c>
      <c r="C1063" t="s">
        <v>1836</v>
      </c>
      <c r="D1063" t="s">
        <v>1031</v>
      </c>
    </row>
    <row r="1064" spans="1:4" x14ac:dyDescent="0.2">
      <c r="A1064" t="s">
        <v>2970</v>
      </c>
      <c r="B1064" s="2">
        <v>43175</v>
      </c>
      <c r="C1064" t="s">
        <v>1928</v>
      </c>
      <c r="D1064" t="s">
        <v>1849</v>
      </c>
    </row>
    <row r="1065" spans="1:4" x14ac:dyDescent="0.2">
      <c r="A1065" t="s">
        <v>2971</v>
      </c>
      <c r="B1065" s="2">
        <v>43110</v>
      </c>
      <c r="C1065" t="s">
        <v>1814</v>
      </c>
      <c r="D1065" t="s">
        <v>1810</v>
      </c>
    </row>
    <row r="1066" spans="1:4" x14ac:dyDescent="0.2">
      <c r="A1066" t="s">
        <v>2972</v>
      </c>
      <c r="B1066" s="2">
        <v>43111</v>
      </c>
      <c r="C1066" t="s">
        <v>1930</v>
      </c>
      <c r="D1066" t="s">
        <v>1829</v>
      </c>
    </row>
    <row r="1067" spans="1:4" x14ac:dyDescent="0.2">
      <c r="A1067" t="s">
        <v>2973</v>
      </c>
      <c r="B1067" s="2">
        <v>43186</v>
      </c>
      <c r="C1067" t="s">
        <v>1816</v>
      </c>
      <c r="D1067" t="s">
        <v>1810</v>
      </c>
    </row>
    <row r="1068" spans="1:4" x14ac:dyDescent="0.2">
      <c r="A1068" t="s">
        <v>2974</v>
      </c>
      <c r="B1068" s="2">
        <v>43226</v>
      </c>
      <c r="C1068" t="s">
        <v>2975</v>
      </c>
      <c r="D1068" t="s">
        <v>1810</v>
      </c>
    </row>
    <row r="1069" spans="1:4" x14ac:dyDescent="0.2">
      <c r="A1069" t="s">
        <v>2976</v>
      </c>
      <c r="B1069" s="2">
        <v>43200</v>
      </c>
      <c r="C1069" t="s">
        <v>2977</v>
      </c>
      <c r="D1069" t="s">
        <v>1031</v>
      </c>
    </row>
    <row r="1070" spans="1:4" x14ac:dyDescent="0.2">
      <c r="A1070" t="s">
        <v>2978</v>
      </c>
      <c r="B1070" s="2">
        <v>43130</v>
      </c>
      <c r="C1070" t="s">
        <v>1831</v>
      </c>
      <c r="D1070" t="s">
        <v>1829</v>
      </c>
    </row>
    <row r="1071" spans="1:4" x14ac:dyDescent="0.2">
      <c r="A1071" t="s">
        <v>2979</v>
      </c>
      <c r="B1071" s="2">
        <v>43195</v>
      </c>
      <c r="C1071" t="s">
        <v>2690</v>
      </c>
      <c r="D1071" t="s">
        <v>160</v>
      </c>
    </row>
    <row r="1072" spans="1:4" x14ac:dyDescent="0.2">
      <c r="A1072" t="s">
        <v>2980</v>
      </c>
      <c r="B1072" s="2">
        <v>42955</v>
      </c>
      <c r="C1072" t="s">
        <v>1816</v>
      </c>
      <c r="D1072" t="s">
        <v>1829</v>
      </c>
    </row>
    <row r="1073" spans="1:4" x14ac:dyDescent="0.2">
      <c r="A1073" t="s">
        <v>2981</v>
      </c>
      <c r="B1073" s="2">
        <v>43056</v>
      </c>
      <c r="C1073" t="s">
        <v>1889</v>
      </c>
      <c r="D1073" t="s">
        <v>1807</v>
      </c>
    </row>
    <row r="1074" spans="1:4" x14ac:dyDescent="0.2">
      <c r="A1074" t="s">
        <v>277</v>
      </c>
      <c r="B1074" s="2">
        <v>43179</v>
      </c>
      <c r="C1074" t="s">
        <v>1836</v>
      </c>
      <c r="D1074" t="s">
        <v>1031</v>
      </c>
    </row>
    <row r="1075" spans="1:4" x14ac:dyDescent="0.2">
      <c r="A1075" t="s">
        <v>2982</v>
      </c>
      <c r="B1075" s="2">
        <v>43238</v>
      </c>
      <c r="C1075" t="s">
        <v>1863</v>
      </c>
      <c r="D1075" t="s">
        <v>1804</v>
      </c>
    </row>
    <row r="1076" spans="1:4" x14ac:dyDescent="0.2">
      <c r="A1076" t="s">
        <v>2983</v>
      </c>
      <c r="B1076" s="2">
        <v>43057</v>
      </c>
      <c r="C1076" t="s">
        <v>1803</v>
      </c>
      <c r="D1076" t="s">
        <v>1804</v>
      </c>
    </row>
    <row r="1077" spans="1:4" x14ac:dyDescent="0.2">
      <c r="A1077" t="s">
        <v>2984</v>
      </c>
      <c r="B1077" s="2">
        <v>43032</v>
      </c>
      <c r="C1077" t="s">
        <v>1825</v>
      </c>
      <c r="D1077" t="s">
        <v>1810</v>
      </c>
    </row>
    <row r="1078" spans="1:4" x14ac:dyDescent="0.2">
      <c r="A1078" t="s">
        <v>2985</v>
      </c>
      <c r="B1078" s="2">
        <v>43168</v>
      </c>
      <c r="C1078" t="s">
        <v>2048</v>
      </c>
      <c r="D1078" t="s">
        <v>1810</v>
      </c>
    </row>
    <row r="1079" spans="1:4" x14ac:dyDescent="0.2">
      <c r="A1079" t="s">
        <v>2986</v>
      </c>
      <c r="B1079" s="2">
        <v>43105</v>
      </c>
      <c r="C1079" t="s">
        <v>1836</v>
      </c>
      <c r="D1079" t="s">
        <v>1031</v>
      </c>
    </row>
    <row r="1080" spans="1:4" x14ac:dyDescent="0.2">
      <c r="A1080" t="s">
        <v>2987</v>
      </c>
      <c r="B1080" s="2">
        <v>43155</v>
      </c>
      <c r="C1080" t="s">
        <v>1867</v>
      </c>
      <c r="D1080" t="s">
        <v>160</v>
      </c>
    </row>
    <row r="1081" spans="1:4" x14ac:dyDescent="0.2">
      <c r="A1081" t="s">
        <v>2988</v>
      </c>
      <c r="B1081" s="2">
        <v>43116</v>
      </c>
      <c r="C1081" t="s">
        <v>1825</v>
      </c>
      <c r="D1081" t="s">
        <v>1810</v>
      </c>
    </row>
    <row r="1082" spans="1:4" x14ac:dyDescent="0.2">
      <c r="A1082" t="s">
        <v>2989</v>
      </c>
      <c r="B1082" s="2">
        <v>43133</v>
      </c>
      <c r="C1082" t="s">
        <v>2101</v>
      </c>
      <c r="D1082" t="s">
        <v>1810</v>
      </c>
    </row>
    <row r="1083" spans="1:4" x14ac:dyDescent="0.2">
      <c r="A1083" t="s">
        <v>2990</v>
      </c>
      <c r="B1083" s="2">
        <v>42944</v>
      </c>
      <c r="C1083" t="s">
        <v>1816</v>
      </c>
      <c r="D1083" t="s">
        <v>1796</v>
      </c>
    </row>
    <row r="1084" spans="1:4" x14ac:dyDescent="0.2">
      <c r="A1084" t="s">
        <v>2991</v>
      </c>
      <c r="B1084" s="2">
        <v>43190</v>
      </c>
      <c r="C1084" t="s">
        <v>1863</v>
      </c>
      <c r="D1084" t="s">
        <v>1810</v>
      </c>
    </row>
    <row r="1085" spans="1:4" x14ac:dyDescent="0.2">
      <c r="A1085" t="s">
        <v>2992</v>
      </c>
      <c r="B1085" s="2">
        <v>43241</v>
      </c>
      <c r="C1085" t="s">
        <v>1928</v>
      </c>
      <c r="D1085" t="s">
        <v>1810</v>
      </c>
    </row>
    <row r="1086" spans="1:4" x14ac:dyDescent="0.2">
      <c r="A1086" t="s">
        <v>2993</v>
      </c>
      <c r="B1086" s="2">
        <v>43089</v>
      </c>
      <c r="C1086" t="s">
        <v>1939</v>
      </c>
      <c r="D1086" t="s">
        <v>1810</v>
      </c>
    </row>
    <row r="1087" spans="1:4" x14ac:dyDescent="0.2">
      <c r="A1087" t="s">
        <v>2994</v>
      </c>
      <c r="B1087" s="2">
        <v>43125</v>
      </c>
      <c r="C1087" t="s">
        <v>1812</v>
      </c>
      <c r="D1087" t="s">
        <v>1829</v>
      </c>
    </row>
    <row r="1088" spans="1:4" x14ac:dyDescent="0.2">
      <c r="A1088" t="s">
        <v>2995</v>
      </c>
      <c r="B1088" s="2">
        <v>43160</v>
      </c>
      <c r="C1088" t="s">
        <v>2242</v>
      </c>
      <c r="D1088" t="s">
        <v>1840</v>
      </c>
    </row>
    <row r="1089" spans="1:4" x14ac:dyDescent="0.2">
      <c r="A1089" t="s">
        <v>279</v>
      </c>
      <c r="B1089" s="2">
        <v>43228</v>
      </c>
      <c r="C1089" t="s">
        <v>1816</v>
      </c>
      <c r="D1089" t="s">
        <v>1810</v>
      </c>
    </row>
    <row r="1090" spans="1:4" x14ac:dyDescent="0.2">
      <c r="A1090" t="s">
        <v>2996</v>
      </c>
      <c r="B1090" s="2">
        <v>43157</v>
      </c>
      <c r="C1090" t="s">
        <v>2344</v>
      </c>
      <c r="D1090" t="s">
        <v>1813</v>
      </c>
    </row>
    <row r="1091" spans="1:4" x14ac:dyDescent="0.2">
      <c r="A1091" t="s">
        <v>2997</v>
      </c>
      <c r="B1091" s="2">
        <v>43189</v>
      </c>
      <c r="C1091" t="s">
        <v>2998</v>
      </c>
      <c r="D1091" t="s">
        <v>1840</v>
      </c>
    </row>
    <row r="1092" spans="1:4" x14ac:dyDescent="0.2">
      <c r="A1092" t="s">
        <v>2999</v>
      </c>
      <c r="B1092" s="2">
        <v>43046</v>
      </c>
      <c r="C1092" t="s">
        <v>2115</v>
      </c>
      <c r="D1092" t="s">
        <v>1804</v>
      </c>
    </row>
    <row r="1093" spans="1:4" x14ac:dyDescent="0.2">
      <c r="A1093" t="s">
        <v>3000</v>
      </c>
      <c r="B1093" s="2">
        <v>42954</v>
      </c>
      <c r="C1093" t="s">
        <v>2407</v>
      </c>
      <c r="D1093" t="s">
        <v>1031</v>
      </c>
    </row>
    <row r="1094" spans="1:4" x14ac:dyDescent="0.2">
      <c r="A1094" t="s">
        <v>3001</v>
      </c>
      <c r="B1094" s="2">
        <v>43192</v>
      </c>
      <c r="C1094" t="s">
        <v>3002</v>
      </c>
      <c r="D1094" t="s">
        <v>1810</v>
      </c>
    </row>
    <row r="1095" spans="1:4" x14ac:dyDescent="0.2">
      <c r="A1095" t="s">
        <v>3003</v>
      </c>
      <c r="B1095" s="2">
        <v>43040</v>
      </c>
      <c r="C1095" t="s">
        <v>1905</v>
      </c>
      <c r="D1095" t="s">
        <v>1810</v>
      </c>
    </row>
    <row r="1096" spans="1:4" x14ac:dyDescent="0.2">
      <c r="A1096" t="s">
        <v>3004</v>
      </c>
      <c r="B1096" s="2">
        <v>43045</v>
      </c>
      <c r="C1096" t="s">
        <v>1803</v>
      </c>
      <c r="D1096" t="s">
        <v>1804</v>
      </c>
    </row>
    <row r="1097" spans="1:4" x14ac:dyDescent="0.2">
      <c r="A1097" t="s">
        <v>3005</v>
      </c>
      <c r="B1097" s="2">
        <v>43232</v>
      </c>
      <c r="C1097" t="s">
        <v>1930</v>
      </c>
      <c r="D1097" t="s">
        <v>1807</v>
      </c>
    </row>
    <row r="1098" spans="1:4" x14ac:dyDescent="0.2">
      <c r="A1098" t="s">
        <v>3006</v>
      </c>
      <c r="B1098" s="2">
        <v>43177</v>
      </c>
      <c r="C1098" t="s">
        <v>1905</v>
      </c>
      <c r="D1098" t="s">
        <v>1810</v>
      </c>
    </row>
    <row r="1099" spans="1:4" x14ac:dyDescent="0.2">
      <c r="A1099" t="s">
        <v>3007</v>
      </c>
      <c r="B1099" s="2">
        <v>42949</v>
      </c>
      <c r="C1099" t="s">
        <v>2407</v>
      </c>
      <c r="D1099" t="s">
        <v>1810</v>
      </c>
    </row>
    <row r="1100" spans="1:4" x14ac:dyDescent="0.2">
      <c r="A1100" t="s">
        <v>3008</v>
      </c>
      <c r="B1100" s="2">
        <v>43135</v>
      </c>
      <c r="C1100" t="s">
        <v>1865</v>
      </c>
      <c r="D1100" t="s">
        <v>1807</v>
      </c>
    </row>
    <row r="1101" spans="1:4" x14ac:dyDescent="0.2">
      <c r="A1101" t="s">
        <v>3009</v>
      </c>
      <c r="B1101" s="2">
        <v>43228</v>
      </c>
      <c r="C1101" t="s">
        <v>1832</v>
      </c>
      <c r="D1101" t="s">
        <v>1807</v>
      </c>
    </row>
    <row r="1102" spans="1:4" x14ac:dyDescent="0.2">
      <c r="A1102" t="s">
        <v>3010</v>
      </c>
      <c r="B1102" s="2">
        <v>43201</v>
      </c>
      <c r="C1102" t="s">
        <v>1863</v>
      </c>
      <c r="D1102" t="s">
        <v>1804</v>
      </c>
    </row>
    <row r="1103" spans="1:4" x14ac:dyDescent="0.2">
      <c r="A1103" t="s">
        <v>3011</v>
      </c>
      <c r="B1103" s="2">
        <v>43234</v>
      </c>
      <c r="C1103" t="s">
        <v>1863</v>
      </c>
      <c r="D1103" t="s">
        <v>1804</v>
      </c>
    </row>
    <row r="1104" spans="1:4" x14ac:dyDescent="0.2">
      <c r="A1104" t="s">
        <v>3012</v>
      </c>
      <c r="B1104" s="2">
        <v>42948</v>
      </c>
      <c r="C1104" t="s">
        <v>2143</v>
      </c>
      <c r="D1104" t="s">
        <v>1810</v>
      </c>
    </row>
    <row r="1105" spans="1:4" x14ac:dyDescent="0.2">
      <c r="A1105" t="s">
        <v>3013</v>
      </c>
      <c r="B1105" s="2">
        <v>43123</v>
      </c>
      <c r="C1105" t="s">
        <v>1921</v>
      </c>
      <c r="D1105" t="s">
        <v>1807</v>
      </c>
    </row>
    <row r="1106" spans="1:4" x14ac:dyDescent="0.2">
      <c r="A1106" t="s">
        <v>3014</v>
      </c>
      <c r="B1106" s="2">
        <v>43119</v>
      </c>
      <c r="C1106" t="s">
        <v>1930</v>
      </c>
      <c r="D1106" t="s">
        <v>1807</v>
      </c>
    </row>
    <row r="1107" spans="1:4" x14ac:dyDescent="0.2">
      <c r="A1107" t="s">
        <v>3015</v>
      </c>
      <c r="B1107" s="2">
        <v>43011</v>
      </c>
      <c r="C1107" t="s">
        <v>1836</v>
      </c>
      <c r="D1107" t="s">
        <v>1031</v>
      </c>
    </row>
    <row r="1108" spans="1:4" x14ac:dyDescent="0.2">
      <c r="A1108" t="s">
        <v>3016</v>
      </c>
      <c r="B1108" s="2">
        <v>43117</v>
      </c>
      <c r="C1108" t="s">
        <v>1854</v>
      </c>
      <c r="D1108" t="s">
        <v>1804</v>
      </c>
    </row>
    <row r="1109" spans="1:4" x14ac:dyDescent="0.2">
      <c r="A1109" t="s">
        <v>3017</v>
      </c>
      <c r="B1109" s="2">
        <v>43238</v>
      </c>
      <c r="C1109" t="s">
        <v>1863</v>
      </c>
      <c r="D1109" t="s">
        <v>1804</v>
      </c>
    </row>
    <row r="1110" spans="1:4" x14ac:dyDescent="0.2">
      <c r="A1110" t="s">
        <v>3018</v>
      </c>
      <c r="B1110" s="2">
        <v>42938</v>
      </c>
      <c r="C1110" t="s">
        <v>2679</v>
      </c>
      <c r="D1110" t="s">
        <v>1807</v>
      </c>
    </row>
    <row r="1111" spans="1:4" x14ac:dyDescent="0.2">
      <c r="A1111" t="s">
        <v>283</v>
      </c>
      <c r="B1111" s="2">
        <v>43239</v>
      </c>
      <c r="C1111" t="s">
        <v>3019</v>
      </c>
      <c r="D1111" t="s">
        <v>1807</v>
      </c>
    </row>
    <row r="1112" spans="1:4" x14ac:dyDescent="0.2">
      <c r="A1112" t="s">
        <v>3020</v>
      </c>
      <c r="B1112" s="2">
        <v>43165</v>
      </c>
      <c r="C1112" t="s">
        <v>3021</v>
      </c>
      <c r="D1112" t="s">
        <v>1796</v>
      </c>
    </row>
    <row r="1113" spans="1:4" x14ac:dyDescent="0.2">
      <c r="A1113" t="s">
        <v>3022</v>
      </c>
      <c r="B1113" s="2">
        <v>43228</v>
      </c>
      <c r="C1113" t="s">
        <v>1905</v>
      </c>
      <c r="D1113" t="s">
        <v>1810</v>
      </c>
    </row>
    <row r="1114" spans="1:4" x14ac:dyDescent="0.2">
      <c r="A1114" t="s">
        <v>3023</v>
      </c>
      <c r="B1114" s="2">
        <v>43230</v>
      </c>
      <c r="C1114" t="s">
        <v>3024</v>
      </c>
      <c r="D1114" t="s">
        <v>1840</v>
      </c>
    </row>
    <row r="1115" spans="1:4" x14ac:dyDescent="0.2">
      <c r="A1115" t="s">
        <v>3025</v>
      </c>
      <c r="B1115" s="2">
        <v>43026</v>
      </c>
      <c r="C1115" t="s">
        <v>1825</v>
      </c>
      <c r="D1115" t="s">
        <v>1810</v>
      </c>
    </row>
    <row r="1116" spans="1:4" x14ac:dyDescent="0.2">
      <c r="A1116" t="s">
        <v>3026</v>
      </c>
      <c r="B1116" s="2">
        <v>43064</v>
      </c>
      <c r="C1116" t="s">
        <v>1803</v>
      </c>
      <c r="D1116" t="s">
        <v>1804</v>
      </c>
    </row>
    <row r="1117" spans="1:4" x14ac:dyDescent="0.2">
      <c r="A1117" t="s">
        <v>3027</v>
      </c>
      <c r="B1117" s="2">
        <v>43174</v>
      </c>
      <c r="C1117" t="s">
        <v>1867</v>
      </c>
      <c r="D1117" t="s">
        <v>1807</v>
      </c>
    </row>
    <row r="1118" spans="1:4" x14ac:dyDescent="0.2">
      <c r="A1118" t="s">
        <v>3028</v>
      </c>
      <c r="B1118" s="2">
        <v>42983</v>
      </c>
      <c r="C1118" t="s">
        <v>1867</v>
      </c>
      <c r="D1118" t="s">
        <v>1807</v>
      </c>
    </row>
    <row r="1119" spans="1:4" x14ac:dyDescent="0.2">
      <c r="A1119" t="s">
        <v>3029</v>
      </c>
      <c r="B1119" s="2">
        <v>43243</v>
      </c>
      <c r="C1119" t="s">
        <v>1809</v>
      </c>
      <c r="D1119" t="s">
        <v>1810</v>
      </c>
    </row>
    <row r="1120" spans="1:4" x14ac:dyDescent="0.2">
      <c r="A1120" t="s">
        <v>285</v>
      </c>
      <c r="B1120" s="2">
        <v>43122</v>
      </c>
      <c r="C1120" t="s">
        <v>1905</v>
      </c>
      <c r="D1120" t="s">
        <v>1840</v>
      </c>
    </row>
    <row r="1121" spans="1:4" x14ac:dyDescent="0.2">
      <c r="A1121" t="s">
        <v>3030</v>
      </c>
      <c r="B1121" s="2">
        <v>43033</v>
      </c>
      <c r="C1121" t="s">
        <v>2242</v>
      </c>
      <c r="D1121" t="s">
        <v>1810</v>
      </c>
    </row>
    <row r="1122" spans="1:4" x14ac:dyDescent="0.2">
      <c r="A1122" t="s">
        <v>3031</v>
      </c>
      <c r="B1122" s="2">
        <v>43180</v>
      </c>
      <c r="C1122" t="s">
        <v>2048</v>
      </c>
      <c r="D1122" t="s">
        <v>1810</v>
      </c>
    </row>
    <row r="1123" spans="1:4" x14ac:dyDescent="0.2">
      <c r="A1123" t="s">
        <v>3032</v>
      </c>
      <c r="B1123" s="2">
        <v>43168</v>
      </c>
      <c r="C1123" t="s">
        <v>1816</v>
      </c>
      <c r="D1123" t="s">
        <v>1810</v>
      </c>
    </row>
    <row r="1124" spans="1:4" x14ac:dyDescent="0.2">
      <c r="A1124" t="s">
        <v>3033</v>
      </c>
      <c r="B1124" s="2">
        <v>43099</v>
      </c>
      <c r="C1124" t="s">
        <v>1816</v>
      </c>
      <c r="D1124" t="s">
        <v>1829</v>
      </c>
    </row>
    <row r="1125" spans="1:4" x14ac:dyDescent="0.2">
      <c r="A1125" t="s">
        <v>3034</v>
      </c>
      <c r="B1125" s="2">
        <v>43187</v>
      </c>
      <c r="C1125" t="s">
        <v>2216</v>
      </c>
      <c r="D1125" t="s">
        <v>1807</v>
      </c>
    </row>
    <row r="1126" spans="1:4" x14ac:dyDescent="0.2">
      <c r="A1126" t="s">
        <v>287</v>
      </c>
      <c r="B1126" s="2">
        <v>43168</v>
      </c>
      <c r="C1126" t="s">
        <v>1825</v>
      </c>
      <c r="D1126" t="s">
        <v>1810</v>
      </c>
    </row>
    <row r="1127" spans="1:4" x14ac:dyDescent="0.2">
      <c r="A1127" t="s">
        <v>3035</v>
      </c>
      <c r="B1127" s="2">
        <v>43123</v>
      </c>
      <c r="C1127" t="s">
        <v>1816</v>
      </c>
      <c r="D1127" t="s">
        <v>1810</v>
      </c>
    </row>
    <row r="1128" spans="1:4" x14ac:dyDescent="0.2">
      <c r="A1128" t="s">
        <v>3036</v>
      </c>
      <c r="B1128" s="2">
        <v>43210</v>
      </c>
      <c r="C1128" t="s">
        <v>3037</v>
      </c>
      <c r="D1128" t="s">
        <v>1810</v>
      </c>
    </row>
    <row r="1129" spans="1:4" x14ac:dyDescent="0.2">
      <c r="A1129" t="s">
        <v>3038</v>
      </c>
      <c r="B1129" s="2">
        <v>43222</v>
      </c>
      <c r="C1129" t="s">
        <v>1863</v>
      </c>
      <c r="D1129" t="s">
        <v>1804</v>
      </c>
    </row>
    <row r="1130" spans="1:4" x14ac:dyDescent="0.2">
      <c r="A1130" t="s">
        <v>3039</v>
      </c>
      <c r="B1130" s="2">
        <v>42999</v>
      </c>
      <c r="C1130" t="s">
        <v>2012</v>
      </c>
      <c r="D1130" t="s">
        <v>1807</v>
      </c>
    </row>
    <row r="1131" spans="1:4" x14ac:dyDescent="0.2">
      <c r="A1131" t="s">
        <v>3040</v>
      </c>
      <c r="B1131" s="2">
        <v>43222</v>
      </c>
      <c r="C1131" t="s">
        <v>1863</v>
      </c>
      <c r="D1131" t="s">
        <v>1804</v>
      </c>
    </row>
    <row r="1132" spans="1:4" x14ac:dyDescent="0.2">
      <c r="A1132" t="s">
        <v>289</v>
      </c>
      <c r="B1132" s="2">
        <v>43192</v>
      </c>
      <c r="C1132" t="s">
        <v>1816</v>
      </c>
      <c r="D1132" t="s">
        <v>1810</v>
      </c>
    </row>
    <row r="1133" spans="1:4" x14ac:dyDescent="0.2">
      <c r="A1133" t="s">
        <v>3041</v>
      </c>
      <c r="B1133" s="2">
        <v>43236</v>
      </c>
      <c r="C1133" t="s">
        <v>1905</v>
      </c>
      <c r="D1133" t="s">
        <v>1840</v>
      </c>
    </row>
    <row r="1134" spans="1:4" x14ac:dyDescent="0.2">
      <c r="A1134" t="s">
        <v>3042</v>
      </c>
      <c r="B1134" s="2">
        <v>43174</v>
      </c>
      <c r="C1134" t="s">
        <v>1885</v>
      </c>
      <c r="D1134" t="s">
        <v>1807</v>
      </c>
    </row>
    <row r="1135" spans="1:4" x14ac:dyDescent="0.2">
      <c r="A1135" t="s">
        <v>3043</v>
      </c>
      <c r="B1135" s="2">
        <v>43185</v>
      </c>
      <c r="C1135" t="s">
        <v>1930</v>
      </c>
      <c r="D1135" t="s">
        <v>1807</v>
      </c>
    </row>
    <row r="1136" spans="1:4" x14ac:dyDescent="0.2">
      <c r="A1136" t="s">
        <v>3044</v>
      </c>
      <c r="B1136" s="2">
        <v>43245</v>
      </c>
      <c r="C1136" t="s">
        <v>1928</v>
      </c>
      <c r="D1136" t="s">
        <v>1810</v>
      </c>
    </row>
    <row r="1137" spans="1:4" x14ac:dyDescent="0.2">
      <c r="A1137" t="s">
        <v>291</v>
      </c>
      <c r="B1137" s="2">
        <v>43182</v>
      </c>
      <c r="C1137" t="s">
        <v>1907</v>
      </c>
      <c r="D1137" t="s">
        <v>1807</v>
      </c>
    </row>
    <row r="1138" spans="1:4" x14ac:dyDescent="0.2">
      <c r="A1138" t="s">
        <v>3045</v>
      </c>
      <c r="B1138" s="2">
        <v>43191</v>
      </c>
      <c r="C1138" t="s">
        <v>1816</v>
      </c>
      <c r="D1138" t="s">
        <v>1910</v>
      </c>
    </row>
    <row r="1139" spans="1:4" x14ac:dyDescent="0.2">
      <c r="A1139" t="s">
        <v>3046</v>
      </c>
      <c r="B1139" s="2">
        <v>43053</v>
      </c>
      <c r="C1139" t="s">
        <v>1889</v>
      </c>
      <c r="D1139" t="s">
        <v>1810</v>
      </c>
    </row>
    <row r="1140" spans="1:4" x14ac:dyDescent="0.2">
      <c r="A1140" t="s">
        <v>3047</v>
      </c>
      <c r="B1140" s="2">
        <v>43185</v>
      </c>
      <c r="C1140" t="s">
        <v>3048</v>
      </c>
      <c r="D1140" t="s">
        <v>1031</v>
      </c>
    </row>
    <row r="1141" spans="1:4" x14ac:dyDescent="0.2">
      <c r="A1141" t="s">
        <v>3049</v>
      </c>
      <c r="B1141" s="2">
        <v>43131</v>
      </c>
      <c r="C1141" t="s">
        <v>1816</v>
      </c>
      <c r="D1141" t="s">
        <v>1807</v>
      </c>
    </row>
    <row r="1142" spans="1:4" x14ac:dyDescent="0.2">
      <c r="A1142" t="s">
        <v>3050</v>
      </c>
      <c r="B1142" s="2">
        <v>43154</v>
      </c>
      <c r="C1142" t="s">
        <v>2503</v>
      </c>
      <c r="D1142" t="s">
        <v>1804</v>
      </c>
    </row>
    <row r="1143" spans="1:4" x14ac:dyDescent="0.2">
      <c r="A1143" t="s">
        <v>3051</v>
      </c>
      <c r="B1143" s="2">
        <v>43194</v>
      </c>
      <c r="C1143" t="s">
        <v>1863</v>
      </c>
      <c r="D1143" t="s">
        <v>1804</v>
      </c>
    </row>
    <row r="1144" spans="1:4" x14ac:dyDescent="0.2">
      <c r="A1144" t="s">
        <v>3052</v>
      </c>
      <c r="B1144" s="2">
        <v>43140</v>
      </c>
      <c r="C1144" t="s">
        <v>1803</v>
      </c>
      <c r="D1144" t="s">
        <v>1804</v>
      </c>
    </row>
    <row r="1145" spans="1:4" x14ac:dyDescent="0.2">
      <c r="A1145" t="s">
        <v>293</v>
      </c>
      <c r="B1145" s="2">
        <v>43166</v>
      </c>
      <c r="C1145" t="s">
        <v>1921</v>
      </c>
      <c r="D1145" t="s">
        <v>1804</v>
      </c>
    </row>
    <row r="1146" spans="1:4" x14ac:dyDescent="0.2">
      <c r="A1146" t="s">
        <v>3053</v>
      </c>
      <c r="B1146" s="2">
        <v>43153</v>
      </c>
      <c r="C1146" t="s">
        <v>1803</v>
      </c>
      <c r="D1146" t="s">
        <v>1804</v>
      </c>
    </row>
    <row r="1147" spans="1:4" x14ac:dyDescent="0.2">
      <c r="A1147" t="s">
        <v>3054</v>
      </c>
      <c r="B1147" s="2">
        <v>43116</v>
      </c>
      <c r="C1147" t="s">
        <v>1836</v>
      </c>
      <c r="D1147" t="s">
        <v>1031</v>
      </c>
    </row>
    <row r="1148" spans="1:4" x14ac:dyDescent="0.2">
      <c r="A1148" t="s">
        <v>3055</v>
      </c>
      <c r="B1148" s="2">
        <v>43215</v>
      </c>
      <c r="C1148" t="s">
        <v>3056</v>
      </c>
      <c r="D1148" t="s">
        <v>1031</v>
      </c>
    </row>
    <row r="1149" spans="1:4" x14ac:dyDescent="0.2">
      <c r="A1149" t="s">
        <v>3057</v>
      </c>
      <c r="B1149" s="2">
        <v>42983</v>
      </c>
      <c r="C1149" t="s">
        <v>1894</v>
      </c>
      <c r="D1149" t="s">
        <v>1804</v>
      </c>
    </row>
    <row r="1150" spans="1:4" x14ac:dyDescent="0.2">
      <c r="A1150" t="s">
        <v>3058</v>
      </c>
      <c r="B1150" s="2">
        <v>43135</v>
      </c>
      <c r="C1150" t="s">
        <v>1803</v>
      </c>
      <c r="D1150" t="s">
        <v>1804</v>
      </c>
    </row>
    <row r="1151" spans="1:4" x14ac:dyDescent="0.2">
      <c r="A1151" t="s">
        <v>3059</v>
      </c>
      <c r="B1151" s="2">
        <v>43133</v>
      </c>
      <c r="C1151" t="s">
        <v>1816</v>
      </c>
      <c r="D1151" t="s">
        <v>1810</v>
      </c>
    </row>
    <row r="1152" spans="1:4" x14ac:dyDescent="0.2">
      <c r="A1152" t="s">
        <v>3060</v>
      </c>
      <c r="B1152" s="2">
        <v>43091</v>
      </c>
      <c r="C1152" t="s">
        <v>1905</v>
      </c>
      <c r="D1152" t="s">
        <v>1810</v>
      </c>
    </row>
    <row r="1153" spans="1:4" x14ac:dyDescent="0.2">
      <c r="A1153" t="s">
        <v>3061</v>
      </c>
      <c r="B1153" s="2">
        <v>43203</v>
      </c>
      <c r="C1153" t="s">
        <v>1816</v>
      </c>
      <c r="D1153" t="s">
        <v>1810</v>
      </c>
    </row>
    <row r="1154" spans="1:4" x14ac:dyDescent="0.2">
      <c r="A1154" t="s">
        <v>3062</v>
      </c>
      <c r="B1154" s="2">
        <v>43185</v>
      </c>
      <c r="C1154" t="s">
        <v>1907</v>
      </c>
      <c r="D1154" t="s">
        <v>1807</v>
      </c>
    </row>
    <row r="1155" spans="1:4" x14ac:dyDescent="0.2">
      <c r="A1155" t="s">
        <v>3063</v>
      </c>
      <c r="B1155" s="2">
        <v>42983</v>
      </c>
      <c r="C1155" t="s">
        <v>3064</v>
      </c>
      <c r="D1155" t="s">
        <v>1849</v>
      </c>
    </row>
    <row r="1156" spans="1:4" x14ac:dyDescent="0.2">
      <c r="A1156" t="s">
        <v>3065</v>
      </c>
      <c r="B1156" s="2">
        <v>43018</v>
      </c>
      <c r="C1156" t="s">
        <v>1892</v>
      </c>
      <c r="D1156" t="s">
        <v>1810</v>
      </c>
    </row>
    <row r="1157" spans="1:4" x14ac:dyDescent="0.2">
      <c r="A1157" t="s">
        <v>295</v>
      </c>
      <c r="B1157" s="2">
        <v>43143</v>
      </c>
      <c r="C1157" t="s">
        <v>1930</v>
      </c>
      <c r="D1157" t="s">
        <v>1807</v>
      </c>
    </row>
    <row r="1158" spans="1:4" x14ac:dyDescent="0.2">
      <c r="A1158" t="s">
        <v>3066</v>
      </c>
      <c r="B1158" s="2">
        <v>42928</v>
      </c>
      <c r="C1158" t="s">
        <v>1919</v>
      </c>
      <c r="D1158" t="s">
        <v>160</v>
      </c>
    </row>
    <row r="1159" spans="1:4" x14ac:dyDescent="0.2">
      <c r="A1159" t="s">
        <v>3067</v>
      </c>
      <c r="B1159" s="2">
        <v>43072</v>
      </c>
      <c r="C1159" t="s">
        <v>2303</v>
      </c>
      <c r="D1159" t="s">
        <v>1810</v>
      </c>
    </row>
    <row r="1160" spans="1:4" x14ac:dyDescent="0.2">
      <c r="A1160" t="s">
        <v>3068</v>
      </c>
      <c r="B1160" s="2">
        <v>43150</v>
      </c>
      <c r="C1160" t="s">
        <v>1905</v>
      </c>
      <c r="D1160" t="s">
        <v>1810</v>
      </c>
    </row>
    <row r="1161" spans="1:4" x14ac:dyDescent="0.2">
      <c r="A1161" t="s">
        <v>3069</v>
      </c>
      <c r="B1161" s="2">
        <v>43043</v>
      </c>
      <c r="C1161" t="s">
        <v>1905</v>
      </c>
      <c r="D1161" t="s">
        <v>1807</v>
      </c>
    </row>
    <row r="1162" spans="1:4" x14ac:dyDescent="0.2">
      <c r="A1162" t="s">
        <v>298</v>
      </c>
      <c r="B1162" s="2">
        <v>43232</v>
      </c>
      <c r="C1162" t="s">
        <v>1816</v>
      </c>
      <c r="D1162" t="s">
        <v>1810</v>
      </c>
    </row>
    <row r="1163" spans="1:4" x14ac:dyDescent="0.2">
      <c r="A1163" t="s">
        <v>3070</v>
      </c>
      <c r="B1163" s="2">
        <v>43199</v>
      </c>
      <c r="C1163" t="s">
        <v>1816</v>
      </c>
      <c r="D1163" t="s">
        <v>1910</v>
      </c>
    </row>
    <row r="1164" spans="1:4" x14ac:dyDescent="0.2">
      <c r="A1164" t="s">
        <v>3071</v>
      </c>
      <c r="B1164" s="2">
        <v>43200</v>
      </c>
      <c r="C1164" t="s">
        <v>1827</v>
      </c>
      <c r="D1164" t="s">
        <v>1807</v>
      </c>
    </row>
    <row r="1165" spans="1:4" x14ac:dyDescent="0.2">
      <c r="A1165" t="s">
        <v>3072</v>
      </c>
      <c r="B1165" s="2">
        <v>43222</v>
      </c>
      <c r="C1165" t="s">
        <v>2070</v>
      </c>
      <c r="D1165" t="s">
        <v>1813</v>
      </c>
    </row>
    <row r="1166" spans="1:4" x14ac:dyDescent="0.2">
      <c r="A1166" t="s">
        <v>3073</v>
      </c>
      <c r="B1166" s="2">
        <v>43200</v>
      </c>
      <c r="C1166" t="s">
        <v>1816</v>
      </c>
      <c r="D1166" t="s">
        <v>1031</v>
      </c>
    </row>
    <row r="1167" spans="1:4" x14ac:dyDescent="0.2">
      <c r="A1167" t="s">
        <v>300</v>
      </c>
      <c r="B1167" s="2">
        <v>43116</v>
      </c>
      <c r="C1167" t="s">
        <v>3074</v>
      </c>
      <c r="D1167" t="s">
        <v>1796</v>
      </c>
    </row>
    <row r="1168" spans="1:4" x14ac:dyDescent="0.2">
      <c r="A1168" t="s">
        <v>3075</v>
      </c>
      <c r="B1168" s="2">
        <v>43192</v>
      </c>
      <c r="C1168" t="s">
        <v>1863</v>
      </c>
      <c r="D1168" t="s">
        <v>1804</v>
      </c>
    </row>
    <row r="1169" spans="1:4" x14ac:dyDescent="0.2">
      <c r="A1169" t="s">
        <v>302</v>
      </c>
      <c r="B1169" s="2">
        <v>43165</v>
      </c>
      <c r="C1169" t="s">
        <v>1905</v>
      </c>
      <c r="D1169" t="s">
        <v>1810</v>
      </c>
    </row>
    <row r="1170" spans="1:4" x14ac:dyDescent="0.2">
      <c r="A1170" t="s">
        <v>3076</v>
      </c>
      <c r="B1170" s="2">
        <v>43192</v>
      </c>
      <c r="C1170" t="s">
        <v>1836</v>
      </c>
      <c r="D1170" t="s">
        <v>1810</v>
      </c>
    </row>
    <row r="1171" spans="1:4" x14ac:dyDescent="0.2">
      <c r="A1171" t="s">
        <v>3077</v>
      </c>
      <c r="B1171" s="2">
        <v>43179</v>
      </c>
      <c r="C1171" t="s">
        <v>3078</v>
      </c>
      <c r="D1171" t="s">
        <v>1807</v>
      </c>
    </row>
    <row r="1172" spans="1:4" x14ac:dyDescent="0.2">
      <c r="A1172" t="s">
        <v>3079</v>
      </c>
      <c r="B1172" s="2">
        <v>43158</v>
      </c>
      <c r="C1172" t="s">
        <v>1825</v>
      </c>
      <c r="D1172" t="s">
        <v>1810</v>
      </c>
    </row>
    <row r="1173" spans="1:4" x14ac:dyDescent="0.2">
      <c r="A1173" t="s">
        <v>3080</v>
      </c>
      <c r="B1173" s="2">
        <v>43034</v>
      </c>
      <c r="C1173" t="s">
        <v>2965</v>
      </c>
      <c r="D1173" t="s">
        <v>1813</v>
      </c>
    </row>
    <row r="1174" spans="1:4" x14ac:dyDescent="0.2">
      <c r="A1174" t="s">
        <v>3081</v>
      </c>
      <c r="B1174" s="2">
        <v>42992</v>
      </c>
      <c r="C1174" t="s">
        <v>2276</v>
      </c>
      <c r="D1174" t="s">
        <v>1813</v>
      </c>
    </row>
    <row r="1175" spans="1:4" x14ac:dyDescent="0.2">
      <c r="A1175" t="s">
        <v>3082</v>
      </c>
      <c r="B1175" s="2">
        <v>43038</v>
      </c>
      <c r="C1175" t="s">
        <v>1816</v>
      </c>
      <c r="D1175" t="s">
        <v>1810</v>
      </c>
    </row>
    <row r="1176" spans="1:4" x14ac:dyDescent="0.2">
      <c r="A1176" t="s">
        <v>3083</v>
      </c>
      <c r="B1176" s="2">
        <v>43146</v>
      </c>
      <c r="C1176" t="s">
        <v>1987</v>
      </c>
      <c r="D1176" t="s">
        <v>1813</v>
      </c>
    </row>
    <row r="1177" spans="1:4" x14ac:dyDescent="0.2">
      <c r="A1177" t="s">
        <v>3084</v>
      </c>
      <c r="B1177" s="2">
        <v>43198</v>
      </c>
      <c r="C1177" t="s">
        <v>1863</v>
      </c>
      <c r="D1177" t="s">
        <v>1804</v>
      </c>
    </row>
    <row r="1178" spans="1:4" x14ac:dyDescent="0.2">
      <c r="A1178" t="s">
        <v>3085</v>
      </c>
      <c r="B1178" s="2">
        <v>43066</v>
      </c>
      <c r="C1178" t="s">
        <v>1803</v>
      </c>
      <c r="D1178" t="s">
        <v>1804</v>
      </c>
    </row>
    <row r="1179" spans="1:4" x14ac:dyDescent="0.2">
      <c r="A1179" t="s">
        <v>3086</v>
      </c>
      <c r="B1179" s="2">
        <v>42977</v>
      </c>
      <c r="C1179" t="s">
        <v>1867</v>
      </c>
      <c r="D1179" t="s">
        <v>1807</v>
      </c>
    </row>
    <row r="1180" spans="1:4" x14ac:dyDescent="0.2">
      <c r="A1180" t="s">
        <v>304</v>
      </c>
      <c r="B1180" s="2">
        <v>43241</v>
      </c>
      <c r="C1180" t="s">
        <v>1863</v>
      </c>
      <c r="D1180" t="s">
        <v>1804</v>
      </c>
    </row>
    <row r="1181" spans="1:4" x14ac:dyDescent="0.2">
      <c r="A1181" t="s">
        <v>3087</v>
      </c>
      <c r="B1181" s="2">
        <v>43146</v>
      </c>
      <c r="C1181" t="s">
        <v>1930</v>
      </c>
      <c r="D1181" t="s">
        <v>1807</v>
      </c>
    </row>
    <row r="1182" spans="1:4" x14ac:dyDescent="0.2">
      <c r="A1182" t="s">
        <v>3088</v>
      </c>
      <c r="B1182" s="2">
        <v>43224</v>
      </c>
      <c r="C1182" t="s">
        <v>2070</v>
      </c>
      <c r="D1182" t="s">
        <v>1813</v>
      </c>
    </row>
    <row r="1183" spans="1:4" x14ac:dyDescent="0.2">
      <c r="A1183" t="s">
        <v>3089</v>
      </c>
      <c r="B1183" s="2">
        <v>43237</v>
      </c>
      <c r="C1183" t="s">
        <v>3090</v>
      </c>
      <c r="D1183" t="s">
        <v>1031</v>
      </c>
    </row>
    <row r="1184" spans="1:4" x14ac:dyDescent="0.2">
      <c r="A1184" t="s">
        <v>306</v>
      </c>
      <c r="B1184" s="2">
        <v>43227</v>
      </c>
      <c r="C1184" t="s">
        <v>1836</v>
      </c>
      <c r="D1184" t="s">
        <v>1031</v>
      </c>
    </row>
    <row r="1185" spans="1:4" x14ac:dyDescent="0.2">
      <c r="A1185" t="s">
        <v>3091</v>
      </c>
      <c r="B1185" s="2">
        <v>43235</v>
      </c>
      <c r="C1185" t="s">
        <v>3092</v>
      </c>
      <c r="D1185" t="s">
        <v>1829</v>
      </c>
    </row>
    <row r="1186" spans="1:4" x14ac:dyDescent="0.2">
      <c r="A1186" t="s">
        <v>3093</v>
      </c>
      <c r="B1186" s="2">
        <v>43187</v>
      </c>
      <c r="C1186" t="s">
        <v>1867</v>
      </c>
      <c r="D1186" t="s">
        <v>1813</v>
      </c>
    </row>
    <row r="1187" spans="1:4" x14ac:dyDescent="0.2">
      <c r="A1187" t="s">
        <v>3094</v>
      </c>
      <c r="B1187" s="2">
        <v>43188</v>
      </c>
      <c r="C1187" t="s">
        <v>1836</v>
      </c>
      <c r="D1187" t="s">
        <v>1031</v>
      </c>
    </row>
    <row r="1188" spans="1:4" x14ac:dyDescent="0.2">
      <c r="A1188" t="s">
        <v>3095</v>
      </c>
      <c r="B1188" s="2">
        <v>43248</v>
      </c>
      <c r="C1188" t="s">
        <v>1863</v>
      </c>
      <c r="D1188" t="s">
        <v>1804</v>
      </c>
    </row>
    <row r="1189" spans="1:4" x14ac:dyDescent="0.2">
      <c r="A1189" t="s">
        <v>3096</v>
      </c>
      <c r="B1189" s="2">
        <v>43225</v>
      </c>
      <c r="C1189" t="s">
        <v>1816</v>
      </c>
      <c r="D1189" t="s">
        <v>1810</v>
      </c>
    </row>
    <row r="1190" spans="1:4" x14ac:dyDescent="0.2">
      <c r="A1190" t="s">
        <v>3097</v>
      </c>
      <c r="B1190" s="2">
        <v>43192</v>
      </c>
      <c r="C1190" t="s">
        <v>1836</v>
      </c>
      <c r="D1190" t="s">
        <v>1031</v>
      </c>
    </row>
    <row r="1191" spans="1:4" x14ac:dyDescent="0.2">
      <c r="A1191" t="s">
        <v>3098</v>
      </c>
      <c r="B1191" s="2">
        <v>43175</v>
      </c>
      <c r="C1191" t="s">
        <v>1907</v>
      </c>
      <c r="D1191" t="s">
        <v>1807</v>
      </c>
    </row>
    <row r="1192" spans="1:4" x14ac:dyDescent="0.2">
      <c r="A1192" t="s">
        <v>3099</v>
      </c>
      <c r="B1192" s="2">
        <v>42976</v>
      </c>
      <c r="C1192" t="s">
        <v>1939</v>
      </c>
      <c r="D1192" t="s">
        <v>1840</v>
      </c>
    </row>
    <row r="1193" spans="1:4" x14ac:dyDescent="0.2">
      <c r="A1193" t="s">
        <v>3100</v>
      </c>
      <c r="B1193" s="2">
        <v>42956</v>
      </c>
      <c r="C1193" t="s">
        <v>3101</v>
      </c>
      <c r="D1193" t="s">
        <v>1031</v>
      </c>
    </row>
    <row r="1194" spans="1:4" x14ac:dyDescent="0.2">
      <c r="A1194" t="s">
        <v>3102</v>
      </c>
      <c r="B1194" s="2">
        <v>42975</v>
      </c>
      <c r="C1194" t="s">
        <v>1894</v>
      </c>
      <c r="D1194" t="s">
        <v>1804</v>
      </c>
    </row>
    <row r="1195" spans="1:4" x14ac:dyDescent="0.2">
      <c r="A1195" t="s">
        <v>3103</v>
      </c>
      <c r="B1195" s="2">
        <v>43114</v>
      </c>
      <c r="C1195" t="s">
        <v>1836</v>
      </c>
      <c r="D1195" t="s">
        <v>1810</v>
      </c>
    </row>
    <row r="1196" spans="1:4" x14ac:dyDescent="0.2">
      <c r="A1196" t="s">
        <v>3104</v>
      </c>
      <c r="B1196" s="2">
        <v>43185</v>
      </c>
      <c r="C1196" t="s">
        <v>2048</v>
      </c>
      <c r="D1196" t="s">
        <v>1807</v>
      </c>
    </row>
    <row r="1197" spans="1:4" x14ac:dyDescent="0.2">
      <c r="A1197" t="s">
        <v>3105</v>
      </c>
      <c r="B1197" s="2">
        <v>43246</v>
      </c>
      <c r="C1197" t="s">
        <v>1816</v>
      </c>
      <c r="D1197" t="s">
        <v>1810</v>
      </c>
    </row>
    <row r="1198" spans="1:4" x14ac:dyDescent="0.2">
      <c r="A1198" t="s">
        <v>308</v>
      </c>
      <c r="B1198" s="2">
        <v>43166</v>
      </c>
      <c r="C1198" t="s">
        <v>1930</v>
      </c>
      <c r="D1198" t="s">
        <v>1807</v>
      </c>
    </row>
    <row r="1199" spans="1:4" x14ac:dyDescent="0.2">
      <c r="A1199" t="s">
        <v>3106</v>
      </c>
      <c r="B1199" s="2">
        <v>42978</v>
      </c>
      <c r="C1199" t="s">
        <v>1825</v>
      </c>
      <c r="D1199" t="s">
        <v>1810</v>
      </c>
    </row>
    <row r="1200" spans="1:4" x14ac:dyDescent="0.2">
      <c r="A1200" t="s">
        <v>3107</v>
      </c>
      <c r="B1200" s="2">
        <v>43107</v>
      </c>
      <c r="C1200" t="s">
        <v>1867</v>
      </c>
      <c r="D1200" t="s">
        <v>1840</v>
      </c>
    </row>
    <row r="1201" spans="1:4" x14ac:dyDescent="0.2">
      <c r="A1201" t="s">
        <v>3108</v>
      </c>
      <c r="B1201" s="2">
        <v>43178</v>
      </c>
      <c r="C1201" t="s">
        <v>1928</v>
      </c>
      <c r="D1201" t="s">
        <v>1813</v>
      </c>
    </row>
    <row r="1202" spans="1:4" x14ac:dyDescent="0.2">
      <c r="A1202" t="s">
        <v>3109</v>
      </c>
      <c r="B1202" s="2">
        <v>43146</v>
      </c>
      <c r="C1202" t="s">
        <v>1836</v>
      </c>
      <c r="D1202" t="s">
        <v>1031</v>
      </c>
    </row>
    <row r="1203" spans="1:4" x14ac:dyDescent="0.2">
      <c r="A1203" t="s">
        <v>3110</v>
      </c>
      <c r="B1203" s="2">
        <v>43124</v>
      </c>
      <c r="C1203" t="s">
        <v>1987</v>
      </c>
      <c r="D1203" t="s">
        <v>1810</v>
      </c>
    </row>
    <row r="1204" spans="1:4" x14ac:dyDescent="0.2">
      <c r="A1204" t="s">
        <v>3111</v>
      </c>
      <c r="B1204" s="2">
        <v>43102</v>
      </c>
      <c r="C1204" t="s">
        <v>1875</v>
      </c>
      <c r="D1204" t="s">
        <v>1810</v>
      </c>
    </row>
    <row r="1205" spans="1:4" x14ac:dyDescent="0.2">
      <c r="A1205" t="s">
        <v>3112</v>
      </c>
      <c r="B1205" s="2">
        <v>43164</v>
      </c>
      <c r="C1205" t="s">
        <v>1836</v>
      </c>
      <c r="D1205" t="s">
        <v>1031</v>
      </c>
    </row>
    <row r="1206" spans="1:4" x14ac:dyDescent="0.2">
      <c r="A1206" t="s">
        <v>3113</v>
      </c>
      <c r="B1206" s="2">
        <v>43130</v>
      </c>
      <c r="C1206" t="s">
        <v>2182</v>
      </c>
      <c r="D1206" t="s">
        <v>1031</v>
      </c>
    </row>
    <row r="1207" spans="1:4" x14ac:dyDescent="0.2">
      <c r="A1207" t="s">
        <v>3114</v>
      </c>
      <c r="B1207" s="2">
        <v>43111</v>
      </c>
      <c r="C1207" t="s">
        <v>1831</v>
      </c>
      <c r="D1207" t="s">
        <v>1810</v>
      </c>
    </row>
    <row r="1208" spans="1:4" x14ac:dyDescent="0.2">
      <c r="A1208" t="s">
        <v>310</v>
      </c>
      <c r="B1208" s="2">
        <v>43208</v>
      </c>
      <c r="C1208" t="s">
        <v>1930</v>
      </c>
      <c r="D1208" t="s">
        <v>1804</v>
      </c>
    </row>
    <row r="1209" spans="1:4" x14ac:dyDescent="0.2">
      <c r="A1209" t="s">
        <v>3115</v>
      </c>
      <c r="B1209" s="2">
        <v>43111</v>
      </c>
      <c r="C1209" t="s">
        <v>2062</v>
      </c>
      <c r="D1209" t="s">
        <v>1804</v>
      </c>
    </row>
    <row r="1210" spans="1:4" x14ac:dyDescent="0.2">
      <c r="A1210" t="s">
        <v>3116</v>
      </c>
      <c r="B1210" s="2">
        <v>42997</v>
      </c>
      <c r="C1210" t="s">
        <v>1867</v>
      </c>
      <c r="D1210" t="s">
        <v>1810</v>
      </c>
    </row>
    <row r="1211" spans="1:4" x14ac:dyDescent="0.2">
      <c r="A1211" t="s">
        <v>3117</v>
      </c>
      <c r="B1211" s="2">
        <v>43213</v>
      </c>
      <c r="C1211" t="s">
        <v>1816</v>
      </c>
      <c r="D1211" t="s">
        <v>1840</v>
      </c>
    </row>
    <row r="1212" spans="1:4" x14ac:dyDescent="0.2">
      <c r="A1212" t="s">
        <v>3118</v>
      </c>
      <c r="B1212" s="2">
        <v>43117</v>
      </c>
      <c r="C1212" t="s">
        <v>3119</v>
      </c>
      <c r="D1212" t="s">
        <v>1804</v>
      </c>
    </row>
    <row r="1213" spans="1:4" x14ac:dyDescent="0.2">
      <c r="A1213" t="s">
        <v>3120</v>
      </c>
      <c r="B1213" s="2">
        <v>43012</v>
      </c>
      <c r="C1213" t="s">
        <v>1907</v>
      </c>
      <c r="D1213" t="s">
        <v>1807</v>
      </c>
    </row>
    <row r="1214" spans="1:4" x14ac:dyDescent="0.2">
      <c r="A1214" t="s">
        <v>312</v>
      </c>
      <c r="B1214" s="2">
        <v>43182</v>
      </c>
      <c r="C1214" t="s">
        <v>1816</v>
      </c>
      <c r="D1214" t="s">
        <v>1810</v>
      </c>
    </row>
    <row r="1215" spans="1:4" x14ac:dyDescent="0.2">
      <c r="A1215" t="s">
        <v>3121</v>
      </c>
      <c r="B1215" s="2">
        <v>43200</v>
      </c>
      <c r="C1215" t="s">
        <v>1825</v>
      </c>
      <c r="D1215" t="s">
        <v>1804</v>
      </c>
    </row>
    <row r="1216" spans="1:4" x14ac:dyDescent="0.2">
      <c r="A1216" t="s">
        <v>3122</v>
      </c>
      <c r="B1216" s="2">
        <v>43147</v>
      </c>
      <c r="C1216" t="s">
        <v>1825</v>
      </c>
      <c r="D1216" t="s">
        <v>1829</v>
      </c>
    </row>
    <row r="1217" spans="1:4" x14ac:dyDescent="0.2">
      <c r="A1217" t="s">
        <v>3123</v>
      </c>
      <c r="B1217" s="2">
        <v>43241</v>
      </c>
      <c r="C1217" t="s">
        <v>1928</v>
      </c>
      <c r="D1217" t="s">
        <v>1813</v>
      </c>
    </row>
    <row r="1218" spans="1:4" x14ac:dyDescent="0.2">
      <c r="A1218" t="s">
        <v>3124</v>
      </c>
      <c r="B1218" s="2">
        <v>43027</v>
      </c>
      <c r="C1218" t="s">
        <v>3125</v>
      </c>
      <c r="D1218" t="s">
        <v>1031</v>
      </c>
    </row>
    <row r="1219" spans="1:4" x14ac:dyDescent="0.2">
      <c r="A1219" t="s">
        <v>3126</v>
      </c>
      <c r="B1219" s="2">
        <v>43093</v>
      </c>
      <c r="C1219" t="s">
        <v>1803</v>
      </c>
      <c r="D1219" t="s">
        <v>1804</v>
      </c>
    </row>
    <row r="1220" spans="1:4" x14ac:dyDescent="0.2">
      <c r="A1220" t="s">
        <v>3127</v>
      </c>
      <c r="B1220" s="2">
        <v>43052</v>
      </c>
      <c r="C1220" t="s">
        <v>1889</v>
      </c>
      <c r="D1220" t="s">
        <v>1813</v>
      </c>
    </row>
    <row r="1221" spans="1:4" x14ac:dyDescent="0.2">
      <c r="A1221" t="s">
        <v>3128</v>
      </c>
      <c r="B1221" s="2">
        <v>43124</v>
      </c>
      <c r="C1221" t="s">
        <v>2108</v>
      </c>
      <c r="D1221" t="s">
        <v>160</v>
      </c>
    </row>
    <row r="1222" spans="1:4" x14ac:dyDescent="0.2">
      <c r="A1222" t="s">
        <v>3129</v>
      </c>
      <c r="B1222" s="2">
        <v>43202</v>
      </c>
      <c r="C1222" t="s">
        <v>1863</v>
      </c>
      <c r="D1222" t="s">
        <v>1804</v>
      </c>
    </row>
    <row r="1223" spans="1:4" x14ac:dyDescent="0.2">
      <c r="A1223" t="s">
        <v>3130</v>
      </c>
      <c r="B1223" s="2">
        <v>43127</v>
      </c>
      <c r="C1223" t="s">
        <v>1816</v>
      </c>
      <c r="D1223" t="s">
        <v>1810</v>
      </c>
    </row>
    <row r="1224" spans="1:4" x14ac:dyDescent="0.2">
      <c r="A1224" t="s">
        <v>3131</v>
      </c>
      <c r="B1224" s="2">
        <v>43015</v>
      </c>
      <c r="C1224" t="s">
        <v>2563</v>
      </c>
      <c r="D1224" t="s">
        <v>1804</v>
      </c>
    </row>
    <row r="1225" spans="1:4" x14ac:dyDescent="0.2">
      <c r="A1225" t="s">
        <v>3132</v>
      </c>
      <c r="B1225" s="2">
        <v>43029</v>
      </c>
      <c r="C1225" t="s">
        <v>1892</v>
      </c>
      <c r="D1225" t="s">
        <v>1840</v>
      </c>
    </row>
    <row r="1226" spans="1:4" x14ac:dyDescent="0.2">
      <c r="A1226" t="s">
        <v>3133</v>
      </c>
      <c r="B1226" s="2">
        <v>43244</v>
      </c>
      <c r="C1226" t="s">
        <v>1867</v>
      </c>
      <c r="D1226" t="s">
        <v>1810</v>
      </c>
    </row>
    <row r="1227" spans="1:4" x14ac:dyDescent="0.2">
      <c r="A1227" t="s">
        <v>3134</v>
      </c>
      <c r="B1227" s="2">
        <v>43223</v>
      </c>
      <c r="C1227" t="s">
        <v>1832</v>
      </c>
      <c r="D1227" t="s">
        <v>1807</v>
      </c>
    </row>
    <row r="1228" spans="1:4" x14ac:dyDescent="0.2">
      <c r="A1228" t="s">
        <v>3135</v>
      </c>
      <c r="B1228" s="2">
        <v>43106</v>
      </c>
      <c r="C1228" t="s">
        <v>1905</v>
      </c>
      <c r="D1228" t="s">
        <v>1807</v>
      </c>
    </row>
    <row r="1229" spans="1:4" x14ac:dyDescent="0.2">
      <c r="A1229" t="s">
        <v>314</v>
      </c>
      <c r="B1229" s="2">
        <v>43115</v>
      </c>
      <c r="C1229" t="s">
        <v>2318</v>
      </c>
      <c r="D1229" t="s">
        <v>1810</v>
      </c>
    </row>
    <row r="1230" spans="1:4" x14ac:dyDescent="0.2">
      <c r="A1230" t="s">
        <v>316</v>
      </c>
      <c r="B1230" s="2">
        <v>43203</v>
      </c>
      <c r="C1230" t="s">
        <v>1863</v>
      </c>
      <c r="D1230" t="s">
        <v>1804</v>
      </c>
    </row>
    <row r="1231" spans="1:4" x14ac:dyDescent="0.2">
      <c r="A1231" t="s">
        <v>3136</v>
      </c>
      <c r="B1231" s="2">
        <v>43122</v>
      </c>
      <c r="C1231" t="s">
        <v>1959</v>
      </c>
      <c r="D1231" t="s">
        <v>1810</v>
      </c>
    </row>
    <row r="1232" spans="1:4" x14ac:dyDescent="0.2">
      <c r="A1232" t="s">
        <v>3137</v>
      </c>
      <c r="B1232" s="2">
        <v>43064</v>
      </c>
      <c r="C1232" t="s">
        <v>1930</v>
      </c>
      <c r="D1232" t="s">
        <v>1807</v>
      </c>
    </row>
    <row r="1233" spans="1:4" x14ac:dyDescent="0.2">
      <c r="A1233" t="s">
        <v>3138</v>
      </c>
      <c r="B1233" s="2">
        <v>43052</v>
      </c>
      <c r="C1233" t="s">
        <v>1939</v>
      </c>
      <c r="D1233" t="s">
        <v>1810</v>
      </c>
    </row>
    <row r="1234" spans="1:4" x14ac:dyDescent="0.2">
      <c r="A1234" t="s">
        <v>3139</v>
      </c>
      <c r="B1234" s="2">
        <v>43136</v>
      </c>
      <c r="C1234" t="s">
        <v>2716</v>
      </c>
      <c r="D1234" t="s">
        <v>1810</v>
      </c>
    </row>
    <row r="1235" spans="1:4" x14ac:dyDescent="0.2">
      <c r="A1235" t="s">
        <v>3140</v>
      </c>
      <c r="B1235" s="2">
        <v>43222</v>
      </c>
      <c r="C1235" t="s">
        <v>1836</v>
      </c>
      <c r="D1235" t="s">
        <v>1810</v>
      </c>
    </row>
    <row r="1236" spans="1:4" x14ac:dyDescent="0.2">
      <c r="A1236" t="s">
        <v>3141</v>
      </c>
      <c r="B1236" s="2">
        <v>43186</v>
      </c>
      <c r="C1236" t="s">
        <v>1905</v>
      </c>
      <c r="D1236" t="s">
        <v>1810</v>
      </c>
    </row>
    <row r="1237" spans="1:4" x14ac:dyDescent="0.2">
      <c r="A1237" t="s">
        <v>3142</v>
      </c>
      <c r="B1237" s="2">
        <v>43241</v>
      </c>
      <c r="C1237" t="s">
        <v>1915</v>
      </c>
      <c r="D1237" t="s">
        <v>1807</v>
      </c>
    </row>
    <row r="1238" spans="1:4" x14ac:dyDescent="0.2">
      <c r="A1238" t="s">
        <v>3143</v>
      </c>
      <c r="B1238" s="2">
        <v>43198</v>
      </c>
      <c r="C1238" t="s">
        <v>2115</v>
      </c>
      <c r="D1238" t="s">
        <v>1804</v>
      </c>
    </row>
    <row r="1239" spans="1:4" x14ac:dyDescent="0.2">
      <c r="A1239" t="s">
        <v>3144</v>
      </c>
      <c r="B1239" s="2">
        <v>43084</v>
      </c>
      <c r="C1239" t="s">
        <v>1885</v>
      </c>
      <c r="D1239" t="s">
        <v>1807</v>
      </c>
    </row>
    <row r="1240" spans="1:4" x14ac:dyDescent="0.2">
      <c r="A1240" t="s">
        <v>3145</v>
      </c>
      <c r="B1240" s="2">
        <v>43238</v>
      </c>
      <c r="C1240" t="s">
        <v>2204</v>
      </c>
      <c r="D1240" t="s">
        <v>1807</v>
      </c>
    </row>
    <row r="1241" spans="1:4" x14ac:dyDescent="0.2">
      <c r="A1241" t="s">
        <v>318</v>
      </c>
      <c r="B1241" s="2">
        <v>43182</v>
      </c>
      <c r="C1241" t="s">
        <v>1836</v>
      </c>
      <c r="D1241" t="s">
        <v>1031</v>
      </c>
    </row>
    <row r="1242" spans="1:4" x14ac:dyDescent="0.2">
      <c r="A1242" t="s">
        <v>3146</v>
      </c>
      <c r="B1242" s="2">
        <v>42970</v>
      </c>
      <c r="C1242" t="s">
        <v>1825</v>
      </c>
      <c r="D1242" t="s">
        <v>1810</v>
      </c>
    </row>
    <row r="1243" spans="1:4" x14ac:dyDescent="0.2">
      <c r="A1243" t="s">
        <v>3147</v>
      </c>
      <c r="B1243" s="2">
        <v>43210</v>
      </c>
      <c r="C1243" t="s">
        <v>1816</v>
      </c>
      <c r="D1243" t="s">
        <v>1810</v>
      </c>
    </row>
    <row r="1244" spans="1:4" x14ac:dyDescent="0.2">
      <c r="A1244" t="s">
        <v>3148</v>
      </c>
      <c r="B1244" s="2">
        <v>43019</v>
      </c>
      <c r="C1244" t="s">
        <v>1809</v>
      </c>
      <c r="D1244" t="s">
        <v>1840</v>
      </c>
    </row>
    <row r="1245" spans="1:4" x14ac:dyDescent="0.2">
      <c r="A1245" t="s">
        <v>320</v>
      </c>
      <c r="B1245" s="2">
        <v>43231</v>
      </c>
      <c r="C1245" t="s">
        <v>2698</v>
      </c>
      <c r="D1245" t="s">
        <v>1807</v>
      </c>
    </row>
    <row r="1246" spans="1:4" x14ac:dyDescent="0.2">
      <c r="A1246" t="s">
        <v>3149</v>
      </c>
      <c r="B1246" s="2">
        <v>43168</v>
      </c>
      <c r="C1246" t="s">
        <v>1825</v>
      </c>
      <c r="D1246" t="s">
        <v>1840</v>
      </c>
    </row>
    <row r="1247" spans="1:4" x14ac:dyDescent="0.2">
      <c r="A1247" t="s">
        <v>3150</v>
      </c>
      <c r="B1247" s="2">
        <v>43115</v>
      </c>
      <c r="C1247" t="s">
        <v>1803</v>
      </c>
      <c r="D1247" t="s">
        <v>1804</v>
      </c>
    </row>
    <row r="1248" spans="1:4" x14ac:dyDescent="0.2">
      <c r="A1248" t="s">
        <v>3151</v>
      </c>
      <c r="B1248" s="2">
        <v>43150</v>
      </c>
      <c r="C1248" t="s">
        <v>3152</v>
      </c>
      <c r="D1248" t="s">
        <v>1810</v>
      </c>
    </row>
    <row r="1249" spans="1:4" x14ac:dyDescent="0.2">
      <c r="A1249" t="s">
        <v>3153</v>
      </c>
      <c r="B1249" s="2">
        <v>43152</v>
      </c>
      <c r="C1249" t="s">
        <v>1816</v>
      </c>
      <c r="D1249" t="s">
        <v>1840</v>
      </c>
    </row>
    <row r="1250" spans="1:4" x14ac:dyDescent="0.2">
      <c r="A1250" t="s">
        <v>3154</v>
      </c>
      <c r="B1250" s="2">
        <v>42995</v>
      </c>
      <c r="C1250" t="s">
        <v>1806</v>
      </c>
      <c r="D1250" t="s">
        <v>1849</v>
      </c>
    </row>
    <row r="1251" spans="1:4" x14ac:dyDescent="0.2">
      <c r="A1251" t="s">
        <v>3155</v>
      </c>
      <c r="B1251" s="2">
        <v>43068</v>
      </c>
      <c r="C1251" t="s">
        <v>1930</v>
      </c>
      <c r="D1251" t="s">
        <v>1807</v>
      </c>
    </row>
    <row r="1252" spans="1:4" x14ac:dyDescent="0.2">
      <c r="A1252" t="s">
        <v>3156</v>
      </c>
      <c r="B1252" s="2">
        <v>43133</v>
      </c>
      <c r="C1252" t="s">
        <v>2048</v>
      </c>
      <c r="D1252" t="s">
        <v>1829</v>
      </c>
    </row>
    <row r="1253" spans="1:4" x14ac:dyDescent="0.2">
      <c r="A1253" t="s">
        <v>3157</v>
      </c>
      <c r="B1253" s="2">
        <v>43037</v>
      </c>
      <c r="C1253" t="s">
        <v>1803</v>
      </c>
      <c r="D1253" t="s">
        <v>1804</v>
      </c>
    </row>
    <row r="1254" spans="1:4" x14ac:dyDescent="0.2">
      <c r="A1254" t="s">
        <v>3158</v>
      </c>
      <c r="B1254" s="2">
        <v>43200</v>
      </c>
      <c r="C1254" t="s">
        <v>1831</v>
      </c>
      <c r="D1254" t="s">
        <v>160</v>
      </c>
    </row>
    <row r="1255" spans="1:4" x14ac:dyDescent="0.2">
      <c r="A1255" t="s">
        <v>3159</v>
      </c>
      <c r="B1255" s="2">
        <v>43118</v>
      </c>
      <c r="C1255" t="s">
        <v>1836</v>
      </c>
      <c r="D1255" t="s">
        <v>1031</v>
      </c>
    </row>
    <row r="1256" spans="1:4" x14ac:dyDescent="0.2">
      <c r="A1256" t="s">
        <v>3160</v>
      </c>
      <c r="B1256" s="2">
        <v>42964</v>
      </c>
      <c r="C1256" t="s">
        <v>3161</v>
      </c>
      <c r="D1256" t="s">
        <v>1804</v>
      </c>
    </row>
    <row r="1257" spans="1:4" x14ac:dyDescent="0.2">
      <c r="A1257" t="s">
        <v>3162</v>
      </c>
      <c r="B1257" s="2">
        <v>43138</v>
      </c>
      <c r="C1257" t="s">
        <v>3163</v>
      </c>
      <c r="D1257" t="s">
        <v>1813</v>
      </c>
    </row>
    <row r="1258" spans="1:4" x14ac:dyDescent="0.2">
      <c r="A1258" t="s">
        <v>3164</v>
      </c>
      <c r="B1258" s="2">
        <v>42928</v>
      </c>
      <c r="C1258" t="s">
        <v>3165</v>
      </c>
      <c r="D1258" t="s">
        <v>1810</v>
      </c>
    </row>
    <row r="1259" spans="1:4" x14ac:dyDescent="0.2">
      <c r="A1259" t="s">
        <v>3166</v>
      </c>
      <c r="B1259" s="2">
        <v>43185</v>
      </c>
      <c r="C1259" t="s">
        <v>1905</v>
      </c>
      <c r="D1259" t="s">
        <v>1810</v>
      </c>
    </row>
    <row r="1260" spans="1:4" x14ac:dyDescent="0.2">
      <c r="A1260" t="s">
        <v>3167</v>
      </c>
      <c r="B1260" s="2">
        <v>43115</v>
      </c>
      <c r="C1260" t="s">
        <v>1836</v>
      </c>
      <c r="D1260" t="s">
        <v>1807</v>
      </c>
    </row>
    <row r="1261" spans="1:4" x14ac:dyDescent="0.2">
      <c r="A1261" t="s">
        <v>3168</v>
      </c>
      <c r="B1261" s="2">
        <v>43111</v>
      </c>
      <c r="C1261" t="s">
        <v>1825</v>
      </c>
      <c r="D1261" t="s">
        <v>1810</v>
      </c>
    </row>
    <row r="1262" spans="1:4" x14ac:dyDescent="0.2">
      <c r="A1262" t="s">
        <v>3169</v>
      </c>
      <c r="B1262" s="2">
        <v>43181</v>
      </c>
      <c r="C1262" t="s">
        <v>3170</v>
      </c>
      <c r="D1262" t="s">
        <v>1810</v>
      </c>
    </row>
    <row r="1263" spans="1:4" x14ac:dyDescent="0.2">
      <c r="A1263" t="s">
        <v>3171</v>
      </c>
      <c r="B1263" s="2">
        <v>43211</v>
      </c>
      <c r="C1263" t="s">
        <v>1854</v>
      </c>
      <c r="D1263" t="s">
        <v>1807</v>
      </c>
    </row>
    <row r="1264" spans="1:4" x14ac:dyDescent="0.2">
      <c r="A1264" t="s">
        <v>3172</v>
      </c>
      <c r="B1264" s="2">
        <v>43234</v>
      </c>
      <c r="C1264" t="s">
        <v>1816</v>
      </c>
      <c r="D1264" t="s">
        <v>1810</v>
      </c>
    </row>
    <row r="1265" spans="1:4" x14ac:dyDescent="0.2">
      <c r="A1265" t="s">
        <v>3173</v>
      </c>
      <c r="B1265" s="2">
        <v>43174</v>
      </c>
      <c r="C1265" t="s">
        <v>1867</v>
      </c>
      <c r="D1265" t="s">
        <v>1829</v>
      </c>
    </row>
    <row r="1266" spans="1:4" x14ac:dyDescent="0.2">
      <c r="A1266" t="s">
        <v>3174</v>
      </c>
      <c r="B1266" s="2">
        <v>43059</v>
      </c>
      <c r="C1266" t="s">
        <v>1816</v>
      </c>
      <c r="D1266" t="s">
        <v>1804</v>
      </c>
    </row>
    <row r="1267" spans="1:4" x14ac:dyDescent="0.2">
      <c r="A1267" t="s">
        <v>3175</v>
      </c>
      <c r="B1267" s="2">
        <v>43249</v>
      </c>
      <c r="C1267" t="s">
        <v>1930</v>
      </c>
      <c r="D1267" t="s">
        <v>1813</v>
      </c>
    </row>
    <row r="1268" spans="1:4" x14ac:dyDescent="0.2">
      <c r="A1268" t="s">
        <v>3176</v>
      </c>
      <c r="B1268" s="2">
        <v>43222</v>
      </c>
      <c r="C1268" t="s">
        <v>1863</v>
      </c>
      <c r="D1268" t="s">
        <v>1804</v>
      </c>
    </row>
    <row r="1269" spans="1:4" x14ac:dyDescent="0.2">
      <c r="A1269" t="s">
        <v>3177</v>
      </c>
      <c r="B1269" s="2">
        <v>42997</v>
      </c>
      <c r="C1269" t="s">
        <v>3178</v>
      </c>
      <c r="D1269" t="s">
        <v>160</v>
      </c>
    </row>
    <row r="1270" spans="1:4" x14ac:dyDescent="0.2">
      <c r="A1270" t="s">
        <v>3179</v>
      </c>
      <c r="B1270" s="2">
        <v>43180</v>
      </c>
      <c r="C1270" t="s">
        <v>1816</v>
      </c>
      <c r="D1270" t="s">
        <v>1810</v>
      </c>
    </row>
    <row r="1271" spans="1:4" x14ac:dyDescent="0.2">
      <c r="A1271" t="s">
        <v>3180</v>
      </c>
      <c r="B1271" s="2">
        <v>43209</v>
      </c>
      <c r="C1271" t="s">
        <v>3181</v>
      </c>
      <c r="D1271" t="s">
        <v>1807</v>
      </c>
    </row>
    <row r="1272" spans="1:4" x14ac:dyDescent="0.2">
      <c r="A1272" t="s">
        <v>322</v>
      </c>
      <c r="B1272" s="2">
        <v>43236</v>
      </c>
      <c r="C1272" t="s">
        <v>1816</v>
      </c>
      <c r="D1272" t="s">
        <v>1829</v>
      </c>
    </row>
    <row r="1273" spans="1:4" x14ac:dyDescent="0.2">
      <c r="A1273" t="s">
        <v>3182</v>
      </c>
      <c r="B1273" s="2">
        <v>42979</v>
      </c>
      <c r="C1273" t="s">
        <v>1825</v>
      </c>
      <c r="D1273" t="s">
        <v>1810</v>
      </c>
    </row>
    <row r="1274" spans="1:4" x14ac:dyDescent="0.2">
      <c r="A1274" t="s">
        <v>3183</v>
      </c>
      <c r="B1274" s="2">
        <v>43208</v>
      </c>
      <c r="C1274" t="s">
        <v>1867</v>
      </c>
      <c r="D1274" t="s">
        <v>1810</v>
      </c>
    </row>
    <row r="1275" spans="1:4" x14ac:dyDescent="0.2">
      <c r="A1275" t="s">
        <v>3184</v>
      </c>
      <c r="B1275" s="2">
        <v>43200</v>
      </c>
      <c r="C1275" t="s">
        <v>1863</v>
      </c>
      <c r="D1275" t="s">
        <v>1840</v>
      </c>
    </row>
    <row r="1276" spans="1:4" x14ac:dyDescent="0.2">
      <c r="A1276" t="s">
        <v>3185</v>
      </c>
      <c r="B1276" s="2">
        <v>43134</v>
      </c>
      <c r="C1276" t="s">
        <v>1803</v>
      </c>
      <c r="D1276" t="s">
        <v>1804</v>
      </c>
    </row>
    <row r="1277" spans="1:4" x14ac:dyDescent="0.2">
      <c r="A1277" t="s">
        <v>3186</v>
      </c>
      <c r="B1277" s="2">
        <v>43195</v>
      </c>
      <c r="C1277" t="s">
        <v>1863</v>
      </c>
      <c r="D1277" t="s">
        <v>1804</v>
      </c>
    </row>
    <row r="1278" spans="1:4" x14ac:dyDescent="0.2">
      <c r="A1278" t="s">
        <v>324</v>
      </c>
      <c r="B1278" s="2">
        <v>43198</v>
      </c>
      <c r="C1278" t="s">
        <v>1863</v>
      </c>
      <c r="D1278" t="s">
        <v>1804</v>
      </c>
    </row>
    <row r="1279" spans="1:4" x14ac:dyDescent="0.2">
      <c r="A1279" t="s">
        <v>3187</v>
      </c>
      <c r="B1279" s="2">
        <v>43235</v>
      </c>
      <c r="C1279" t="s">
        <v>2402</v>
      </c>
      <c r="D1279" t="s">
        <v>1807</v>
      </c>
    </row>
    <row r="1280" spans="1:4" x14ac:dyDescent="0.2">
      <c r="A1280" t="s">
        <v>3188</v>
      </c>
      <c r="B1280" s="2">
        <v>43131</v>
      </c>
      <c r="C1280" t="s">
        <v>1859</v>
      </c>
      <c r="D1280" t="s">
        <v>1810</v>
      </c>
    </row>
    <row r="1281" spans="1:4" x14ac:dyDescent="0.2">
      <c r="A1281" t="s">
        <v>3189</v>
      </c>
      <c r="B1281" s="2">
        <v>43195</v>
      </c>
      <c r="C1281" t="s">
        <v>3190</v>
      </c>
      <c r="D1281" t="s">
        <v>1031</v>
      </c>
    </row>
    <row r="1282" spans="1:4" x14ac:dyDescent="0.2">
      <c r="A1282" t="s">
        <v>3191</v>
      </c>
      <c r="B1282" s="2">
        <v>43199</v>
      </c>
      <c r="C1282" t="s">
        <v>1816</v>
      </c>
      <c r="D1282" t="s">
        <v>1810</v>
      </c>
    </row>
    <row r="1283" spans="1:4" x14ac:dyDescent="0.2">
      <c r="A1283" t="s">
        <v>326</v>
      </c>
      <c r="B1283" s="2">
        <v>43063</v>
      </c>
      <c r="C1283" t="s">
        <v>1836</v>
      </c>
      <c r="D1283" t="s">
        <v>1031</v>
      </c>
    </row>
    <row r="1284" spans="1:4" x14ac:dyDescent="0.2">
      <c r="A1284" t="s">
        <v>3192</v>
      </c>
      <c r="B1284" s="2">
        <v>43230</v>
      </c>
      <c r="C1284" t="s">
        <v>3193</v>
      </c>
      <c r="D1284" t="s">
        <v>160</v>
      </c>
    </row>
    <row r="1285" spans="1:4" x14ac:dyDescent="0.2">
      <c r="A1285" t="s">
        <v>329</v>
      </c>
      <c r="B1285" s="2">
        <v>43027</v>
      </c>
      <c r="C1285" t="s">
        <v>3194</v>
      </c>
      <c r="D1285" t="s">
        <v>1807</v>
      </c>
    </row>
    <row r="1286" spans="1:4" x14ac:dyDescent="0.2">
      <c r="A1286" t="s">
        <v>3195</v>
      </c>
      <c r="B1286" s="2">
        <v>43156</v>
      </c>
      <c r="C1286" t="s">
        <v>1905</v>
      </c>
      <c r="D1286" t="s">
        <v>1810</v>
      </c>
    </row>
    <row r="1287" spans="1:4" x14ac:dyDescent="0.2">
      <c r="A1287" t="s">
        <v>3196</v>
      </c>
      <c r="B1287" s="2">
        <v>42947</v>
      </c>
      <c r="C1287" t="s">
        <v>2407</v>
      </c>
      <c r="D1287" t="s">
        <v>1810</v>
      </c>
    </row>
    <row r="1288" spans="1:4" x14ac:dyDescent="0.2">
      <c r="A1288" t="s">
        <v>3197</v>
      </c>
      <c r="B1288" s="2">
        <v>43146</v>
      </c>
      <c r="C1288" t="s">
        <v>1825</v>
      </c>
      <c r="D1288" t="s">
        <v>1804</v>
      </c>
    </row>
    <row r="1289" spans="1:4" x14ac:dyDescent="0.2">
      <c r="A1289" t="s">
        <v>3198</v>
      </c>
      <c r="B1289" s="2">
        <v>43109</v>
      </c>
      <c r="C1289" t="s">
        <v>1959</v>
      </c>
      <c r="D1289" t="s">
        <v>1840</v>
      </c>
    </row>
    <row r="1290" spans="1:4" x14ac:dyDescent="0.2">
      <c r="A1290" t="s">
        <v>3199</v>
      </c>
      <c r="B1290" s="2">
        <v>43145</v>
      </c>
      <c r="C1290" t="s">
        <v>1930</v>
      </c>
      <c r="D1290" t="s">
        <v>1807</v>
      </c>
    </row>
    <row r="1291" spans="1:4" x14ac:dyDescent="0.2">
      <c r="A1291" t="s">
        <v>3200</v>
      </c>
      <c r="B1291" s="2">
        <v>43100</v>
      </c>
      <c r="C1291" t="s">
        <v>2115</v>
      </c>
      <c r="D1291" t="s">
        <v>1804</v>
      </c>
    </row>
    <row r="1292" spans="1:4" x14ac:dyDescent="0.2">
      <c r="A1292" t="s">
        <v>3201</v>
      </c>
      <c r="B1292" s="2">
        <v>43126</v>
      </c>
      <c r="C1292" t="s">
        <v>1867</v>
      </c>
      <c r="D1292" t="s">
        <v>160</v>
      </c>
    </row>
    <row r="1293" spans="1:4" x14ac:dyDescent="0.2">
      <c r="A1293" t="s">
        <v>3202</v>
      </c>
      <c r="B1293" s="2">
        <v>43200</v>
      </c>
      <c r="C1293" t="s">
        <v>1836</v>
      </c>
      <c r="D1293" t="s">
        <v>1810</v>
      </c>
    </row>
    <row r="1294" spans="1:4" x14ac:dyDescent="0.2">
      <c r="A1294" t="s">
        <v>3203</v>
      </c>
      <c r="B1294" s="2">
        <v>43121</v>
      </c>
      <c r="C1294" t="s">
        <v>1825</v>
      </c>
      <c r="D1294" t="s">
        <v>1031</v>
      </c>
    </row>
    <row r="1295" spans="1:4" x14ac:dyDescent="0.2">
      <c r="A1295" t="s">
        <v>3204</v>
      </c>
      <c r="B1295" s="2">
        <v>43172</v>
      </c>
      <c r="C1295" t="s">
        <v>1831</v>
      </c>
      <c r="D1295" t="s">
        <v>1829</v>
      </c>
    </row>
    <row r="1296" spans="1:4" x14ac:dyDescent="0.2">
      <c r="A1296" t="s">
        <v>3205</v>
      </c>
      <c r="B1296" s="2">
        <v>43217</v>
      </c>
      <c r="C1296" t="s">
        <v>1816</v>
      </c>
      <c r="D1296" t="s">
        <v>1807</v>
      </c>
    </row>
    <row r="1297" spans="1:4" x14ac:dyDescent="0.2">
      <c r="A1297" t="s">
        <v>3206</v>
      </c>
      <c r="B1297" s="2">
        <v>43215</v>
      </c>
      <c r="C1297" t="s">
        <v>1909</v>
      </c>
      <c r="D1297" t="s">
        <v>1031</v>
      </c>
    </row>
    <row r="1298" spans="1:4" x14ac:dyDescent="0.2">
      <c r="A1298" t="s">
        <v>331</v>
      </c>
      <c r="B1298" s="2">
        <v>43251</v>
      </c>
      <c r="C1298" t="s">
        <v>1836</v>
      </c>
      <c r="D1298" t="s">
        <v>1031</v>
      </c>
    </row>
    <row r="1299" spans="1:4" x14ac:dyDescent="0.2">
      <c r="A1299" t="s">
        <v>3207</v>
      </c>
      <c r="B1299" s="2">
        <v>43222</v>
      </c>
      <c r="C1299" t="s">
        <v>1836</v>
      </c>
      <c r="D1299" t="s">
        <v>1031</v>
      </c>
    </row>
    <row r="1300" spans="1:4" x14ac:dyDescent="0.2">
      <c r="A1300" t="s">
        <v>3208</v>
      </c>
      <c r="B1300" s="2">
        <v>43110</v>
      </c>
      <c r="C1300" t="s">
        <v>1905</v>
      </c>
      <c r="D1300" t="s">
        <v>1840</v>
      </c>
    </row>
    <row r="1301" spans="1:4" x14ac:dyDescent="0.2">
      <c r="A1301" t="s">
        <v>3209</v>
      </c>
      <c r="B1301" s="2">
        <v>43200</v>
      </c>
      <c r="C1301" t="s">
        <v>3210</v>
      </c>
      <c r="D1301" t="s">
        <v>1807</v>
      </c>
    </row>
    <row r="1302" spans="1:4" x14ac:dyDescent="0.2">
      <c r="A1302" t="s">
        <v>3211</v>
      </c>
      <c r="B1302" s="2">
        <v>43102</v>
      </c>
      <c r="C1302" t="s">
        <v>1867</v>
      </c>
      <c r="D1302" t="s">
        <v>160</v>
      </c>
    </row>
    <row r="1303" spans="1:4" x14ac:dyDescent="0.2">
      <c r="A1303" t="s">
        <v>3212</v>
      </c>
      <c r="B1303" s="2">
        <v>43209</v>
      </c>
      <c r="C1303" t="s">
        <v>1836</v>
      </c>
      <c r="D1303" t="s">
        <v>1031</v>
      </c>
    </row>
    <row r="1304" spans="1:4" x14ac:dyDescent="0.2">
      <c r="A1304" t="s">
        <v>3213</v>
      </c>
      <c r="B1304" s="2">
        <v>43137</v>
      </c>
      <c r="C1304" t="s">
        <v>1907</v>
      </c>
      <c r="D1304" t="s">
        <v>1807</v>
      </c>
    </row>
    <row r="1305" spans="1:4" x14ac:dyDescent="0.2">
      <c r="A1305" t="s">
        <v>3214</v>
      </c>
      <c r="B1305" s="2">
        <v>43246</v>
      </c>
      <c r="C1305" t="s">
        <v>1832</v>
      </c>
      <c r="D1305" t="s">
        <v>1807</v>
      </c>
    </row>
    <row r="1306" spans="1:4" x14ac:dyDescent="0.2">
      <c r="A1306" t="s">
        <v>3215</v>
      </c>
      <c r="B1306" s="2">
        <v>42999</v>
      </c>
      <c r="C1306" t="s">
        <v>1897</v>
      </c>
      <c r="D1306" t="s">
        <v>1810</v>
      </c>
    </row>
    <row r="1307" spans="1:4" x14ac:dyDescent="0.2">
      <c r="A1307" t="s">
        <v>3216</v>
      </c>
      <c r="B1307" s="2">
        <v>42950</v>
      </c>
      <c r="C1307" t="s">
        <v>1843</v>
      </c>
      <c r="D1307" t="s">
        <v>1807</v>
      </c>
    </row>
    <row r="1308" spans="1:4" x14ac:dyDescent="0.2">
      <c r="A1308" t="s">
        <v>333</v>
      </c>
      <c r="B1308" s="2">
        <v>43189</v>
      </c>
      <c r="C1308" t="s">
        <v>1816</v>
      </c>
      <c r="D1308" t="s">
        <v>1840</v>
      </c>
    </row>
    <row r="1309" spans="1:4" x14ac:dyDescent="0.2">
      <c r="A1309" t="s">
        <v>3217</v>
      </c>
      <c r="B1309" s="2">
        <v>43053</v>
      </c>
      <c r="C1309" t="s">
        <v>1939</v>
      </c>
      <c r="D1309" t="s">
        <v>1810</v>
      </c>
    </row>
    <row r="1310" spans="1:4" x14ac:dyDescent="0.2">
      <c r="A1310" t="s">
        <v>3218</v>
      </c>
      <c r="B1310" s="2">
        <v>43202</v>
      </c>
      <c r="C1310" t="s">
        <v>1816</v>
      </c>
      <c r="D1310" t="s">
        <v>1810</v>
      </c>
    </row>
    <row r="1311" spans="1:4" x14ac:dyDescent="0.2">
      <c r="A1311" t="s">
        <v>3219</v>
      </c>
      <c r="B1311" s="2">
        <v>43157</v>
      </c>
      <c r="C1311" t="s">
        <v>1987</v>
      </c>
      <c r="D1311" t="s">
        <v>1807</v>
      </c>
    </row>
    <row r="1312" spans="1:4" x14ac:dyDescent="0.2">
      <c r="A1312" t="s">
        <v>335</v>
      </c>
      <c r="B1312" s="2">
        <v>43141</v>
      </c>
      <c r="C1312" t="s">
        <v>1825</v>
      </c>
      <c r="D1312" t="s">
        <v>1810</v>
      </c>
    </row>
    <row r="1313" spans="1:4" x14ac:dyDescent="0.2">
      <c r="A1313" t="s">
        <v>338</v>
      </c>
      <c r="B1313" s="2">
        <v>43214</v>
      </c>
      <c r="C1313" t="s">
        <v>1998</v>
      </c>
      <c r="D1313" t="s">
        <v>1807</v>
      </c>
    </row>
    <row r="1314" spans="1:4" x14ac:dyDescent="0.2">
      <c r="A1314" t="s">
        <v>3220</v>
      </c>
      <c r="B1314" s="2">
        <v>42951</v>
      </c>
      <c r="C1314" t="s">
        <v>1843</v>
      </c>
      <c r="D1314" t="s">
        <v>1807</v>
      </c>
    </row>
    <row r="1315" spans="1:4" x14ac:dyDescent="0.2">
      <c r="A1315" t="s">
        <v>3221</v>
      </c>
      <c r="B1315" s="2">
        <v>43115</v>
      </c>
      <c r="C1315" t="s">
        <v>1836</v>
      </c>
      <c r="D1315" t="s">
        <v>1031</v>
      </c>
    </row>
    <row r="1316" spans="1:4" x14ac:dyDescent="0.2">
      <c r="A1316" t="s">
        <v>3222</v>
      </c>
      <c r="B1316" s="2">
        <v>43248</v>
      </c>
      <c r="C1316" t="s">
        <v>1873</v>
      </c>
      <c r="D1316" t="s">
        <v>1807</v>
      </c>
    </row>
    <row r="1317" spans="1:4" x14ac:dyDescent="0.2">
      <c r="A1317" t="s">
        <v>3223</v>
      </c>
      <c r="B1317" s="2">
        <v>43161</v>
      </c>
      <c r="C1317" t="s">
        <v>3224</v>
      </c>
      <c r="D1317" t="s">
        <v>1031</v>
      </c>
    </row>
    <row r="1318" spans="1:4" x14ac:dyDescent="0.2">
      <c r="A1318" t="s">
        <v>3225</v>
      </c>
      <c r="B1318" s="2">
        <v>43227</v>
      </c>
      <c r="C1318" t="s">
        <v>1816</v>
      </c>
      <c r="D1318" t="s">
        <v>1810</v>
      </c>
    </row>
    <row r="1319" spans="1:4" x14ac:dyDescent="0.2">
      <c r="A1319" t="s">
        <v>3226</v>
      </c>
      <c r="B1319" s="2">
        <v>43068</v>
      </c>
      <c r="C1319" t="s">
        <v>2324</v>
      </c>
      <c r="D1319" t="s">
        <v>1813</v>
      </c>
    </row>
    <row r="1320" spans="1:4" x14ac:dyDescent="0.2">
      <c r="A1320" t="s">
        <v>3227</v>
      </c>
      <c r="B1320" s="2">
        <v>43042</v>
      </c>
      <c r="C1320" t="s">
        <v>1836</v>
      </c>
      <c r="D1320" t="s">
        <v>1031</v>
      </c>
    </row>
    <row r="1321" spans="1:4" x14ac:dyDescent="0.2">
      <c r="A1321" t="s">
        <v>3228</v>
      </c>
      <c r="B1321" s="2">
        <v>43121</v>
      </c>
      <c r="C1321" t="s">
        <v>1803</v>
      </c>
      <c r="D1321" t="s">
        <v>1804</v>
      </c>
    </row>
    <row r="1322" spans="1:4" x14ac:dyDescent="0.2">
      <c r="A1322" t="s">
        <v>3229</v>
      </c>
      <c r="B1322" s="2">
        <v>43216</v>
      </c>
      <c r="C1322" t="s">
        <v>1902</v>
      </c>
      <c r="D1322" t="s">
        <v>1840</v>
      </c>
    </row>
    <row r="1323" spans="1:4" x14ac:dyDescent="0.2">
      <c r="A1323" t="s">
        <v>3230</v>
      </c>
      <c r="B1323" s="2">
        <v>43040</v>
      </c>
      <c r="C1323" t="s">
        <v>1889</v>
      </c>
      <c r="D1323" t="s">
        <v>1810</v>
      </c>
    </row>
    <row r="1324" spans="1:4" x14ac:dyDescent="0.2">
      <c r="A1324" t="s">
        <v>3231</v>
      </c>
      <c r="B1324" s="2">
        <v>43244</v>
      </c>
      <c r="C1324" t="s">
        <v>1816</v>
      </c>
      <c r="D1324" t="s">
        <v>1810</v>
      </c>
    </row>
    <row r="1325" spans="1:4" x14ac:dyDescent="0.2">
      <c r="A1325" t="s">
        <v>3232</v>
      </c>
      <c r="B1325" s="2">
        <v>43167</v>
      </c>
      <c r="C1325" t="s">
        <v>1867</v>
      </c>
      <c r="D1325" t="s">
        <v>1810</v>
      </c>
    </row>
    <row r="1326" spans="1:4" x14ac:dyDescent="0.2">
      <c r="A1326" t="s">
        <v>3233</v>
      </c>
      <c r="B1326" s="2">
        <v>42926</v>
      </c>
      <c r="C1326" t="s">
        <v>3234</v>
      </c>
      <c r="D1326" t="s">
        <v>1810</v>
      </c>
    </row>
    <row r="1327" spans="1:4" x14ac:dyDescent="0.2">
      <c r="A1327" t="s">
        <v>3235</v>
      </c>
      <c r="B1327" s="2">
        <v>43131</v>
      </c>
      <c r="C1327" t="s">
        <v>1930</v>
      </c>
      <c r="D1327" t="s">
        <v>1807</v>
      </c>
    </row>
    <row r="1328" spans="1:4" x14ac:dyDescent="0.2">
      <c r="A1328" t="s">
        <v>3236</v>
      </c>
      <c r="B1328" s="2">
        <v>43222</v>
      </c>
      <c r="C1328" t="s">
        <v>1857</v>
      </c>
      <c r="D1328" t="s">
        <v>1804</v>
      </c>
    </row>
    <row r="1329" spans="1:4" x14ac:dyDescent="0.2">
      <c r="A1329" t="s">
        <v>3237</v>
      </c>
      <c r="B1329" s="2">
        <v>43168</v>
      </c>
      <c r="C1329" t="s">
        <v>1836</v>
      </c>
      <c r="D1329" t="s">
        <v>1031</v>
      </c>
    </row>
    <row r="1330" spans="1:4" x14ac:dyDescent="0.2">
      <c r="A1330" t="s">
        <v>3238</v>
      </c>
      <c r="B1330" s="2">
        <v>43170</v>
      </c>
      <c r="C1330" t="s">
        <v>1831</v>
      </c>
      <c r="D1330" t="s">
        <v>160</v>
      </c>
    </row>
    <row r="1331" spans="1:4" x14ac:dyDescent="0.2">
      <c r="A1331" t="s">
        <v>340</v>
      </c>
      <c r="B1331" s="2">
        <v>43216</v>
      </c>
      <c r="C1331" t="s">
        <v>1930</v>
      </c>
      <c r="D1331" t="s">
        <v>1807</v>
      </c>
    </row>
    <row r="1332" spans="1:4" x14ac:dyDescent="0.2">
      <c r="A1332" t="s">
        <v>342</v>
      </c>
      <c r="B1332" s="2">
        <v>43214</v>
      </c>
      <c r="C1332" t="s">
        <v>1836</v>
      </c>
      <c r="D1332" t="s">
        <v>1810</v>
      </c>
    </row>
    <row r="1333" spans="1:4" x14ac:dyDescent="0.2">
      <c r="A1333" t="s">
        <v>3239</v>
      </c>
      <c r="B1333" s="2">
        <v>43182</v>
      </c>
      <c r="C1333" t="s">
        <v>2062</v>
      </c>
      <c r="D1333" t="s">
        <v>1807</v>
      </c>
    </row>
    <row r="1334" spans="1:4" x14ac:dyDescent="0.2">
      <c r="A1334" t="s">
        <v>3240</v>
      </c>
      <c r="B1334" s="2">
        <v>43024</v>
      </c>
      <c r="C1334" t="s">
        <v>1836</v>
      </c>
      <c r="D1334" t="s">
        <v>1031</v>
      </c>
    </row>
    <row r="1335" spans="1:4" x14ac:dyDescent="0.2">
      <c r="A1335" t="s">
        <v>344</v>
      </c>
      <c r="B1335" s="2">
        <v>43105</v>
      </c>
      <c r="C1335" t="s">
        <v>1930</v>
      </c>
      <c r="D1335" t="s">
        <v>1810</v>
      </c>
    </row>
    <row r="1336" spans="1:4" x14ac:dyDescent="0.2">
      <c r="A1336" t="s">
        <v>3241</v>
      </c>
      <c r="B1336" s="2">
        <v>42972</v>
      </c>
      <c r="C1336" t="s">
        <v>1825</v>
      </c>
      <c r="D1336" t="s">
        <v>1810</v>
      </c>
    </row>
    <row r="1337" spans="1:4" x14ac:dyDescent="0.2">
      <c r="A1337" t="s">
        <v>3242</v>
      </c>
      <c r="B1337" s="2">
        <v>43227</v>
      </c>
      <c r="C1337" t="s">
        <v>1825</v>
      </c>
      <c r="D1337" t="s">
        <v>1810</v>
      </c>
    </row>
    <row r="1338" spans="1:4" x14ac:dyDescent="0.2">
      <c r="A1338" t="s">
        <v>3243</v>
      </c>
      <c r="B1338" s="2">
        <v>42963</v>
      </c>
      <c r="C1338" t="s">
        <v>2569</v>
      </c>
      <c r="D1338" t="s">
        <v>1813</v>
      </c>
    </row>
    <row r="1339" spans="1:4" x14ac:dyDescent="0.2">
      <c r="A1339" t="s">
        <v>3244</v>
      </c>
      <c r="B1339" s="2">
        <v>43067</v>
      </c>
      <c r="C1339" t="s">
        <v>1915</v>
      </c>
      <c r="D1339" t="s">
        <v>1807</v>
      </c>
    </row>
    <row r="1340" spans="1:4" x14ac:dyDescent="0.2">
      <c r="A1340" t="s">
        <v>3245</v>
      </c>
      <c r="B1340" s="2">
        <v>43208</v>
      </c>
      <c r="C1340" t="s">
        <v>1863</v>
      </c>
      <c r="D1340" t="s">
        <v>1804</v>
      </c>
    </row>
    <row r="1341" spans="1:4" x14ac:dyDescent="0.2">
      <c r="A1341" t="s">
        <v>3246</v>
      </c>
      <c r="B1341" s="2">
        <v>42921</v>
      </c>
      <c r="C1341" t="s">
        <v>1919</v>
      </c>
      <c r="D1341" t="s">
        <v>160</v>
      </c>
    </row>
    <row r="1342" spans="1:4" x14ac:dyDescent="0.2">
      <c r="A1342" t="s">
        <v>3247</v>
      </c>
      <c r="B1342" s="2">
        <v>43209</v>
      </c>
      <c r="C1342" t="s">
        <v>3248</v>
      </c>
      <c r="D1342" t="s">
        <v>1813</v>
      </c>
    </row>
    <row r="1343" spans="1:4" x14ac:dyDescent="0.2">
      <c r="A1343" t="s">
        <v>3249</v>
      </c>
      <c r="B1343" s="2">
        <v>43137</v>
      </c>
      <c r="C1343" t="s">
        <v>1836</v>
      </c>
      <c r="D1343" t="s">
        <v>1031</v>
      </c>
    </row>
    <row r="1344" spans="1:4" x14ac:dyDescent="0.2">
      <c r="A1344" t="s">
        <v>3250</v>
      </c>
      <c r="B1344" s="2">
        <v>43004</v>
      </c>
      <c r="C1344" t="s">
        <v>2187</v>
      </c>
      <c r="D1344" t="s">
        <v>1807</v>
      </c>
    </row>
    <row r="1345" spans="1:4" x14ac:dyDescent="0.2">
      <c r="A1345" t="s">
        <v>3251</v>
      </c>
      <c r="B1345" s="2">
        <v>43167</v>
      </c>
      <c r="C1345" t="s">
        <v>1836</v>
      </c>
      <c r="D1345" t="s">
        <v>1810</v>
      </c>
    </row>
    <row r="1346" spans="1:4" x14ac:dyDescent="0.2">
      <c r="A1346" t="s">
        <v>3252</v>
      </c>
      <c r="B1346" s="2">
        <v>43102</v>
      </c>
      <c r="C1346" t="s">
        <v>1825</v>
      </c>
      <c r="D1346" t="s">
        <v>1810</v>
      </c>
    </row>
    <row r="1347" spans="1:4" x14ac:dyDescent="0.2">
      <c r="A1347" t="s">
        <v>3253</v>
      </c>
      <c r="B1347" s="2">
        <v>43214</v>
      </c>
      <c r="C1347" t="s">
        <v>1905</v>
      </c>
      <c r="D1347" t="s">
        <v>1810</v>
      </c>
    </row>
    <row r="1348" spans="1:4" x14ac:dyDescent="0.2">
      <c r="A1348" t="s">
        <v>3254</v>
      </c>
      <c r="B1348" s="2">
        <v>43017</v>
      </c>
      <c r="C1348" t="s">
        <v>1836</v>
      </c>
      <c r="D1348" t="s">
        <v>1031</v>
      </c>
    </row>
    <row r="1349" spans="1:4" x14ac:dyDescent="0.2">
      <c r="A1349" t="s">
        <v>346</v>
      </c>
      <c r="B1349" s="2">
        <v>43206</v>
      </c>
      <c r="C1349" t="s">
        <v>1905</v>
      </c>
      <c r="D1349" t="s">
        <v>1807</v>
      </c>
    </row>
    <row r="1350" spans="1:4" x14ac:dyDescent="0.2">
      <c r="A1350" t="s">
        <v>3255</v>
      </c>
      <c r="B1350" s="2">
        <v>43201</v>
      </c>
      <c r="C1350" t="s">
        <v>1836</v>
      </c>
      <c r="D1350" t="s">
        <v>1031</v>
      </c>
    </row>
    <row r="1351" spans="1:4" x14ac:dyDescent="0.2">
      <c r="A1351" t="s">
        <v>3256</v>
      </c>
      <c r="B1351" s="2">
        <v>43189</v>
      </c>
      <c r="C1351" t="s">
        <v>1905</v>
      </c>
      <c r="D1351" t="s">
        <v>1031</v>
      </c>
    </row>
    <row r="1352" spans="1:4" x14ac:dyDescent="0.2">
      <c r="A1352" t="s">
        <v>3257</v>
      </c>
      <c r="B1352" s="2">
        <v>43238</v>
      </c>
      <c r="C1352" t="s">
        <v>2204</v>
      </c>
      <c r="D1352" t="s">
        <v>1807</v>
      </c>
    </row>
    <row r="1353" spans="1:4" x14ac:dyDescent="0.2">
      <c r="A1353" t="s">
        <v>3258</v>
      </c>
      <c r="B1353" s="2">
        <v>43210</v>
      </c>
      <c r="C1353" t="s">
        <v>2901</v>
      </c>
      <c r="D1353" t="s">
        <v>1807</v>
      </c>
    </row>
    <row r="1354" spans="1:4" x14ac:dyDescent="0.2">
      <c r="A1354" t="s">
        <v>3259</v>
      </c>
      <c r="B1354" s="2">
        <v>43016</v>
      </c>
      <c r="C1354" t="s">
        <v>1825</v>
      </c>
      <c r="D1354" t="s">
        <v>1810</v>
      </c>
    </row>
    <row r="1355" spans="1:4" x14ac:dyDescent="0.2">
      <c r="A1355" t="s">
        <v>3260</v>
      </c>
      <c r="B1355" s="2">
        <v>43125</v>
      </c>
      <c r="C1355" t="s">
        <v>1836</v>
      </c>
      <c r="D1355" t="s">
        <v>1031</v>
      </c>
    </row>
    <row r="1356" spans="1:4" x14ac:dyDescent="0.2">
      <c r="A1356" t="s">
        <v>3261</v>
      </c>
      <c r="B1356" s="2">
        <v>43107</v>
      </c>
      <c r="C1356" t="s">
        <v>1803</v>
      </c>
      <c r="D1356" t="s">
        <v>1804</v>
      </c>
    </row>
    <row r="1357" spans="1:4" x14ac:dyDescent="0.2">
      <c r="A1357" t="s">
        <v>3262</v>
      </c>
      <c r="B1357" s="2">
        <v>43132</v>
      </c>
      <c r="C1357" t="s">
        <v>2998</v>
      </c>
      <c r="D1357" t="s">
        <v>1804</v>
      </c>
    </row>
    <row r="1358" spans="1:4" x14ac:dyDescent="0.2">
      <c r="A1358" t="s">
        <v>3263</v>
      </c>
      <c r="B1358" s="2">
        <v>43225</v>
      </c>
      <c r="C1358" t="s">
        <v>2831</v>
      </c>
      <c r="D1358" t="s">
        <v>1807</v>
      </c>
    </row>
    <row r="1359" spans="1:4" x14ac:dyDescent="0.2">
      <c r="A1359" t="s">
        <v>3264</v>
      </c>
      <c r="B1359" s="2">
        <v>43138</v>
      </c>
      <c r="C1359" t="s">
        <v>1930</v>
      </c>
      <c r="D1359" t="s">
        <v>1807</v>
      </c>
    </row>
    <row r="1360" spans="1:4" x14ac:dyDescent="0.2">
      <c r="A1360" t="s">
        <v>3265</v>
      </c>
      <c r="B1360" s="2">
        <v>43110</v>
      </c>
      <c r="C1360" t="s">
        <v>1816</v>
      </c>
      <c r="D1360" t="s">
        <v>1810</v>
      </c>
    </row>
    <row r="1361" spans="1:4" x14ac:dyDescent="0.2">
      <c r="A1361" t="s">
        <v>3266</v>
      </c>
      <c r="B1361" s="2">
        <v>43228</v>
      </c>
      <c r="C1361" t="s">
        <v>2342</v>
      </c>
      <c r="D1361" t="s">
        <v>1810</v>
      </c>
    </row>
    <row r="1362" spans="1:4" x14ac:dyDescent="0.2">
      <c r="A1362" t="s">
        <v>3267</v>
      </c>
      <c r="B1362" s="2">
        <v>42937</v>
      </c>
      <c r="C1362" t="s">
        <v>3268</v>
      </c>
      <c r="D1362" t="s">
        <v>1810</v>
      </c>
    </row>
    <row r="1363" spans="1:4" x14ac:dyDescent="0.2">
      <c r="A1363" t="s">
        <v>3269</v>
      </c>
      <c r="B1363" s="2">
        <v>43122</v>
      </c>
      <c r="C1363" t="s">
        <v>1812</v>
      </c>
      <c r="D1363" t="s">
        <v>1813</v>
      </c>
    </row>
    <row r="1364" spans="1:4" x14ac:dyDescent="0.2">
      <c r="A1364" t="s">
        <v>3270</v>
      </c>
      <c r="B1364" s="2">
        <v>43189</v>
      </c>
      <c r="C1364" t="s">
        <v>1996</v>
      </c>
      <c r="D1364" t="s">
        <v>1804</v>
      </c>
    </row>
    <row r="1365" spans="1:4" x14ac:dyDescent="0.2">
      <c r="A1365" t="s">
        <v>3271</v>
      </c>
      <c r="B1365" s="2">
        <v>43143</v>
      </c>
      <c r="C1365" t="s">
        <v>1816</v>
      </c>
      <c r="D1365" t="s">
        <v>1031</v>
      </c>
    </row>
    <row r="1366" spans="1:4" x14ac:dyDescent="0.2">
      <c r="A1366" t="s">
        <v>3272</v>
      </c>
      <c r="B1366" s="2">
        <v>43236</v>
      </c>
      <c r="C1366" t="s">
        <v>2462</v>
      </c>
      <c r="D1366" t="s">
        <v>1910</v>
      </c>
    </row>
    <row r="1367" spans="1:4" x14ac:dyDescent="0.2">
      <c r="A1367" t="s">
        <v>3273</v>
      </c>
      <c r="B1367" s="2">
        <v>43203</v>
      </c>
      <c r="C1367" t="s">
        <v>1816</v>
      </c>
      <c r="D1367" t="s">
        <v>160</v>
      </c>
    </row>
    <row r="1368" spans="1:4" x14ac:dyDescent="0.2">
      <c r="A1368" t="s">
        <v>348</v>
      </c>
      <c r="B1368" s="2">
        <v>43172</v>
      </c>
      <c r="C1368" t="s">
        <v>1930</v>
      </c>
      <c r="D1368" t="s">
        <v>1807</v>
      </c>
    </row>
    <row r="1369" spans="1:4" x14ac:dyDescent="0.2">
      <c r="A1369" t="s">
        <v>3274</v>
      </c>
      <c r="B1369" s="2">
        <v>43125</v>
      </c>
      <c r="C1369" t="s">
        <v>1803</v>
      </c>
      <c r="D1369" t="s">
        <v>1804</v>
      </c>
    </row>
    <row r="1370" spans="1:4" x14ac:dyDescent="0.2">
      <c r="A1370" t="s">
        <v>3275</v>
      </c>
      <c r="B1370" s="2">
        <v>43189</v>
      </c>
      <c r="C1370" t="s">
        <v>1836</v>
      </c>
      <c r="D1370" t="s">
        <v>1807</v>
      </c>
    </row>
    <row r="1371" spans="1:4" x14ac:dyDescent="0.2">
      <c r="A1371" t="s">
        <v>350</v>
      </c>
      <c r="B1371" s="2">
        <v>43250</v>
      </c>
      <c r="C1371" t="s">
        <v>2072</v>
      </c>
      <c r="D1371" t="s">
        <v>1810</v>
      </c>
    </row>
    <row r="1372" spans="1:4" x14ac:dyDescent="0.2">
      <c r="A1372" t="s">
        <v>3276</v>
      </c>
      <c r="B1372" s="2">
        <v>43104</v>
      </c>
      <c r="C1372" t="s">
        <v>1867</v>
      </c>
      <c r="D1372" t="s">
        <v>1829</v>
      </c>
    </row>
    <row r="1373" spans="1:4" x14ac:dyDescent="0.2">
      <c r="A1373" t="s">
        <v>353</v>
      </c>
      <c r="B1373" s="2">
        <v>43146</v>
      </c>
      <c r="C1373" t="s">
        <v>1905</v>
      </c>
      <c r="D1373" t="s">
        <v>1804</v>
      </c>
    </row>
    <row r="1374" spans="1:4" x14ac:dyDescent="0.2">
      <c r="A1374" t="s">
        <v>3277</v>
      </c>
      <c r="B1374" s="2">
        <v>42989</v>
      </c>
      <c r="C1374" t="s">
        <v>2066</v>
      </c>
      <c r="D1374" t="s">
        <v>1813</v>
      </c>
    </row>
    <row r="1375" spans="1:4" x14ac:dyDescent="0.2">
      <c r="A1375" t="s">
        <v>3278</v>
      </c>
      <c r="B1375" s="2">
        <v>43101</v>
      </c>
      <c r="C1375" t="s">
        <v>1867</v>
      </c>
      <c r="D1375" t="s">
        <v>1810</v>
      </c>
    </row>
    <row r="1376" spans="1:4" x14ac:dyDescent="0.2">
      <c r="A1376" t="s">
        <v>3279</v>
      </c>
      <c r="B1376" s="2">
        <v>43216</v>
      </c>
      <c r="C1376" t="s">
        <v>1930</v>
      </c>
      <c r="D1376" t="s">
        <v>1807</v>
      </c>
    </row>
    <row r="1377" spans="1:4" x14ac:dyDescent="0.2">
      <c r="A1377" t="s">
        <v>3280</v>
      </c>
      <c r="B1377" s="2">
        <v>43250</v>
      </c>
      <c r="C1377" t="s">
        <v>1809</v>
      </c>
      <c r="D1377" t="s">
        <v>1031</v>
      </c>
    </row>
    <row r="1378" spans="1:4" x14ac:dyDescent="0.2">
      <c r="A1378" t="s">
        <v>3281</v>
      </c>
      <c r="B1378" s="2">
        <v>43206</v>
      </c>
      <c r="C1378" t="s">
        <v>2831</v>
      </c>
      <c r="D1378" t="s">
        <v>1807</v>
      </c>
    </row>
    <row r="1379" spans="1:4" x14ac:dyDescent="0.2">
      <c r="A1379" t="s">
        <v>3282</v>
      </c>
      <c r="B1379" s="2">
        <v>43203</v>
      </c>
      <c r="C1379" t="s">
        <v>1863</v>
      </c>
      <c r="D1379" t="s">
        <v>1804</v>
      </c>
    </row>
    <row r="1380" spans="1:4" x14ac:dyDescent="0.2">
      <c r="A1380" t="s">
        <v>3283</v>
      </c>
      <c r="B1380" s="2">
        <v>43140</v>
      </c>
      <c r="C1380" t="s">
        <v>1921</v>
      </c>
      <c r="D1380" t="s">
        <v>1810</v>
      </c>
    </row>
    <row r="1381" spans="1:4" x14ac:dyDescent="0.2">
      <c r="A1381" t="s">
        <v>3284</v>
      </c>
      <c r="B1381" s="2">
        <v>43063</v>
      </c>
      <c r="C1381" t="s">
        <v>1907</v>
      </c>
      <c r="D1381" t="s">
        <v>1810</v>
      </c>
    </row>
    <row r="1382" spans="1:4" x14ac:dyDescent="0.2">
      <c r="A1382" t="s">
        <v>3285</v>
      </c>
      <c r="B1382" s="2">
        <v>43137</v>
      </c>
      <c r="C1382" t="s">
        <v>2066</v>
      </c>
      <c r="D1382" t="s">
        <v>1849</v>
      </c>
    </row>
    <row r="1383" spans="1:4" x14ac:dyDescent="0.2">
      <c r="A1383" t="s">
        <v>3286</v>
      </c>
      <c r="B1383" s="2">
        <v>43116</v>
      </c>
      <c r="C1383" t="s">
        <v>1816</v>
      </c>
      <c r="D1383" t="s">
        <v>1810</v>
      </c>
    </row>
    <row r="1384" spans="1:4" x14ac:dyDescent="0.2">
      <c r="A1384" t="s">
        <v>3287</v>
      </c>
      <c r="B1384" s="2">
        <v>43186</v>
      </c>
      <c r="C1384" t="s">
        <v>1836</v>
      </c>
      <c r="D1384" t="s">
        <v>1031</v>
      </c>
    </row>
    <row r="1385" spans="1:4" x14ac:dyDescent="0.2">
      <c r="A1385" t="s">
        <v>3288</v>
      </c>
      <c r="B1385" s="2">
        <v>43161</v>
      </c>
      <c r="C1385" t="s">
        <v>1836</v>
      </c>
      <c r="D1385" t="s">
        <v>1031</v>
      </c>
    </row>
    <row r="1386" spans="1:4" x14ac:dyDescent="0.2">
      <c r="A1386" t="s">
        <v>3289</v>
      </c>
      <c r="B1386" s="2">
        <v>43136</v>
      </c>
      <c r="C1386" t="s">
        <v>1930</v>
      </c>
      <c r="D1386" t="s">
        <v>1807</v>
      </c>
    </row>
    <row r="1387" spans="1:4" x14ac:dyDescent="0.2">
      <c r="A1387" t="s">
        <v>3290</v>
      </c>
      <c r="B1387" s="2">
        <v>43244</v>
      </c>
      <c r="C1387" t="s">
        <v>1863</v>
      </c>
      <c r="D1387" t="s">
        <v>1804</v>
      </c>
    </row>
    <row r="1388" spans="1:4" x14ac:dyDescent="0.2">
      <c r="A1388" t="s">
        <v>3291</v>
      </c>
      <c r="B1388" s="2">
        <v>43193</v>
      </c>
      <c r="C1388" t="s">
        <v>1816</v>
      </c>
      <c r="D1388" t="s">
        <v>1840</v>
      </c>
    </row>
    <row r="1389" spans="1:4" x14ac:dyDescent="0.2">
      <c r="A1389" t="s">
        <v>3292</v>
      </c>
      <c r="B1389" s="2">
        <v>43055</v>
      </c>
      <c r="C1389" t="s">
        <v>1825</v>
      </c>
      <c r="D1389" t="s">
        <v>1807</v>
      </c>
    </row>
    <row r="1390" spans="1:4" x14ac:dyDescent="0.2">
      <c r="A1390" t="s">
        <v>3293</v>
      </c>
      <c r="B1390" s="2">
        <v>43192</v>
      </c>
      <c r="C1390" t="s">
        <v>1836</v>
      </c>
      <c r="D1390" t="s">
        <v>1849</v>
      </c>
    </row>
    <row r="1391" spans="1:4" x14ac:dyDescent="0.2">
      <c r="A1391" t="s">
        <v>355</v>
      </c>
      <c r="B1391" s="2">
        <v>43004</v>
      </c>
      <c r="C1391" t="s">
        <v>1816</v>
      </c>
      <c r="D1391" t="s">
        <v>1810</v>
      </c>
    </row>
    <row r="1392" spans="1:4" x14ac:dyDescent="0.2">
      <c r="A1392" t="s">
        <v>3294</v>
      </c>
      <c r="B1392" s="2">
        <v>43116</v>
      </c>
      <c r="C1392" t="s">
        <v>1816</v>
      </c>
      <c r="D1392" t="s">
        <v>1807</v>
      </c>
    </row>
    <row r="1393" spans="1:4" x14ac:dyDescent="0.2">
      <c r="A1393" t="s">
        <v>357</v>
      </c>
      <c r="B1393" s="2">
        <v>43126</v>
      </c>
      <c r="C1393" t="s">
        <v>1816</v>
      </c>
      <c r="D1393" t="s">
        <v>1810</v>
      </c>
    </row>
    <row r="1394" spans="1:4" x14ac:dyDescent="0.2">
      <c r="A1394" t="s">
        <v>3295</v>
      </c>
      <c r="B1394" s="2">
        <v>43164</v>
      </c>
      <c r="C1394" t="s">
        <v>1803</v>
      </c>
      <c r="D1394" t="s">
        <v>1804</v>
      </c>
    </row>
    <row r="1395" spans="1:4" x14ac:dyDescent="0.2">
      <c r="A1395" t="s">
        <v>359</v>
      </c>
      <c r="B1395" s="2">
        <v>43223</v>
      </c>
      <c r="C1395" t="s">
        <v>1836</v>
      </c>
      <c r="D1395" t="s">
        <v>1031</v>
      </c>
    </row>
    <row r="1396" spans="1:4" x14ac:dyDescent="0.2">
      <c r="A1396" t="s">
        <v>3296</v>
      </c>
      <c r="B1396" s="2">
        <v>43159</v>
      </c>
      <c r="C1396" t="s">
        <v>1915</v>
      </c>
      <c r="D1396" t="s">
        <v>1807</v>
      </c>
    </row>
    <row r="1397" spans="1:4" x14ac:dyDescent="0.2">
      <c r="A1397" t="s">
        <v>3297</v>
      </c>
      <c r="B1397" s="2">
        <v>43104</v>
      </c>
      <c r="C1397" t="s">
        <v>1836</v>
      </c>
      <c r="D1397" t="s">
        <v>1031</v>
      </c>
    </row>
    <row r="1398" spans="1:4" x14ac:dyDescent="0.2">
      <c r="A1398" t="s">
        <v>3298</v>
      </c>
      <c r="B1398" s="2">
        <v>43024</v>
      </c>
      <c r="C1398" t="s">
        <v>1836</v>
      </c>
      <c r="D1398" t="s">
        <v>1807</v>
      </c>
    </row>
    <row r="1399" spans="1:4" x14ac:dyDescent="0.2">
      <c r="A1399" t="s">
        <v>3299</v>
      </c>
      <c r="B1399" s="2">
        <v>43180</v>
      </c>
      <c r="C1399" t="s">
        <v>1816</v>
      </c>
      <c r="D1399" t="s">
        <v>1810</v>
      </c>
    </row>
    <row r="1400" spans="1:4" x14ac:dyDescent="0.2">
      <c r="A1400" t="s">
        <v>3300</v>
      </c>
      <c r="B1400" s="2">
        <v>43218</v>
      </c>
      <c r="C1400" t="s">
        <v>1905</v>
      </c>
      <c r="D1400" t="s">
        <v>1807</v>
      </c>
    </row>
    <row r="1401" spans="1:4" x14ac:dyDescent="0.2">
      <c r="A1401" t="s">
        <v>3301</v>
      </c>
      <c r="B1401" s="2">
        <v>43205</v>
      </c>
      <c r="C1401" t="s">
        <v>1863</v>
      </c>
      <c r="D1401" t="s">
        <v>1810</v>
      </c>
    </row>
    <row r="1402" spans="1:4" x14ac:dyDescent="0.2">
      <c r="A1402" t="s">
        <v>3302</v>
      </c>
      <c r="B1402" s="2">
        <v>43246</v>
      </c>
      <c r="C1402" t="s">
        <v>1928</v>
      </c>
      <c r="D1402" t="s">
        <v>1813</v>
      </c>
    </row>
    <row r="1403" spans="1:4" x14ac:dyDescent="0.2">
      <c r="A1403" t="s">
        <v>3303</v>
      </c>
      <c r="B1403" s="2">
        <v>43122</v>
      </c>
      <c r="C1403" t="s">
        <v>1836</v>
      </c>
      <c r="D1403" t="s">
        <v>1031</v>
      </c>
    </row>
    <row r="1404" spans="1:4" x14ac:dyDescent="0.2">
      <c r="A1404" t="s">
        <v>3304</v>
      </c>
      <c r="B1404" s="2">
        <v>43235</v>
      </c>
      <c r="C1404" t="s">
        <v>1854</v>
      </c>
      <c r="D1404" t="s">
        <v>1810</v>
      </c>
    </row>
    <row r="1405" spans="1:4" x14ac:dyDescent="0.2">
      <c r="A1405" t="s">
        <v>3305</v>
      </c>
      <c r="B1405" s="2">
        <v>43055</v>
      </c>
      <c r="C1405" t="s">
        <v>1939</v>
      </c>
      <c r="D1405" t="s">
        <v>1829</v>
      </c>
    </row>
    <row r="1406" spans="1:4" x14ac:dyDescent="0.2">
      <c r="A1406" t="s">
        <v>3306</v>
      </c>
      <c r="B1406" s="2">
        <v>42936</v>
      </c>
      <c r="C1406" t="s">
        <v>3268</v>
      </c>
      <c r="D1406" t="s">
        <v>1829</v>
      </c>
    </row>
    <row r="1407" spans="1:4" x14ac:dyDescent="0.2">
      <c r="A1407" t="s">
        <v>3307</v>
      </c>
      <c r="B1407" s="2">
        <v>43186</v>
      </c>
      <c r="C1407" t="s">
        <v>1831</v>
      </c>
      <c r="D1407" t="s">
        <v>160</v>
      </c>
    </row>
    <row r="1408" spans="1:4" x14ac:dyDescent="0.2">
      <c r="A1408" t="s">
        <v>3308</v>
      </c>
      <c r="B1408" s="2">
        <v>43152</v>
      </c>
      <c r="C1408" t="s">
        <v>1809</v>
      </c>
      <c r="D1408" t="s">
        <v>1810</v>
      </c>
    </row>
    <row r="1409" spans="1:4" x14ac:dyDescent="0.2">
      <c r="A1409" t="s">
        <v>3309</v>
      </c>
      <c r="B1409" s="2">
        <v>43165</v>
      </c>
      <c r="C1409" t="s">
        <v>1825</v>
      </c>
      <c r="D1409" t="s">
        <v>1810</v>
      </c>
    </row>
    <row r="1410" spans="1:4" x14ac:dyDescent="0.2">
      <c r="A1410" t="s">
        <v>3310</v>
      </c>
      <c r="B1410" s="2">
        <v>43246</v>
      </c>
      <c r="C1410" t="s">
        <v>3311</v>
      </c>
      <c r="D1410" t="s">
        <v>1813</v>
      </c>
    </row>
    <row r="1411" spans="1:4" x14ac:dyDescent="0.2">
      <c r="A1411" t="s">
        <v>3312</v>
      </c>
      <c r="B1411" s="2">
        <v>43228</v>
      </c>
      <c r="C1411" t="s">
        <v>2445</v>
      </c>
      <c r="D1411" t="s">
        <v>1810</v>
      </c>
    </row>
    <row r="1412" spans="1:4" x14ac:dyDescent="0.2">
      <c r="A1412" t="s">
        <v>3313</v>
      </c>
      <c r="B1412" s="2">
        <v>43227</v>
      </c>
      <c r="C1412" t="s">
        <v>2048</v>
      </c>
      <c r="D1412" t="s">
        <v>1804</v>
      </c>
    </row>
    <row r="1413" spans="1:4" x14ac:dyDescent="0.2">
      <c r="A1413" t="s">
        <v>3314</v>
      </c>
      <c r="B1413" s="2">
        <v>43092</v>
      </c>
      <c r="C1413" t="s">
        <v>3315</v>
      </c>
      <c r="D1413" t="s">
        <v>1849</v>
      </c>
    </row>
    <row r="1414" spans="1:4" x14ac:dyDescent="0.2">
      <c r="A1414" t="s">
        <v>361</v>
      </c>
      <c r="B1414" s="2">
        <v>43242</v>
      </c>
      <c r="C1414" t="s">
        <v>1816</v>
      </c>
      <c r="D1414" t="s">
        <v>1810</v>
      </c>
    </row>
    <row r="1415" spans="1:4" x14ac:dyDescent="0.2">
      <c r="A1415" t="s">
        <v>3316</v>
      </c>
      <c r="B1415" s="2">
        <v>43234</v>
      </c>
      <c r="C1415" t="s">
        <v>1836</v>
      </c>
      <c r="D1415" t="s">
        <v>1807</v>
      </c>
    </row>
    <row r="1416" spans="1:4" x14ac:dyDescent="0.2">
      <c r="A1416" t="s">
        <v>3317</v>
      </c>
      <c r="B1416" s="2">
        <v>42954</v>
      </c>
      <c r="C1416" t="s">
        <v>2014</v>
      </c>
      <c r="D1416" t="s">
        <v>1810</v>
      </c>
    </row>
    <row r="1417" spans="1:4" x14ac:dyDescent="0.2">
      <c r="A1417" t="s">
        <v>3318</v>
      </c>
      <c r="B1417" s="2">
        <v>43122</v>
      </c>
      <c r="C1417" t="s">
        <v>2054</v>
      </c>
      <c r="D1417" t="s">
        <v>1840</v>
      </c>
    </row>
    <row r="1418" spans="1:4" x14ac:dyDescent="0.2">
      <c r="A1418" t="s">
        <v>3319</v>
      </c>
      <c r="B1418" s="2">
        <v>43251</v>
      </c>
      <c r="C1418" t="s">
        <v>1816</v>
      </c>
      <c r="D1418" t="s">
        <v>1840</v>
      </c>
    </row>
    <row r="1419" spans="1:4" x14ac:dyDescent="0.2">
      <c r="A1419" t="s">
        <v>3320</v>
      </c>
      <c r="B1419" s="2">
        <v>43152</v>
      </c>
      <c r="C1419" t="s">
        <v>1809</v>
      </c>
      <c r="D1419" t="s">
        <v>1810</v>
      </c>
    </row>
    <row r="1420" spans="1:4" x14ac:dyDescent="0.2">
      <c r="A1420" t="s">
        <v>3321</v>
      </c>
      <c r="B1420" s="2">
        <v>42976</v>
      </c>
      <c r="C1420" t="s">
        <v>1894</v>
      </c>
      <c r="D1420" t="s">
        <v>1804</v>
      </c>
    </row>
    <row r="1421" spans="1:4" x14ac:dyDescent="0.2">
      <c r="A1421" t="s">
        <v>3322</v>
      </c>
      <c r="B1421" s="2">
        <v>43183</v>
      </c>
      <c r="C1421" t="s">
        <v>1867</v>
      </c>
      <c r="D1421" t="s">
        <v>1810</v>
      </c>
    </row>
    <row r="1422" spans="1:4" x14ac:dyDescent="0.2">
      <c r="A1422" t="s">
        <v>3323</v>
      </c>
      <c r="B1422" s="2">
        <v>42954</v>
      </c>
      <c r="C1422" t="s">
        <v>1867</v>
      </c>
      <c r="D1422" t="s">
        <v>1810</v>
      </c>
    </row>
    <row r="1423" spans="1:4" x14ac:dyDescent="0.2">
      <c r="A1423" t="s">
        <v>3324</v>
      </c>
      <c r="B1423" s="2">
        <v>43116</v>
      </c>
      <c r="C1423" t="s">
        <v>1867</v>
      </c>
      <c r="D1423" t="s">
        <v>1840</v>
      </c>
    </row>
    <row r="1424" spans="1:4" x14ac:dyDescent="0.2">
      <c r="A1424" t="s">
        <v>3325</v>
      </c>
      <c r="B1424" s="2">
        <v>43152</v>
      </c>
      <c r="C1424" t="s">
        <v>1867</v>
      </c>
      <c r="D1424" t="s">
        <v>1840</v>
      </c>
    </row>
    <row r="1425" spans="1:4" x14ac:dyDescent="0.2">
      <c r="A1425" t="s">
        <v>3326</v>
      </c>
      <c r="B1425" s="2">
        <v>43208</v>
      </c>
      <c r="C1425" t="s">
        <v>1836</v>
      </c>
      <c r="D1425" t="s">
        <v>1031</v>
      </c>
    </row>
    <row r="1426" spans="1:4" x14ac:dyDescent="0.2">
      <c r="A1426" t="s">
        <v>363</v>
      </c>
      <c r="B1426" s="2">
        <v>43242</v>
      </c>
      <c r="C1426" t="s">
        <v>1930</v>
      </c>
      <c r="D1426" t="s">
        <v>1807</v>
      </c>
    </row>
    <row r="1427" spans="1:4" x14ac:dyDescent="0.2">
      <c r="A1427" t="s">
        <v>3327</v>
      </c>
      <c r="B1427" s="2">
        <v>43117</v>
      </c>
      <c r="C1427" t="s">
        <v>1854</v>
      </c>
      <c r="D1427" t="s">
        <v>1910</v>
      </c>
    </row>
    <row r="1428" spans="1:4" x14ac:dyDescent="0.2">
      <c r="A1428" t="s">
        <v>3328</v>
      </c>
      <c r="B1428" s="2">
        <v>42950</v>
      </c>
      <c r="C1428" t="s">
        <v>1867</v>
      </c>
      <c r="D1428" t="s">
        <v>1813</v>
      </c>
    </row>
    <row r="1429" spans="1:4" x14ac:dyDescent="0.2">
      <c r="A1429" t="s">
        <v>3329</v>
      </c>
      <c r="B1429" s="2">
        <v>43062</v>
      </c>
      <c r="C1429" t="s">
        <v>2907</v>
      </c>
      <c r="D1429" t="s">
        <v>1813</v>
      </c>
    </row>
    <row r="1430" spans="1:4" x14ac:dyDescent="0.2">
      <c r="A1430" t="s">
        <v>3330</v>
      </c>
      <c r="B1430" s="2">
        <v>43203</v>
      </c>
      <c r="C1430" t="s">
        <v>1836</v>
      </c>
      <c r="D1430" t="s">
        <v>1807</v>
      </c>
    </row>
    <row r="1431" spans="1:4" x14ac:dyDescent="0.2">
      <c r="A1431" t="s">
        <v>3331</v>
      </c>
      <c r="B1431" s="2">
        <v>43180</v>
      </c>
      <c r="C1431" t="s">
        <v>1987</v>
      </c>
      <c r="D1431" t="s">
        <v>1807</v>
      </c>
    </row>
    <row r="1432" spans="1:4" x14ac:dyDescent="0.2">
      <c r="A1432" t="s">
        <v>365</v>
      </c>
      <c r="B1432" s="2">
        <v>43179</v>
      </c>
      <c r="C1432" t="s">
        <v>1921</v>
      </c>
      <c r="D1432" t="s">
        <v>1810</v>
      </c>
    </row>
    <row r="1433" spans="1:4" x14ac:dyDescent="0.2">
      <c r="A1433" t="s">
        <v>3332</v>
      </c>
      <c r="B1433" s="2">
        <v>43165</v>
      </c>
      <c r="C1433" t="s">
        <v>3333</v>
      </c>
      <c r="D1433" t="s">
        <v>1813</v>
      </c>
    </row>
    <row r="1434" spans="1:4" x14ac:dyDescent="0.2">
      <c r="A1434" t="s">
        <v>3334</v>
      </c>
      <c r="B1434" s="2">
        <v>43223</v>
      </c>
      <c r="C1434" t="s">
        <v>1809</v>
      </c>
      <c r="D1434" t="s">
        <v>1849</v>
      </c>
    </row>
    <row r="1435" spans="1:4" x14ac:dyDescent="0.2">
      <c r="A1435" t="s">
        <v>3335</v>
      </c>
      <c r="B1435" s="2">
        <v>43116</v>
      </c>
      <c r="C1435" t="s">
        <v>1836</v>
      </c>
      <c r="D1435" t="s">
        <v>1031</v>
      </c>
    </row>
    <row r="1436" spans="1:4" x14ac:dyDescent="0.2">
      <c r="A1436" t="s">
        <v>3336</v>
      </c>
      <c r="B1436" s="2">
        <v>43173</v>
      </c>
      <c r="C1436" t="s">
        <v>1831</v>
      </c>
      <c r="D1436" t="s">
        <v>1910</v>
      </c>
    </row>
    <row r="1437" spans="1:4" x14ac:dyDescent="0.2">
      <c r="A1437" t="s">
        <v>3337</v>
      </c>
      <c r="B1437" s="2">
        <v>43145</v>
      </c>
      <c r="C1437" t="s">
        <v>1803</v>
      </c>
      <c r="D1437" t="s">
        <v>1804</v>
      </c>
    </row>
    <row r="1438" spans="1:4" x14ac:dyDescent="0.2">
      <c r="A1438" t="s">
        <v>3338</v>
      </c>
      <c r="B1438" s="2">
        <v>43150</v>
      </c>
      <c r="C1438" t="s">
        <v>1930</v>
      </c>
      <c r="D1438" t="s">
        <v>1807</v>
      </c>
    </row>
    <row r="1439" spans="1:4" x14ac:dyDescent="0.2">
      <c r="A1439" t="s">
        <v>3339</v>
      </c>
      <c r="B1439" s="2">
        <v>43021</v>
      </c>
      <c r="C1439" t="s">
        <v>2657</v>
      </c>
      <c r="D1439" t="s">
        <v>1840</v>
      </c>
    </row>
    <row r="1440" spans="1:4" x14ac:dyDescent="0.2">
      <c r="A1440" t="s">
        <v>367</v>
      </c>
      <c r="B1440" s="2">
        <v>43111</v>
      </c>
      <c r="C1440" t="s">
        <v>1867</v>
      </c>
      <c r="D1440" t="s">
        <v>1810</v>
      </c>
    </row>
    <row r="1441" spans="1:4" x14ac:dyDescent="0.2">
      <c r="A1441" t="s">
        <v>3340</v>
      </c>
      <c r="B1441" s="2">
        <v>43036</v>
      </c>
      <c r="C1441" t="s">
        <v>2193</v>
      </c>
      <c r="D1441" t="s">
        <v>1810</v>
      </c>
    </row>
    <row r="1442" spans="1:4" x14ac:dyDescent="0.2">
      <c r="A1442" t="s">
        <v>369</v>
      </c>
      <c r="B1442" s="2">
        <v>43162</v>
      </c>
      <c r="C1442" t="s">
        <v>1905</v>
      </c>
      <c r="D1442" t="s">
        <v>1810</v>
      </c>
    </row>
    <row r="1443" spans="1:4" x14ac:dyDescent="0.2">
      <c r="A1443" t="s">
        <v>3341</v>
      </c>
      <c r="B1443" s="2">
        <v>43203</v>
      </c>
      <c r="C1443" t="s">
        <v>1863</v>
      </c>
      <c r="D1443" t="s">
        <v>1804</v>
      </c>
    </row>
    <row r="1444" spans="1:4" x14ac:dyDescent="0.2">
      <c r="A1444" t="s">
        <v>3342</v>
      </c>
      <c r="B1444" s="2">
        <v>43119</v>
      </c>
      <c r="C1444" t="s">
        <v>1930</v>
      </c>
      <c r="D1444" t="s">
        <v>1807</v>
      </c>
    </row>
    <row r="1445" spans="1:4" x14ac:dyDescent="0.2">
      <c r="A1445" t="s">
        <v>3343</v>
      </c>
      <c r="B1445" s="2">
        <v>43106</v>
      </c>
      <c r="C1445" t="s">
        <v>1814</v>
      </c>
      <c r="D1445" t="s">
        <v>1810</v>
      </c>
    </row>
    <row r="1446" spans="1:4" x14ac:dyDescent="0.2">
      <c r="A1446" t="s">
        <v>3344</v>
      </c>
      <c r="B1446" s="2">
        <v>43236</v>
      </c>
      <c r="C1446" t="s">
        <v>1816</v>
      </c>
      <c r="D1446" t="s">
        <v>1810</v>
      </c>
    </row>
    <row r="1447" spans="1:4" x14ac:dyDescent="0.2">
      <c r="A1447" t="s">
        <v>3345</v>
      </c>
      <c r="B1447" s="2">
        <v>43116</v>
      </c>
      <c r="C1447" t="s">
        <v>1803</v>
      </c>
      <c r="D1447" t="s">
        <v>1804</v>
      </c>
    </row>
    <row r="1448" spans="1:4" x14ac:dyDescent="0.2">
      <c r="A1448" t="s">
        <v>3346</v>
      </c>
      <c r="B1448" s="2">
        <v>43218</v>
      </c>
      <c r="C1448" t="s">
        <v>1863</v>
      </c>
      <c r="D1448" t="s">
        <v>1804</v>
      </c>
    </row>
    <row r="1449" spans="1:4" x14ac:dyDescent="0.2">
      <c r="A1449" t="s">
        <v>371</v>
      </c>
      <c r="B1449" s="2">
        <v>43148</v>
      </c>
      <c r="C1449" t="s">
        <v>1803</v>
      </c>
      <c r="D1449" t="s">
        <v>1804</v>
      </c>
    </row>
    <row r="1450" spans="1:4" x14ac:dyDescent="0.2">
      <c r="A1450" t="s">
        <v>3347</v>
      </c>
      <c r="B1450" s="2">
        <v>43217</v>
      </c>
      <c r="C1450" t="s">
        <v>1836</v>
      </c>
      <c r="D1450" t="s">
        <v>1031</v>
      </c>
    </row>
    <row r="1451" spans="1:4" x14ac:dyDescent="0.2">
      <c r="A1451" t="s">
        <v>373</v>
      </c>
      <c r="B1451" s="2">
        <v>43174</v>
      </c>
      <c r="C1451" t="s">
        <v>1905</v>
      </c>
      <c r="D1451" t="s">
        <v>1810</v>
      </c>
    </row>
    <row r="1452" spans="1:4" x14ac:dyDescent="0.2">
      <c r="A1452" t="s">
        <v>3348</v>
      </c>
      <c r="B1452" s="2">
        <v>43178</v>
      </c>
      <c r="C1452" t="s">
        <v>1836</v>
      </c>
      <c r="D1452" t="s">
        <v>1031</v>
      </c>
    </row>
    <row r="1453" spans="1:4" x14ac:dyDescent="0.2">
      <c r="A1453" t="s">
        <v>375</v>
      </c>
      <c r="B1453" s="2">
        <v>43138</v>
      </c>
      <c r="C1453" t="s">
        <v>2048</v>
      </c>
      <c r="D1453" t="s">
        <v>1807</v>
      </c>
    </row>
    <row r="1454" spans="1:4" x14ac:dyDescent="0.2">
      <c r="A1454" t="s">
        <v>3349</v>
      </c>
      <c r="B1454" s="2">
        <v>43225</v>
      </c>
      <c r="C1454" t="s">
        <v>1905</v>
      </c>
      <c r="D1454" t="s">
        <v>1810</v>
      </c>
    </row>
    <row r="1455" spans="1:4" x14ac:dyDescent="0.2">
      <c r="A1455" t="s">
        <v>3350</v>
      </c>
      <c r="B1455" s="2">
        <v>43194</v>
      </c>
      <c r="C1455" t="s">
        <v>3090</v>
      </c>
      <c r="D1455" t="s">
        <v>1807</v>
      </c>
    </row>
    <row r="1456" spans="1:4" x14ac:dyDescent="0.2">
      <c r="A1456" t="s">
        <v>3351</v>
      </c>
      <c r="B1456" s="2">
        <v>43208</v>
      </c>
      <c r="C1456" t="s">
        <v>1867</v>
      </c>
      <c r="D1456" t="s">
        <v>1829</v>
      </c>
    </row>
    <row r="1457" spans="1:4" x14ac:dyDescent="0.2">
      <c r="A1457" t="s">
        <v>377</v>
      </c>
      <c r="B1457" s="2">
        <v>43207</v>
      </c>
      <c r="C1457" t="s">
        <v>1836</v>
      </c>
      <c r="D1457" t="s">
        <v>1810</v>
      </c>
    </row>
    <row r="1458" spans="1:4" x14ac:dyDescent="0.2">
      <c r="A1458" t="s">
        <v>3352</v>
      </c>
      <c r="B1458" s="2">
        <v>42979</v>
      </c>
      <c r="C1458" t="s">
        <v>3019</v>
      </c>
      <c r="D1458" t="s">
        <v>1829</v>
      </c>
    </row>
    <row r="1459" spans="1:4" x14ac:dyDescent="0.2">
      <c r="A1459" t="s">
        <v>3353</v>
      </c>
      <c r="B1459" s="2">
        <v>42976</v>
      </c>
      <c r="C1459" t="s">
        <v>2058</v>
      </c>
      <c r="D1459" t="s">
        <v>1840</v>
      </c>
    </row>
    <row r="1460" spans="1:4" x14ac:dyDescent="0.2">
      <c r="A1460" t="s">
        <v>3354</v>
      </c>
      <c r="B1460" s="2">
        <v>43154</v>
      </c>
      <c r="C1460" t="s">
        <v>1831</v>
      </c>
      <c r="D1460" t="s">
        <v>160</v>
      </c>
    </row>
    <row r="1461" spans="1:4" x14ac:dyDescent="0.2">
      <c r="A1461" t="s">
        <v>3355</v>
      </c>
      <c r="B1461" s="2">
        <v>42963</v>
      </c>
      <c r="C1461" t="s">
        <v>2569</v>
      </c>
      <c r="D1461" t="s">
        <v>1829</v>
      </c>
    </row>
    <row r="1462" spans="1:4" x14ac:dyDescent="0.2">
      <c r="A1462" t="s">
        <v>3356</v>
      </c>
      <c r="B1462" s="2">
        <v>43152</v>
      </c>
      <c r="C1462" t="s">
        <v>1905</v>
      </c>
      <c r="D1462" t="s">
        <v>1810</v>
      </c>
    </row>
    <row r="1463" spans="1:4" x14ac:dyDescent="0.2">
      <c r="A1463" t="s">
        <v>3357</v>
      </c>
      <c r="B1463" s="2">
        <v>43124</v>
      </c>
      <c r="C1463" t="s">
        <v>1816</v>
      </c>
      <c r="D1463" t="s">
        <v>1810</v>
      </c>
    </row>
    <row r="1464" spans="1:4" x14ac:dyDescent="0.2">
      <c r="A1464" t="s">
        <v>379</v>
      </c>
      <c r="B1464" s="2">
        <v>43129</v>
      </c>
      <c r="C1464" t="s">
        <v>1816</v>
      </c>
      <c r="D1464" t="s">
        <v>1807</v>
      </c>
    </row>
    <row r="1465" spans="1:4" x14ac:dyDescent="0.2">
      <c r="A1465" t="s">
        <v>3358</v>
      </c>
      <c r="B1465" s="2">
        <v>43060</v>
      </c>
      <c r="C1465" t="s">
        <v>2650</v>
      </c>
      <c r="D1465" t="s">
        <v>1810</v>
      </c>
    </row>
    <row r="1466" spans="1:4" x14ac:dyDescent="0.2">
      <c r="A1466" t="s">
        <v>3359</v>
      </c>
      <c r="B1466" s="2">
        <v>43222</v>
      </c>
      <c r="C1466" t="s">
        <v>1863</v>
      </c>
      <c r="D1466" t="s">
        <v>1804</v>
      </c>
    </row>
    <row r="1467" spans="1:4" x14ac:dyDescent="0.2">
      <c r="A1467" t="s">
        <v>3360</v>
      </c>
      <c r="B1467" s="2">
        <v>43106</v>
      </c>
      <c r="C1467" t="s">
        <v>1816</v>
      </c>
      <c r="D1467" t="s">
        <v>1810</v>
      </c>
    </row>
    <row r="1468" spans="1:4" x14ac:dyDescent="0.2">
      <c r="A1468" t="s">
        <v>381</v>
      </c>
      <c r="B1468" s="2">
        <v>43126</v>
      </c>
      <c r="C1468" t="s">
        <v>1930</v>
      </c>
      <c r="D1468" t="s">
        <v>1810</v>
      </c>
    </row>
    <row r="1469" spans="1:4" x14ac:dyDescent="0.2">
      <c r="A1469" t="s">
        <v>3361</v>
      </c>
      <c r="B1469" s="2">
        <v>43018</v>
      </c>
      <c r="C1469" t="s">
        <v>1867</v>
      </c>
      <c r="D1469" t="s">
        <v>1810</v>
      </c>
    </row>
    <row r="1470" spans="1:4" x14ac:dyDescent="0.2">
      <c r="A1470" t="s">
        <v>3362</v>
      </c>
      <c r="B1470" s="2">
        <v>43235</v>
      </c>
      <c r="C1470" t="s">
        <v>1818</v>
      </c>
      <c r="D1470" t="s">
        <v>1031</v>
      </c>
    </row>
    <row r="1471" spans="1:4" x14ac:dyDescent="0.2">
      <c r="A1471" t="s">
        <v>3363</v>
      </c>
      <c r="B1471" s="2">
        <v>43010</v>
      </c>
      <c r="C1471" t="s">
        <v>1809</v>
      </c>
      <c r="D1471" t="s">
        <v>1031</v>
      </c>
    </row>
    <row r="1472" spans="1:4" x14ac:dyDescent="0.2">
      <c r="A1472" t="s">
        <v>3364</v>
      </c>
      <c r="B1472" s="2">
        <v>43182</v>
      </c>
      <c r="C1472" t="s">
        <v>1905</v>
      </c>
      <c r="D1472" t="s">
        <v>1810</v>
      </c>
    </row>
    <row r="1473" spans="1:4" x14ac:dyDescent="0.2">
      <c r="A1473" t="s">
        <v>3365</v>
      </c>
      <c r="B1473" s="2">
        <v>43209</v>
      </c>
      <c r="C1473" t="s">
        <v>1832</v>
      </c>
      <c r="D1473" t="s">
        <v>1807</v>
      </c>
    </row>
    <row r="1474" spans="1:4" x14ac:dyDescent="0.2">
      <c r="A1474" t="s">
        <v>383</v>
      </c>
      <c r="B1474" s="2">
        <v>43103</v>
      </c>
      <c r="C1474" t="s">
        <v>1907</v>
      </c>
      <c r="D1474" t="s">
        <v>1807</v>
      </c>
    </row>
    <row r="1475" spans="1:4" x14ac:dyDescent="0.2">
      <c r="A1475" t="s">
        <v>3366</v>
      </c>
      <c r="B1475" s="2">
        <v>43228</v>
      </c>
      <c r="C1475" t="s">
        <v>2831</v>
      </c>
      <c r="D1475" t="s">
        <v>1807</v>
      </c>
    </row>
    <row r="1476" spans="1:4" x14ac:dyDescent="0.2">
      <c r="A1476" t="s">
        <v>3367</v>
      </c>
      <c r="B1476" s="2">
        <v>43201</v>
      </c>
      <c r="C1476" t="s">
        <v>2182</v>
      </c>
      <c r="D1476" t="s">
        <v>1810</v>
      </c>
    </row>
    <row r="1477" spans="1:4" x14ac:dyDescent="0.2">
      <c r="A1477" t="s">
        <v>3368</v>
      </c>
      <c r="B1477" s="2">
        <v>42935</v>
      </c>
      <c r="C1477" t="s">
        <v>3369</v>
      </c>
      <c r="D1477" t="s">
        <v>1810</v>
      </c>
    </row>
    <row r="1478" spans="1:4" x14ac:dyDescent="0.2">
      <c r="A1478" t="s">
        <v>3370</v>
      </c>
      <c r="B1478" s="2">
        <v>43132</v>
      </c>
      <c r="C1478" t="s">
        <v>1836</v>
      </c>
      <c r="D1478" t="s">
        <v>1031</v>
      </c>
    </row>
    <row r="1479" spans="1:4" x14ac:dyDescent="0.2">
      <c r="A1479" t="s">
        <v>3371</v>
      </c>
      <c r="B1479" s="2">
        <v>43099</v>
      </c>
      <c r="C1479" t="s">
        <v>1825</v>
      </c>
      <c r="D1479" t="s">
        <v>1810</v>
      </c>
    </row>
    <row r="1480" spans="1:4" x14ac:dyDescent="0.2">
      <c r="A1480" t="s">
        <v>3372</v>
      </c>
      <c r="B1480" s="2">
        <v>43167</v>
      </c>
      <c r="C1480" t="s">
        <v>2048</v>
      </c>
      <c r="D1480" t="s">
        <v>1810</v>
      </c>
    </row>
    <row r="1481" spans="1:4" x14ac:dyDescent="0.2">
      <c r="A1481" t="s">
        <v>3373</v>
      </c>
      <c r="B1481" s="2">
        <v>43096</v>
      </c>
      <c r="C1481" t="s">
        <v>1836</v>
      </c>
      <c r="D1481" t="s">
        <v>1807</v>
      </c>
    </row>
    <row r="1482" spans="1:4" x14ac:dyDescent="0.2">
      <c r="A1482" t="s">
        <v>3374</v>
      </c>
      <c r="B1482" s="2">
        <v>43235</v>
      </c>
      <c r="C1482" t="s">
        <v>2070</v>
      </c>
      <c r="D1482" t="s">
        <v>1813</v>
      </c>
    </row>
    <row r="1483" spans="1:4" x14ac:dyDescent="0.2">
      <c r="A1483" t="s">
        <v>3375</v>
      </c>
      <c r="B1483" s="2">
        <v>43214</v>
      </c>
      <c r="C1483" t="s">
        <v>1832</v>
      </c>
      <c r="D1483" t="s">
        <v>1807</v>
      </c>
    </row>
    <row r="1484" spans="1:4" x14ac:dyDescent="0.2">
      <c r="A1484" t="s">
        <v>3376</v>
      </c>
      <c r="B1484" s="2">
        <v>43241</v>
      </c>
      <c r="C1484" t="s">
        <v>2303</v>
      </c>
      <c r="D1484" t="s">
        <v>1810</v>
      </c>
    </row>
    <row r="1485" spans="1:4" x14ac:dyDescent="0.2">
      <c r="A1485" t="s">
        <v>3377</v>
      </c>
      <c r="B1485" s="2">
        <v>43229</v>
      </c>
      <c r="C1485" t="s">
        <v>1836</v>
      </c>
      <c r="D1485" t="s">
        <v>1810</v>
      </c>
    </row>
    <row r="1486" spans="1:4" x14ac:dyDescent="0.2">
      <c r="A1486" t="s">
        <v>3378</v>
      </c>
      <c r="B1486" s="2">
        <v>43140</v>
      </c>
      <c r="C1486" t="s">
        <v>1809</v>
      </c>
      <c r="D1486" t="s">
        <v>1849</v>
      </c>
    </row>
    <row r="1487" spans="1:4" x14ac:dyDescent="0.2">
      <c r="A1487" t="s">
        <v>385</v>
      </c>
      <c r="B1487" s="2">
        <v>43095</v>
      </c>
      <c r="C1487" t="s">
        <v>1885</v>
      </c>
      <c r="D1487" t="s">
        <v>1807</v>
      </c>
    </row>
    <row r="1488" spans="1:4" x14ac:dyDescent="0.2">
      <c r="A1488" t="s">
        <v>3379</v>
      </c>
      <c r="B1488" s="2">
        <v>43216</v>
      </c>
      <c r="C1488" t="s">
        <v>1863</v>
      </c>
      <c r="D1488" t="s">
        <v>1804</v>
      </c>
    </row>
    <row r="1489" spans="1:4" x14ac:dyDescent="0.2">
      <c r="A1489" t="s">
        <v>3380</v>
      </c>
      <c r="B1489" s="2">
        <v>43198</v>
      </c>
      <c r="C1489" t="s">
        <v>1863</v>
      </c>
      <c r="D1489" t="s">
        <v>1804</v>
      </c>
    </row>
    <row r="1490" spans="1:4" x14ac:dyDescent="0.2">
      <c r="A1490" t="s">
        <v>3381</v>
      </c>
      <c r="B1490" s="2">
        <v>43231</v>
      </c>
      <c r="C1490" t="s">
        <v>1809</v>
      </c>
      <c r="D1490" t="s">
        <v>1810</v>
      </c>
    </row>
    <row r="1491" spans="1:4" x14ac:dyDescent="0.2">
      <c r="A1491" t="s">
        <v>3382</v>
      </c>
      <c r="B1491" s="2">
        <v>43185</v>
      </c>
      <c r="C1491" t="s">
        <v>1834</v>
      </c>
      <c r="D1491" t="s">
        <v>1810</v>
      </c>
    </row>
    <row r="1492" spans="1:4" x14ac:dyDescent="0.2">
      <c r="A1492" t="s">
        <v>3383</v>
      </c>
      <c r="B1492" s="2">
        <v>43206</v>
      </c>
      <c r="C1492" t="s">
        <v>2170</v>
      </c>
      <c r="D1492" t="s">
        <v>1829</v>
      </c>
    </row>
    <row r="1493" spans="1:4" x14ac:dyDescent="0.2">
      <c r="A1493" t="s">
        <v>3384</v>
      </c>
      <c r="B1493" s="2">
        <v>43127</v>
      </c>
      <c r="C1493" t="s">
        <v>1816</v>
      </c>
      <c r="D1493" t="s">
        <v>1810</v>
      </c>
    </row>
    <row r="1494" spans="1:4" x14ac:dyDescent="0.2">
      <c r="A1494" t="s">
        <v>3385</v>
      </c>
      <c r="B1494" s="2">
        <v>43127</v>
      </c>
      <c r="C1494" t="s">
        <v>2324</v>
      </c>
      <c r="D1494" t="s">
        <v>1829</v>
      </c>
    </row>
    <row r="1495" spans="1:4" x14ac:dyDescent="0.2">
      <c r="A1495" t="s">
        <v>3386</v>
      </c>
      <c r="B1495" s="2">
        <v>43178</v>
      </c>
      <c r="C1495" t="s">
        <v>1928</v>
      </c>
      <c r="D1495" t="s">
        <v>1813</v>
      </c>
    </row>
    <row r="1496" spans="1:4" x14ac:dyDescent="0.2">
      <c r="A1496" t="s">
        <v>3387</v>
      </c>
      <c r="B1496" s="2">
        <v>43234</v>
      </c>
      <c r="C1496" t="s">
        <v>1825</v>
      </c>
      <c r="D1496" t="s">
        <v>1810</v>
      </c>
    </row>
    <row r="1497" spans="1:4" x14ac:dyDescent="0.2">
      <c r="A1497" t="s">
        <v>3388</v>
      </c>
      <c r="B1497" s="2">
        <v>43006</v>
      </c>
      <c r="C1497" t="s">
        <v>2829</v>
      </c>
      <c r="D1497" t="s">
        <v>160</v>
      </c>
    </row>
    <row r="1498" spans="1:4" x14ac:dyDescent="0.2">
      <c r="A1498" t="s">
        <v>3389</v>
      </c>
      <c r="B1498" s="2">
        <v>43244</v>
      </c>
      <c r="C1498" t="s">
        <v>3390</v>
      </c>
      <c r="D1498" t="s">
        <v>1807</v>
      </c>
    </row>
    <row r="1499" spans="1:4" x14ac:dyDescent="0.2">
      <c r="A1499" t="s">
        <v>3391</v>
      </c>
      <c r="B1499" s="2">
        <v>43243</v>
      </c>
      <c r="C1499" t="s">
        <v>1816</v>
      </c>
      <c r="D1499" t="s">
        <v>1810</v>
      </c>
    </row>
    <row r="1500" spans="1:4" x14ac:dyDescent="0.2">
      <c r="A1500" t="s">
        <v>3392</v>
      </c>
      <c r="B1500" s="2">
        <v>43237</v>
      </c>
      <c r="C1500" t="s">
        <v>2831</v>
      </c>
      <c r="D1500" t="s">
        <v>1807</v>
      </c>
    </row>
    <row r="1501" spans="1:4" x14ac:dyDescent="0.2">
      <c r="A1501" t="s">
        <v>3393</v>
      </c>
      <c r="B1501" s="2">
        <v>42928</v>
      </c>
      <c r="C1501" t="s">
        <v>3019</v>
      </c>
      <c r="D1501" t="s">
        <v>1807</v>
      </c>
    </row>
    <row r="1502" spans="1:4" x14ac:dyDescent="0.2">
      <c r="A1502" t="s">
        <v>3394</v>
      </c>
      <c r="B1502" s="2">
        <v>43129</v>
      </c>
      <c r="C1502" t="s">
        <v>2000</v>
      </c>
      <c r="D1502" t="s">
        <v>1807</v>
      </c>
    </row>
    <row r="1503" spans="1:4" x14ac:dyDescent="0.2">
      <c r="A1503" t="s">
        <v>3395</v>
      </c>
      <c r="B1503" s="2">
        <v>43222</v>
      </c>
      <c r="C1503" t="s">
        <v>1889</v>
      </c>
      <c r="D1503" t="s">
        <v>1840</v>
      </c>
    </row>
    <row r="1504" spans="1:4" x14ac:dyDescent="0.2">
      <c r="A1504" t="s">
        <v>3396</v>
      </c>
      <c r="B1504" s="2">
        <v>43166</v>
      </c>
      <c r="C1504" t="s">
        <v>1905</v>
      </c>
      <c r="D1504" t="s">
        <v>1810</v>
      </c>
    </row>
    <row r="1505" spans="1:4" x14ac:dyDescent="0.2">
      <c r="A1505" t="s">
        <v>3397</v>
      </c>
      <c r="B1505" s="2">
        <v>43095</v>
      </c>
      <c r="C1505" t="s">
        <v>2115</v>
      </c>
      <c r="D1505" t="s">
        <v>1804</v>
      </c>
    </row>
    <row r="1506" spans="1:4" x14ac:dyDescent="0.2">
      <c r="A1506" t="s">
        <v>3398</v>
      </c>
      <c r="B1506" s="2">
        <v>43214</v>
      </c>
      <c r="C1506" t="s">
        <v>1836</v>
      </c>
      <c r="D1506" t="s">
        <v>1031</v>
      </c>
    </row>
    <row r="1507" spans="1:4" x14ac:dyDescent="0.2">
      <c r="A1507" t="s">
        <v>3399</v>
      </c>
      <c r="B1507" s="2">
        <v>43223</v>
      </c>
      <c r="C1507" t="s">
        <v>2698</v>
      </c>
      <c r="D1507" t="s">
        <v>1810</v>
      </c>
    </row>
    <row r="1508" spans="1:4" x14ac:dyDescent="0.2">
      <c r="A1508" t="s">
        <v>3400</v>
      </c>
      <c r="B1508" s="2">
        <v>42964</v>
      </c>
      <c r="C1508" t="s">
        <v>2569</v>
      </c>
      <c r="D1508" t="s">
        <v>1810</v>
      </c>
    </row>
    <row r="1509" spans="1:4" x14ac:dyDescent="0.2">
      <c r="A1509" t="s">
        <v>3401</v>
      </c>
      <c r="B1509" s="2">
        <v>43173</v>
      </c>
      <c r="C1509" t="s">
        <v>1836</v>
      </c>
      <c r="D1509" t="s">
        <v>1810</v>
      </c>
    </row>
    <row r="1510" spans="1:4" x14ac:dyDescent="0.2">
      <c r="A1510" t="s">
        <v>3402</v>
      </c>
      <c r="B1510" s="2">
        <v>43201</v>
      </c>
      <c r="C1510" t="s">
        <v>1863</v>
      </c>
      <c r="D1510" t="s">
        <v>1804</v>
      </c>
    </row>
    <row r="1511" spans="1:4" x14ac:dyDescent="0.2">
      <c r="A1511" t="s">
        <v>3403</v>
      </c>
      <c r="B1511" s="2">
        <v>43087</v>
      </c>
      <c r="C1511" t="s">
        <v>1836</v>
      </c>
      <c r="D1511" t="s">
        <v>1031</v>
      </c>
    </row>
    <row r="1512" spans="1:4" x14ac:dyDescent="0.2">
      <c r="A1512" t="s">
        <v>3404</v>
      </c>
      <c r="B1512" s="2">
        <v>43049</v>
      </c>
      <c r="C1512" t="s">
        <v>1892</v>
      </c>
      <c r="D1512" t="s">
        <v>1810</v>
      </c>
    </row>
    <row r="1513" spans="1:4" x14ac:dyDescent="0.2">
      <c r="A1513" t="s">
        <v>3405</v>
      </c>
      <c r="B1513" s="2">
        <v>43106</v>
      </c>
      <c r="C1513" t="s">
        <v>1803</v>
      </c>
      <c r="D1513" t="s">
        <v>1804</v>
      </c>
    </row>
    <row r="1514" spans="1:4" x14ac:dyDescent="0.2">
      <c r="A1514" t="s">
        <v>3406</v>
      </c>
      <c r="B1514" s="2">
        <v>43147</v>
      </c>
      <c r="C1514" t="s">
        <v>1803</v>
      </c>
      <c r="D1514" t="s">
        <v>1804</v>
      </c>
    </row>
    <row r="1515" spans="1:4" x14ac:dyDescent="0.2">
      <c r="A1515" t="s">
        <v>387</v>
      </c>
      <c r="B1515" s="2">
        <v>43104</v>
      </c>
      <c r="C1515" t="s">
        <v>1836</v>
      </c>
      <c r="D1515" t="s">
        <v>1031</v>
      </c>
    </row>
    <row r="1516" spans="1:4" x14ac:dyDescent="0.2">
      <c r="A1516" t="s">
        <v>3407</v>
      </c>
      <c r="B1516" s="2">
        <v>43147</v>
      </c>
      <c r="C1516" t="s">
        <v>1836</v>
      </c>
      <c r="D1516" t="s">
        <v>1807</v>
      </c>
    </row>
    <row r="1517" spans="1:4" x14ac:dyDescent="0.2">
      <c r="A1517" t="s">
        <v>3408</v>
      </c>
      <c r="B1517" s="2">
        <v>43206</v>
      </c>
      <c r="C1517" t="s">
        <v>3409</v>
      </c>
      <c r="D1517" t="s">
        <v>1810</v>
      </c>
    </row>
    <row r="1518" spans="1:4" x14ac:dyDescent="0.2">
      <c r="A1518" t="s">
        <v>3410</v>
      </c>
      <c r="B1518" s="2">
        <v>43181</v>
      </c>
      <c r="C1518" t="s">
        <v>2579</v>
      </c>
      <c r="D1518" t="s">
        <v>1813</v>
      </c>
    </row>
    <row r="1519" spans="1:4" x14ac:dyDescent="0.2">
      <c r="A1519" t="s">
        <v>3411</v>
      </c>
      <c r="B1519" s="2">
        <v>43073</v>
      </c>
      <c r="C1519" t="s">
        <v>1836</v>
      </c>
      <c r="D1519" t="s">
        <v>1829</v>
      </c>
    </row>
    <row r="1520" spans="1:4" x14ac:dyDescent="0.2">
      <c r="A1520" t="s">
        <v>3412</v>
      </c>
      <c r="B1520" s="2">
        <v>43214</v>
      </c>
      <c r="C1520" t="s">
        <v>1816</v>
      </c>
      <c r="D1520" t="s">
        <v>1810</v>
      </c>
    </row>
    <row r="1521" spans="1:4" x14ac:dyDescent="0.2">
      <c r="A1521" t="s">
        <v>3413</v>
      </c>
      <c r="B1521" s="2">
        <v>43216</v>
      </c>
      <c r="C1521" t="s">
        <v>2078</v>
      </c>
      <c r="D1521" t="s">
        <v>1807</v>
      </c>
    </row>
    <row r="1522" spans="1:4" x14ac:dyDescent="0.2">
      <c r="A1522" t="s">
        <v>3414</v>
      </c>
      <c r="B1522" s="2">
        <v>43161</v>
      </c>
      <c r="C1522" t="s">
        <v>1816</v>
      </c>
      <c r="D1522" t="s">
        <v>1807</v>
      </c>
    </row>
    <row r="1523" spans="1:4" x14ac:dyDescent="0.2">
      <c r="A1523" t="s">
        <v>389</v>
      </c>
      <c r="B1523" s="2">
        <v>43138</v>
      </c>
      <c r="C1523" t="s">
        <v>3415</v>
      </c>
      <c r="D1523" t="s">
        <v>1807</v>
      </c>
    </row>
    <row r="1524" spans="1:4" x14ac:dyDescent="0.2">
      <c r="A1524" t="s">
        <v>3416</v>
      </c>
      <c r="B1524" s="2">
        <v>43120</v>
      </c>
      <c r="C1524" t="s">
        <v>1803</v>
      </c>
      <c r="D1524" t="s">
        <v>1804</v>
      </c>
    </row>
    <row r="1525" spans="1:4" x14ac:dyDescent="0.2">
      <c r="A1525" t="s">
        <v>3417</v>
      </c>
      <c r="B1525" s="2">
        <v>43250</v>
      </c>
      <c r="C1525" t="s">
        <v>1863</v>
      </c>
      <c r="D1525" t="s">
        <v>1804</v>
      </c>
    </row>
    <row r="1526" spans="1:4" x14ac:dyDescent="0.2">
      <c r="A1526" t="s">
        <v>3418</v>
      </c>
      <c r="B1526" s="2">
        <v>42936</v>
      </c>
      <c r="C1526" t="s">
        <v>3419</v>
      </c>
      <c r="D1526" t="s">
        <v>1810</v>
      </c>
    </row>
    <row r="1527" spans="1:4" x14ac:dyDescent="0.2">
      <c r="A1527" t="s">
        <v>3420</v>
      </c>
      <c r="B1527" s="2">
        <v>43227</v>
      </c>
      <c r="C1527" t="s">
        <v>2462</v>
      </c>
      <c r="D1527" t="s">
        <v>1810</v>
      </c>
    </row>
    <row r="1528" spans="1:4" x14ac:dyDescent="0.2">
      <c r="A1528" t="s">
        <v>3421</v>
      </c>
      <c r="B1528" s="2">
        <v>42997</v>
      </c>
      <c r="C1528" t="s">
        <v>1836</v>
      </c>
      <c r="D1528" t="s">
        <v>1031</v>
      </c>
    </row>
    <row r="1529" spans="1:4" x14ac:dyDescent="0.2">
      <c r="A1529" t="s">
        <v>3422</v>
      </c>
      <c r="B1529" s="2">
        <v>43201</v>
      </c>
      <c r="C1529" t="s">
        <v>1816</v>
      </c>
      <c r="D1529" t="s">
        <v>1810</v>
      </c>
    </row>
    <row r="1530" spans="1:4" x14ac:dyDescent="0.2">
      <c r="A1530" t="s">
        <v>391</v>
      </c>
      <c r="B1530" s="2">
        <v>43194</v>
      </c>
      <c r="C1530" t="s">
        <v>1930</v>
      </c>
      <c r="D1530" t="s">
        <v>1810</v>
      </c>
    </row>
    <row r="1531" spans="1:4" x14ac:dyDescent="0.2">
      <c r="A1531" t="s">
        <v>3423</v>
      </c>
      <c r="B1531" s="2">
        <v>43222</v>
      </c>
      <c r="C1531" t="s">
        <v>3424</v>
      </c>
      <c r="D1531" t="s">
        <v>1813</v>
      </c>
    </row>
    <row r="1532" spans="1:4" x14ac:dyDescent="0.2">
      <c r="A1532" t="s">
        <v>3425</v>
      </c>
      <c r="B1532" s="2">
        <v>42933</v>
      </c>
      <c r="C1532" t="s">
        <v>3419</v>
      </c>
      <c r="D1532" t="s">
        <v>1810</v>
      </c>
    </row>
    <row r="1533" spans="1:4" x14ac:dyDescent="0.2">
      <c r="A1533" t="s">
        <v>3426</v>
      </c>
      <c r="B1533" s="2">
        <v>43193</v>
      </c>
      <c r="C1533" t="s">
        <v>2242</v>
      </c>
      <c r="D1533" t="s">
        <v>1810</v>
      </c>
    </row>
    <row r="1534" spans="1:4" x14ac:dyDescent="0.2">
      <c r="A1534" t="s">
        <v>3427</v>
      </c>
      <c r="B1534" s="2">
        <v>43166</v>
      </c>
      <c r="C1534" t="s">
        <v>1803</v>
      </c>
      <c r="D1534" t="s">
        <v>1804</v>
      </c>
    </row>
    <row r="1535" spans="1:4" x14ac:dyDescent="0.2">
      <c r="A1535" t="s">
        <v>3428</v>
      </c>
      <c r="B1535" s="2">
        <v>43115</v>
      </c>
      <c r="C1535" t="s">
        <v>1803</v>
      </c>
      <c r="D1535" t="s">
        <v>1804</v>
      </c>
    </row>
    <row r="1536" spans="1:4" x14ac:dyDescent="0.2">
      <c r="A1536" t="s">
        <v>3429</v>
      </c>
      <c r="B1536" s="2">
        <v>43179</v>
      </c>
      <c r="C1536" t="s">
        <v>3430</v>
      </c>
      <c r="D1536" t="s">
        <v>1813</v>
      </c>
    </row>
    <row r="1537" spans="1:4" x14ac:dyDescent="0.2">
      <c r="A1537" t="s">
        <v>3431</v>
      </c>
      <c r="B1537" s="2">
        <v>43224</v>
      </c>
      <c r="C1537" t="s">
        <v>2048</v>
      </c>
      <c r="D1537" t="s">
        <v>1807</v>
      </c>
    </row>
    <row r="1538" spans="1:4" x14ac:dyDescent="0.2">
      <c r="A1538" t="s">
        <v>3432</v>
      </c>
      <c r="B1538" s="2">
        <v>42954</v>
      </c>
      <c r="C1538" t="s">
        <v>1825</v>
      </c>
      <c r="D1538" t="s">
        <v>1807</v>
      </c>
    </row>
    <row r="1539" spans="1:4" x14ac:dyDescent="0.2">
      <c r="A1539" t="s">
        <v>3433</v>
      </c>
      <c r="B1539" s="2">
        <v>43203</v>
      </c>
      <c r="C1539" t="s">
        <v>1836</v>
      </c>
      <c r="D1539" t="s">
        <v>1810</v>
      </c>
    </row>
    <row r="1540" spans="1:4" x14ac:dyDescent="0.2">
      <c r="A1540" t="s">
        <v>393</v>
      </c>
      <c r="B1540" s="2">
        <v>43206</v>
      </c>
      <c r="C1540" t="s">
        <v>1816</v>
      </c>
      <c r="D1540" t="s">
        <v>1810</v>
      </c>
    </row>
    <row r="1541" spans="1:4" x14ac:dyDescent="0.2">
      <c r="A1541" t="s">
        <v>3434</v>
      </c>
      <c r="B1541" s="2">
        <v>43241</v>
      </c>
      <c r="C1541" t="s">
        <v>1998</v>
      </c>
      <c r="D1541" t="s">
        <v>1807</v>
      </c>
    </row>
    <row r="1542" spans="1:4" x14ac:dyDescent="0.2">
      <c r="A1542" t="s">
        <v>3435</v>
      </c>
      <c r="B1542" s="2">
        <v>43248</v>
      </c>
      <c r="C1542" t="s">
        <v>1827</v>
      </c>
      <c r="D1542" t="s">
        <v>1807</v>
      </c>
    </row>
    <row r="1543" spans="1:4" x14ac:dyDescent="0.2">
      <c r="A1543" t="s">
        <v>3436</v>
      </c>
      <c r="B1543" s="2">
        <v>43032</v>
      </c>
      <c r="C1543" t="s">
        <v>2965</v>
      </c>
      <c r="D1543" t="s">
        <v>1813</v>
      </c>
    </row>
    <row r="1544" spans="1:4" x14ac:dyDescent="0.2">
      <c r="A1544" t="s">
        <v>3437</v>
      </c>
      <c r="B1544" s="2">
        <v>42956</v>
      </c>
      <c r="C1544" t="s">
        <v>3101</v>
      </c>
      <c r="D1544" t="s">
        <v>1031</v>
      </c>
    </row>
    <row r="1545" spans="1:4" x14ac:dyDescent="0.2">
      <c r="A1545" t="s">
        <v>3438</v>
      </c>
      <c r="B1545" s="2">
        <v>42944</v>
      </c>
      <c r="C1545" t="s">
        <v>1836</v>
      </c>
      <c r="D1545" t="s">
        <v>1840</v>
      </c>
    </row>
    <row r="1546" spans="1:4" x14ac:dyDescent="0.2">
      <c r="A1546" t="s">
        <v>3439</v>
      </c>
      <c r="B1546" s="2">
        <v>42977</v>
      </c>
      <c r="C1546" t="s">
        <v>3440</v>
      </c>
      <c r="D1546" t="s">
        <v>1807</v>
      </c>
    </row>
    <row r="1547" spans="1:4" x14ac:dyDescent="0.2">
      <c r="A1547" t="s">
        <v>3441</v>
      </c>
      <c r="B1547" s="2">
        <v>43156</v>
      </c>
      <c r="C1547" t="s">
        <v>1816</v>
      </c>
      <c r="D1547" t="s">
        <v>1840</v>
      </c>
    </row>
    <row r="1548" spans="1:4" x14ac:dyDescent="0.2">
      <c r="A1548" t="s">
        <v>3442</v>
      </c>
      <c r="B1548" s="2">
        <v>43218</v>
      </c>
      <c r="C1548" t="s">
        <v>1930</v>
      </c>
      <c r="D1548" t="s">
        <v>1810</v>
      </c>
    </row>
    <row r="1549" spans="1:4" x14ac:dyDescent="0.2">
      <c r="A1549" t="s">
        <v>3443</v>
      </c>
      <c r="B1549" s="2">
        <v>43043</v>
      </c>
      <c r="C1549" t="s">
        <v>1930</v>
      </c>
      <c r="D1549" t="s">
        <v>1810</v>
      </c>
    </row>
    <row r="1550" spans="1:4" x14ac:dyDescent="0.2">
      <c r="A1550" t="s">
        <v>3444</v>
      </c>
      <c r="B1550" s="2">
        <v>43216</v>
      </c>
      <c r="C1550" t="s">
        <v>1825</v>
      </c>
      <c r="D1550" t="s">
        <v>1810</v>
      </c>
    </row>
    <row r="1551" spans="1:4" x14ac:dyDescent="0.2">
      <c r="A1551" t="s">
        <v>3445</v>
      </c>
      <c r="B1551" s="2">
        <v>43138</v>
      </c>
      <c r="C1551" t="s">
        <v>1825</v>
      </c>
      <c r="D1551" t="s">
        <v>1810</v>
      </c>
    </row>
    <row r="1552" spans="1:4" x14ac:dyDescent="0.2">
      <c r="A1552" t="s">
        <v>3446</v>
      </c>
      <c r="B1552" s="2">
        <v>43040</v>
      </c>
      <c r="C1552" t="s">
        <v>1803</v>
      </c>
      <c r="D1552" t="s">
        <v>1804</v>
      </c>
    </row>
    <row r="1553" spans="1:4" x14ac:dyDescent="0.2">
      <c r="A1553" t="s">
        <v>3447</v>
      </c>
      <c r="B1553" s="2">
        <v>43111</v>
      </c>
      <c r="C1553" t="s">
        <v>1809</v>
      </c>
      <c r="D1553" t="s">
        <v>1810</v>
      </c>
    </row>
    <row r="1554" spans="1:4" x14ac:dyDescent="0.2">
      <c r="A1554" t="s">
        <v>3448</v>
      </c>
      <c r="B1554" s="2">
        <v>43129</v>
      </c>
      <c r="C1554" t="s">
        <v>1836</v>
      </c>
      <c r="D1554" t="s">
        <v>1031</v>
      </c>
    </row>
    <row r="1555" spans="1:4" x14ac:dyDescent="0.2">
      <c r="A1555" t="s">
        <v>3449</v>
      </c>
      <c r="B1555" s="2">
        <v>43241</v>
      </c>
      <c r="C1555" t="s">
        <v>1998</v>
      </c>
      <c r="D1555" t="s">
        <v>1807</v>
      </c>
    </row>
    <row r="1556" spans="1:4" x14ac:dyDescent="0.2">
      <c r="A1556" t="s">
        <v>3450</v>
      </c>
      <c r="B1556" s="2">
        <v>43170</v>
      </c>
      <c r="C1556" t="s">
        <v>1816</v>
      </c>
      <c r="D1556" t="s">
        <v>1810</v>
      </c>
    </row>
    <row r="1557" spans="1:4" x14ac:dyDescent="0.2">
      <c r="A1557" t="s">
        <v>3451</v>
      </c>
      <c r="B1557" s="2">
        <v>43131</v>
      </c>
      <c r="C1557" t="s">
        <v>1902</v>
      </c>
      <c r="D1557" t="s">
        <v>1813</v>
      </c>
    </row>
    <row r="1558" spans="1:4" x14ac:dyDescent="0.2">
      <c r="A1558" t="s">
        <v>3452</v>
      </c>
      <c r="B1558" s="2">
        <v>43049</v>
      </c>
      <c r="C1558" t="s">
        <v>1803</v>
      </c>
      <c r="D1558" t="s">
        <v>1804</v>
      </c>
    </row>
    <row r="1559" spans="1:4" x14ac:dyDescent="0.2">
      <c r="A1559" t="s">
        <v>3453</v>
      </c>
      <c r="B1559" s="2">
        <v>43244</v>
      </c>
      <c r="C1559" t="s">
        <v>1816</v>
      </c>
      <c r="D1559" t="s">
        <v>1810</v>
      </c>
    </row>
    <row r="1560" spans="1:4" x14ac:dyDescent="0.2">
      <c r="A1560" t="s">
        <v>3454</v>
      </c>
      <c r="B1560" s="2">
        <v>43140</v>
      </c>
      <c r="C1560" t="s">
        <v>1889</v>
      </c>
      <c r="D1560" t="s">
        <v>1810</v>
      </c>
    </row>
    <row r="1561" spans="1:4" x14ac:dyDescent="0.2">
      <c r="A1561" t="s">
        <v>3455</v>
      </c>
      <c r="B1561" s="2">
        <v>42940</v>
      </c>
      <c r="C1561" t="s">
        <v>1843</v>
      </c>
      <c r="D1561" t="s">
        <v>1807</v>
      </c>
    </row>
    <row r="1562" spans="1:4" x14ac:dyDescent="0.2">
      <c r="A1562" t="s">
        <v>3456</v>
      </c>
      <c r="B1562" s="2">
        <v>43081</v>
      </c>
      <c r="C1562" t="s">
        <v>3457</v>
      </c>
      <c r="D1562" t="s">
        <v>1813</v>
      </c>
    </row>
    <row r="1563" spans="1:4" x14ac:dyDescent="0.2">
      <c r="A1563" t="s">
        <v>395</v>
      </c>
      <c r="B1563" s="2">
        <v>43112</v>
      </c>
      <c r="C1563" t="s">
        <v>1836</v>
      </c>
      <c r="D1563" t="s">
        <v>1031</v>
      </c>
    </row>
    <row r="1564" spans="1:4" x14ac:dyDescent="0.2">
      <c r="A1564" t="s">
        <v>3458</v>
      </c>
      <c r="B1564" s="2">
        <v>43182</v>
      </c>
      <c r="C1564" t="s">
        <v>1915</v>
      </c>
      <c r="D1564" t="s">
        <v>1807</v>
      </c>
    </row>
    <row r="1565" spans="1:4" x14ac:dyDescent="0.2">
      <c r="A1565" t="s">
        <v>3459</v>
      </c>
      <c r="B1565" s="2">
        <v>43215</v>
      </c>
      <c r="C1565" t="s">
        <v>1909</v>
      </c>
      <c r="D1565" t="s">
        <v>1810</v>
      </c>
    </row>
    <row r="1566" spans="1:4" x14ac:dyDescent="0.2">
      <c r="A1566" t="s">
        <v>3460</v>
      </c>
      <c r="B1566" s="2">
        <v>43159</v>
      </c>
      <c r="C1566" t="s">
        <v>1930</v>
      </c>
      <c r="D1566" t="s">
        <v>1807</v>
      </c>
    </row>
    <row r="1567" spans="1:4" x14ac:dyDescent="0.2">
      <c r="A1567" t="s">
        <v>3461</v>
      </c>
      <c r="B1567" s="2">
        <v>43103</v>
      </c>
      <c r="C1567" t="s">
        <v>1803</v>
      </c>
      <c r="D1567" t="s">
        <v>1804</v>
      </c>
    </row>
    <row r="1568" spans="1:4" x14ac:dyDescent="0.2">
      <c r="A1568" t="s">
        <v>3462</v>
      </c>
      <c r="B1568" s="2">
        <v>43139</v>
      </c>
      <c r="C1568" t="s">
        <v>1816</v>
      </c>
      <c r="D1568" t="s">
        <v>1840</v>
      </c>
    </row>
    <row r="1569" spans="1:4" x14ac:dyDescent="0.2">
      <c r="A1569" t="s">
        <v>3463</v>
      </c>
      <c r="B1569" s="2">
        <v>43229</v>
      </c>
      <c r="C1569" t="s">
        <v>1816</v>
      </c>
      <c r="D1569" t="s">
        <v>1804</v>
      </c>
    </row>
    <row r="1570" spans="1:4" x14ac:dyDescent="0.2">
      <c r="A1570" t="s">
        <v>3464</v>
      </c>
      <c r="B1570" s="2">
        <v>43014</v>
      </c>
      <c r="C1570" t="s">
        <v>1806</v>
      </c>
      <c r="D1570" t="s">
        <v>1810</v>
      </c>
    </row>
    <row r="1571" spans="1:4" x14ac:dyDescent="0.2">
      <c r="A1571" t="s">
        <v>3465</v>
      </c>
      <c r="B1571" s="2">
        <v>43193</v>
      </c>
      <c r="C1571" t="s">
        <v>1875</v>
      </c>
      <c r="D1571" t="s">
        <v>1810</v>
      </c>
    </row>
    <row r="1572" spans="1:4" x14ac:dyDescent="0.2">
      <c r="A1572" t="s">
        <v>3466</v>
      </c>
      <c r="B1572" s="2">
        <v>43108</v>
      </c>
      <c r="C1572" t="s">
        <v>1921</v>
      </c>
      <c r="D1572" t="s">
        <v>1810</v>
      </c>
    </row>
    <row r="1573" spans="1:4" x14ac:dyDescent="0.2">
      <c r="A1573" t="s">
        <v>3467</v>
      </c>
      <c r="B1573" s="2">
        <v>43049</v>
      </c>
      <c r="C1573" t="s">
        <v>2559</v>
      </c>
      <c r="D1573" t="s">
        <v>1804</v>
      </c>
    </row>
    <row r="1574" spans="1:4" x14ac:dyDescent="0.2">
      <c r="A1574" t="s">
        <v>3468</v>
      </c>
      <c r="B1574" s="2">
        <v>43132</v>
      </c>
      <c r="C1574" t="s">
        <v>1803</v>
      </c>
      <c r="D1574" t="s">
        <v>1804</v>
      </c>
    </row>
    <row r="1575" spans="1:4" x14ac:dyDescent="0.2">
      <c r="A1575" t="s">
        <v>3469</v>
      </c>
      <c r="B1575" s="2">
        <v>43158</v>
      </c>
      <c r="C1575" t="s">
        <v>3470</v>
      </c>
      <c r="D1575" t="s">
        <v>1810</v>
      </c>
    </row>
    <row r="1576" spans="1:4" x14ac:dyDescent="0.2">
      <c r="A1576" t="s">
        <v>397</v>
      </c>
      <c r="B1576" s="2">
        <v>43188</v>
      </c>
      <c r="C1576" t="s">
        <v>1816</v>
      </c>
      <c r="D1576" t="s">
        <v>1810</v>
      </c>
    </row>
    <row r="1577" spans="1:4" x14ac:dyDescent="0.2">
      <c r="A1577" t="s">
        <v>3471</v>
      </c>
      <c r="B1577" s="2">
        <v>43215</v>
      </c>
      <c r="C1577" t="s">
        <v>1863</v>
      </c>
      <c r="D1577" t="s">
        <v>1804</v>
      </c>
    </row>
    <row r="1578" spans="1:4" x14ac:dyDescent="0.2">
      <c r="A1578" t="s">
        <v>3472</v>
      </c>
      <c r="B1578" s="2">
        <v>43174</v>
      </c>
      <c r="C1578" t="s">
        <v>1865</v>
      </c>
      <c r="D1578" t="s">
        <v>1840</v>
      </c>
    </row>
    <row r="1579" spans="1:4" x14ac:dyDescent="0.2">
      <c r="A1579" t="s">
        <v>3473</v>
      </c>
      <c r="B1579" s="2">
        <v>43217</v>
      </c>
      <c r="C1579" t="s">
        <v>1909</v>
      </c>
      <c r="D1579" t="s">
        <v>1813</v>
      </c>
    </row>
    <row r="1580" spans="1:4" x14ac:dyDescent="0.2">
      <c r="A1580" t="s">
        <v>3474</v>
      </c>
      <c r="B1580" s="2">
        <v>43028</v>
      </c>
      <c r="C1580" t="s">
        <v>1809</v>
      </c>
      <c r="D1580" t="s">
        <v>1810</v>
      </c>
    </row>
    <row r="1581" spans="1:4" x14ac:dyDescent="0.2">
      <c r="A1581" t="s">
        <v>399</v>
      </c>
      <c r="B1581" s="2">
        <v>43239</v>
      </c>
      <c r="C1581" t="s">
        <v>1832</v>
      </c>
      <c r="D1581" t="s">
        <v>1807</v>
      </c>
    </row>
    <row r="1582" spans="1:4" x14ac:dyDescent="0.2">
      <c r="A1582" t="s">
        <v>3475</v>
      </c>
      <c r="B1582" s="2">
        <v>43140</v>
      </c>
      <c r="C1582" t="s">
        <v>1825</v>
      </c>
      <c r="D1582" t="s">
        <v>1810</v>
      </c>
    </row>
    <row r="1583" spans="1:4" x14ac:dyDescent="0.2">
      <c r="A1583" t="s">
        <v>401</v>
      </c>
      <c r="B1583" s="2">
        <v>43174</v>
      </c>
      <c r="C1583" t="s">
        <v>1816</v>
      </c>
      <c r="D1583" t="s">
        <v>1810</v>
      </c>
    </row>
    <row r="1584" spans="1:4" x14ac:dyDescent="0.2">
      <c r="A1584" t="s">
        <v>403</v>
      </c>
      <c r="B1584" s="2">
        <v>43133</v>
      </c>
      <c r="C1584" t="s">
        <v>1854</v>
      </c>
      <c r="D1584" t="s">
        <v>1031</v>
      </c>
    </row>
    <row r="1585" spans="1:4" x14ac:dyDescent="0.2">
      <c r="A1585" t="s">
        <v>3476</v>
      </c>
      <c r="B1585" s="2">
        <v>43116</v>
      </c>
      <c r="C1585" t="s">
        <v>3477</v>
      </c>
      <c r="D1585" t="s">
        <v>1807</v>
      </c>
    </row>
    <row r="1586" spans="1:4" x14ac:dyDescent="0.2">
      <c r="A1586" t="s">
        <v>3478</v>
      </c>
      <c r="B1586" s="2">
        <v>42957</v>
      </c>
      <c r="C1586" t="s">
        <v>2576</v>
      </c>
      <c r="D1586" t="s">
        <v>1031</v>
      </c>
    </row>
    <row r="1587" spans="1:4" x14ac:dyDescent="0.2">
      <c r="A1587" t="s">
        <v>3479</v>
      </c>
      <c r="B1587" s="2">
        <v>43059</v>
      </c>
      <c r="C1587" t="s">
        <v>1838</v>
      </c>
      <c r="D1587" t="s">
        <v>1810</v>
      </c>
    </row>
    <row r="1588" spans="1:4" x14ac:dyDescent="0.2">
      <c r="A1588" t="s">
        <v>3480</v>
      </c>
      <c r="B1588" s="2">
        <v>43047</v>
      </c>
      <c r="C1588" t="s">
        <v>1803</v>
      </c>
      <c r="D1588" t="s">
        <v>1804</v>
      </c>
    </row>
    <row r="1589" spans="1:4" x14ac:dyDescent="0.2">
      <c r="A1589" t="s">
        <v>3481</v>
      </c>
      <c r="B1589" s="2">
        <v>43147</v>
      </c>
      <c r="C1589" t="s">
        <v>2048</v>
      </c>
      <c r="D1589" t="s">
        <v>1813</v>
      </c>
    </row>
    <row r="1590" spans="1:4" x14ac:dyDescent="0.2">
      <c r="A1590" t="s">
        <v>3482</v>
      </c>
      <c r="B1590" s="2">
        <v>43169</v>
      </c>
      <c r="C1590" t="s">
        <v>2187</v>
      </c>
      <c r="D1590" t="s">
        <v>1807</v>
      </c>
    </row>
    <row r="1591" spans="1:4" x14ac:dyDescent="0.2">
      <c r="A1591" t="s">
        <v>3483</v>
      </c>
      <c r="B1591" s="2">
        <v>43132</v>
      </c>
      <c r="C1591" t="s">
        <v>1825</v>
      </c>
      <c r="D1591" t="s">
        <v>1810</v>
      </c>
    </row>
    <row r="1592" spans="1:4" x14ac:dyDescent="0.2">
      <c r="A1592" t="s">
        <v>3484</v>
      </c>
      <c r="B1592" s="2">
        <v>43230</v>
      </c>
      <c r="C1592" t="s">
        <v>3390</v>
      </c>
      <c r="D1592" t="s">
        <v>1810</v>
      </c>
    </row>
    <row r="1593" spans="1:4" x14ac:dyDescent="0.2">
      <c r="A1593" t="s">
        <v>3485</v>
      </c>
      <c r="B1593" s="2">
        <v>43124</v>
      </c>
      <c r="C1593" t="s">
        <v>1816</v>
      </c>
      <c r="D1593" t="s">
        <v>1840</v>
      </c>
    </row>
    <row r="1594" spans="1:4" x14ac:dyDescent="0.2">
      <c r="A1594" t="s">
        <v>3486</v>
      </c>
      <c r="B1594" s="2">
        <v>43145</v>
      </c>
      <c r="C1594" t="s">
        <v>1854</v>
      </c>
      <c r="D1594" t="s">
        <v>1810</v>
      </c>
    </row>
    <row r="1595" spans="1:4" x14ac:dyDescent="0.2">
      <c r="A1595" t="s">
        <v>3487</v>
      </c>
      <c r="B1595" s="2">
        <v>43149</v>
      </c>
      <c r="C1595" t="s">
        <v>2196</v>
      </c>
      <c r="D1595" t="s">
        <v>1810</v>
      </c>
    </row>
    <row r="1596" spans="1:4" x14ac:dyDescent="0.2">
      <c r="A1596" t="s">
        <v>3488</v>
      </c>
      <c r="B1596" s="2">
        <v>43154</v>
      </c>
      <c r="C1596" t="s">
        <v>1867</v>
      </c>
      <c r="D1596" t="s">
        <v>1807</v>
      </c>
    </row>
    <row r="1597" spans="1:4" x14ac:dyDescent="0.2">
      <c r="A1597" t="s">
        <v>3489</v>
      </c>
      <c r="B1597" s="2">
        <v>43211</v>
      </c>
      <c r="C1597" t="s">
        <v>1863</v>
      </c>
      <c r="D1597" t="s">
        <v>1804</v>
      </c>
    </row>
    <row r="1598" spans="1:4" x14ac:dyDescent="0.2">
      <c r="A1598" t="s">
        <v>3490</v>
      </c>
      <c r="B1598" s="2">
        <v>43130</v>
      </c>
      <c r="C1598" t="s">
        <v>2014</v>
      </c>
      <c r="D1598" t="s">
        <v>1840</v>
      </c>
    </row>
    <row r="1599" spans="1:4" x14ac:dyDescent="0.2">
      <c r="A1599" t="s">
        <v>405</v>
      </c>
      <c r="B1599" s="2">
        <v>43230</v>
      </c>
      <c r="C1599" t="s">
        <v>1816</v>
      </c>
      <c r="D1599" t="s">
        <v>1810</v>
      </c>
    </row>
    <row r="1600" spans="1:4" x14ac:dyDescent="0.2">
      <c r="A1600" t="s">
        <v>3491</v>
      </c>
      <c r="B1600" s="2">
        <v>43249</v>
      </c>
      <c r="C1600" t="s">
        <v>1836</v>
      </c>
      <c r="D1600" t="s">
        <v>1031</v>
      </c>
    </row>
    <row r="1601" spans="1:4" x14ac:dyDescent="0.2">
      <c r="A1601" t="s">
        <v>3492</v>
      </c>
      <c r="B1601" s="2">
        <v>43136</v>
      </c>
      <c r="C1601" t="s">
        <v>1809</v>
      </c>
      <c r="D1601" t="s">
        <v>1810</v>
      </c>
    </row>
    <row r="1602" spans="1:4" x14ac:dyDescent="0.2">
      <c r="A1602" t="s">
        <v>3493</v>
      </c>
      <c r="B1602" s="2">
        <v>43199</v>
      </c>
      <c r="C1602" t="s">
        <v>2074</v>
      </c>
      <c r="D1602" t="s">
        <v>1829</v>
      </c>
    </row>
    <row r="1603" spans="1:4" x14ac:dyDescent="0.2">
      <c r="A1603" t="s">
        <v>3494</v>
      </c>
      <c r="B1603" s="2">
        <v>43125</v>
      </c>
      <c r="C1603" t="s">
        <v>1816</v>
      </c>
      <c r="D1603" t="s">
        <v>1810</v>
      </c>
    </row>
    <row r="1604" spans="1:4" x14ac:dyDescent="0.2">
      <c r="A1604" t="s">
        <v>407</v>
      </c>
      <c r="B1604" s="2">
        <v>43187</v>
      </c>
      <c r="C1604" t="s">
        <v>1816</v>
      </c>
      <c r="D1604" t="s">
        <v>1807</v>
      </c>
    </row>
    <row r="1605" spans="1:4" x14ac:dyDescent="0.2">
      <c r="A1605" t="s">
        <v>3495</v>
      </c>
      <c r="B1605" s="2">
        <v>43248</v>
      </c>
      <c r="C1605" t="s">
        <v>1836</v>
      </c>
      <c r="D1605" t="s">
        <v>1031</v>
      </c>
    </row>
    <row r="1606" spans="1:4" x14ac:dyDescent="0.2">
      <c r="A1606" t="s">
        <v>3496</v>
      </c>
      <c r="B1606" s="2">
        <v>43108</v>
      </c>
      <c r="C1606" t="s">
        <v>3497</v>
      </c>
      <c r="D1606" t="s">
        <v>160</v>
      </c>
    </row>
    <row r="1607" spans="1:4" x14ac:dyDescent="0.2">
      <c r="A1607" t="s">
        <v>3498</v>
      </c>
      <c r="B1607" s="2">
        <v>43125</v>
      </c>
      <c r="C1607" t="s">
        <v>1885</v>
      </c>
      <c r="D1607" t="s">
        <v>1804</v>
      </c>
    </row>
    <row r="1608" spans="1:4" x14ac:dyDescent="0.2">
      <c r="A1608" t="s">
        <v>3499</v>
      </c>
      <c r="B1608" s="2">
        <v>43197</v>
      </c>
      <c r="C1608" t="s">
        <v>1930</v>
      </c>
      <c r="D1608" t="s">
        <v>1807</v>
      </c>
    </row>
    <row r="1609" spans="1:4" x14ac:dyDescent="0.2">
      <c r="A1609" t="s">
        <v>3500</v>
      </c>
      <c r="B1609" s="2">
        <v>42923</v>
      </c>
      <c r="C1609" t="s">
        <v>3501</v>
      </c>
      <c r="D1609" t="s">
        <v>1807</v>
      </c>
    </row>
    <row r="1610" spans="1:4" x14ac:dyDescent="0.2">
      <c r="A1610" t="s">
        <v>3502</v>
      </c>
      <c r="B1610" s="2">
        <v>43123</v>
      </c>
      <c r="C1610" t="s">
        <v>1959</v>
      </c>
      <c r="D1610" t="s">
        <v>1810</v>
      </c>
    </row>
    <row r="1611" spans="1:4" x14ac:dyDescent="0.2">
      <c r="A1611" t="s">
        <v>3503</v>
      </c>
      <c r="B1611" s="2">
        <v>43229</v>
      </c>
      <c r="C1611" t="s">
        <v>1825</v>
      </c>
      <c r="D1611" t="s">
        <v>1829</v>
      </c>
    </row>
    <row r="1612" spans="1:4" x14ac:dyDescent="0.2">
      <c r="A1612" t="s">
        <v>3504</v>
      </c>
      <c r="B1612" s="2">
        <v>43166</v>
      </c>
      <c r="C1612" t="s">
        <v>2291</v>
      </c>
      <c r="D1612" t="s">
        <v>1810</v>
      </c>
    </row>
    <row r="1613" spans="1:4" x14ac:dyDescent="0.2">
      <c r="A1613" t="s">
        <v>3505</v>
      </c>
      <c r="B1613" s="2">
        <v>43248</v>
      </c>
      <c r="C1613" t="s">
        <v>1836</v>
      </c>
      <c r="D1613" t="s">
        <v>1804</v>
      </c>
    </row>
    <row r="1614" spans="1:4" x14ac:dyDescent="0.2">
      <c r="A1614" t="s">
        <v>3506</v>
      </c>
      <c r="B1614" s="2">
        <v>43186</v>
      </c>
      <c r="C1614" t="s">
        <v>1907</v>
      </c>
      <c r="D1614" t="s">
        <v>1807</v>
      </c>
    </row>
    <row r="1615" spans="1:4" x14ac:dyDescent="0.2">
      <c r="A1615" t="s">
        <v>409</v>
      </c>
      <c r="B1615" s="2">
        <v>43213</v>
      </c>
      <c r="C1615" t="s">
        <v>1863</v>
      </c>
      <c r="D1615" t="s">
        <v>1804</v>
      </c>
    </row>
    <row r="1616" spans="1:4" x14ac:dyDescent="0.2">
      <c r="A1616" t="s">
        <v>3507</v>
      </c>
      <c r="B1616" s="2">
        <v>43161</v>
      </c>
      <c r="C1616" t="s">
        <v>2187</v>
      </c>
      <c r="D1616" t="s">
        <v>1807</v>
      </c>
    </row>
    <row r="1617" spans="1:4" x14ac:dyDescent="0.2">
      <c r="A1617" t="s">
        <v>3508</v>
      </c>
      <c r="B1617" s="2">
        <v>43019</v>
      </c>
      <c r="C1617" t="s">
        <v>1889</v>
      </c>
      <c r="D1617" t="s">
        <v>160</v>
      </c>
    </row>
    <row r="1618" spans="1:4" x14ac:dyDescent="0.2">
      <c r="A1618" t="s">
        <v>3509</v>
      </c>
      <c r="B1618" s="2">
        <v>43167</v>
      </c>
      <c r="C1618" t="s">
        <v>1930</v>
      </c>
      <c r="D1618" t="s">
        <v>1807</v>
      </c>
    </row>
    <row r="1619" spans="1:4" x14ac:dyDescent="0.2">
      <c r="A1619" t="s">
        <v>3510</v>
      </c>
      <c r="B1619" s="2">
        <v>43241</v>
      </c>
      <c r="C1619" t="s">
        <v>1867</v>
      </c>
      <c r="D1619" t="s">
        <v>1810</v>
      </c>
    </row>
    <row r="1620" spans="1:4" x14ac:dyDescent="0.2">
      <c r="A1620" t="s">
        <v>3511</v>
      </c>
      <c r="B1620" s="2">
        <v>43172</v>
      </c>
      <c r="C1620" t="s">
        <v>1803</v>
      </c>
      <c r="D1620" t="s">
        <v>1804</v>
      </c>
    </row>
    <row r="1621" spans="1:4" x14ac:dyDescent="0.2">
      <c r="A1621" t="s">
        <v>3512</v>
      </c>
      <c r="B1621" s="2">
        <v>43054</v>
      </c>
      <c r="C1621" t="s">
        <v>1867</v>
      </c>
      <c r="D1621" t="s">
        <v>1804</v>
      </c>
    </row>
    <row r="1622" spans="1:4" x14ac:dyDescent="0.2">
      <c r="A1622" t="s">
        <v>3513</v>
      </c>
      <c r="B1622" s="2">
        <v>43202</v>
      </c>
      <c r="C1622" t="s">
        <v>2048</v>
      </c>
      <c r="D1622" t="s">
        <v>1031</v>
      </c>
    </row>
    <row r="1623" spans="1:4" x14ac:dyDescent="0.2">
      <c r="A1623" t="s">
        <v>3514</v>
      </c>
      <c r="B1623" s="2">
        <v>43049</v>
      </c>
      <c r="C1623" t="s">
        <v>3515</v>
      </c>
      <c r="D1623" t="s">
        <v>1804</v>
      </c>
    </row>
    <row r="1624" spans="1:4" x14ac:dyDescent="0.2">
      <c r="A1624" t="s">
        <v>3516</v>
      </c>
      <c r="B1624" s="2">
        <v>43115</v>
      </c>
      <c r="C1624" t="s">
        <v>3315</v>
      </c>
      <c r="D1624" t="s">
        <v>1807</v>
      </c>
    </row>
    <row r="1625" spans="1:4" x14ac:dyDescent="0.2">
      <c r="A1625" t="s">
        <v>3517</v>
      </c>
      <c r="B1625" s="2">
        <v>43154</v>
      </c>
      <c r="C1625" t="s">
        <v>1905</v>
      </c>
      <c r="D1625" t="s">
        <v>1810</v>
      </c>
    </row>
    <row r="1626" spans="1:4" x14ac:dyDescent="0.2">
      <c r="A1626" t="s">
        <v>3518</v>
      </c>
      <c r="B1626" s="2">
        <v>43029</v>
      </c>
      <c r="C1626" t="s">
        <v>1892</v>
      </c>
      <c r="D1626" t="s">
        <v>1810</v>
      </c>
    </row>
    <row r="1627" spans="1:4" x14ac:dyDescent="0.2">
      <c r="A1627" t="s">
        <v>3519</v>
      </c>
      <c r="B1627" s="2">
        <v>43125</v>
      </c>
      <c r="C1627" t="s">
        <v>2108</v>
      </c>
      <c r="D1627" t="s">
        <v>1813</v>
      </c>
    </row>
    <row r="1628" spans="1:4" x14ac:dyDescent="0.2">
      <c r="A1628" t="s">
        <v>3520</v>
      </c>
      <c r="B1628" s="2">
        <v>43014</v>
      </c>
      <c r="C1628" t="s">
        <v>1836</v>
      </c>
      <c r="D1628" t="s">
        <v>1031</v>
      </c>
    </row>
    <row r="1629" spans="1:4" x14ac:dyDescent="0.2">
      <c r="A1629" t="s">
        <v>3521</v>
      </c>
      <c r="B1629" s="2">
        <v>43122</v>
      </c>
      <c r="C1629" t="s">
        <v>1812</v>
      </c>
      <c r="D1629" t="s">
        <v>1813</v>
      </c>
    </row>
    <row r="1630" spans="1:4" x14ac:dyDescent="0.2">
      <c r="A1630" t="s">
        <v>3522</v>
      </c>
      <c r="B1630" s="2">
        <v>43193</v>
      </c>
      <c r="C1630" t="s">
        <v>1863</v>
      </c>
      <c r="D1630" t="s">
        <v>1804</v>
      </c>
    </row>
    <row r="1631" spans="1:4" x14ac:dyDescent="0.2">
      <c r="A1631" t="s">
        <v>3523</v>
      </c>
      <c r="B1631" s="2">
        <v>43220</v>
      </c>
      <c r="C1631" t="s">
        <v>1827</v>
      </c>
      <c r="D1631" t="s">
        <v>1807</v>
      </c>
    </row>
    <row r="1632" spans="1:4" x14ac:dyDescent="0.2">
      <c r="A1632" t="s">
        <v>3524</v>
      </c>
      <c r="B1632" s="2">
        <v>43001</v>
      </c>
      <c r="C1632" t="s">
        <v>1894</v>
      </c>
      <c r="D1632" t="s">
        <v>1804</v>
      </c>
    </row>
    <row r="1633" spans="1:4" x14ac:dyDescent="0.2">
      <c r="A1633" t="s">
        <v>3525</v>
      </c>
      <c r="B1633" s="2">
        <v>43139</v>
      </c>
      <c r="C1633" t="s">
        <v>1816</v>
      </c>
      <c r="D1633" t="s">
        <v>1829</v>
      </c>
    </row>
    <row r="1634" spans="1:4" x14ac:dyDescent="0.2">
      <c r="A1634" t="s">
        <v>3526</v>
      </c>
      <c r="B1634" s="2">
        <v>43209</v>
      </c>
      <c r="C1634" t="s">
        <v>1902</v>
      </c>
      <c r="D1634" t="s">
        <v>1840</v>
      </c>
    </row>
    <row r="1635" spans="1:4" x14ac:dyDescent="0.2">
      <c r="A1635" t="s">
        <v>3527</v>
      </c>
      <c r="B1635" s="2">
        <v>42944</v>
      </c>
      <c r="C1635" t="s">
        <v>3528</v>
      </c>
      <c r="D1635" t="s">
        <v>1840</v>
      </c>
    </row>
    <row r="1636" spans="1:4" x14ac:dyDescent="0.2">
      <c r="A1636" t="s">
        <v>411</v>
      </c>
      <c r="B1636" s="2">
        <v>43103</v>
      </c>
      <c r="C1636" t="s">
        <v>1930</v>
      </c>
      <c r="D1636" t="s">
        <v>1807</v>
      </c>
    </row>
    <row r="1637" spans="1:4" x14ac:dyDescent="0.2">
      <c r="A1637" t="s">
        <v>3529</v>
      </c>
      <c r="B1637" s="2">
        <v>43241</v>
      </c>
      <c r="C1637" t="s">
        <v>2291</v>
      </c>
      <c r="D1637" t="s">
        <v>1031</v>
      </c>
    </row>
    <row r="1638" spans="1:4" x14ac:dyDescent="0.2">
      <c r="A1638" t="s">
        <v>3530</v>
      </c>
      <c r="B1638" s="2">
        <v>43152</v>
      </c>
      <c r="C1638" t="s">
        <v>2152</v>
      </c>
      <c r="D1638" t="s">
        <v>1810</v>
      </c>
    </row>
    <row r="1639" spans="1:4" x14ac:dyDescent="0.2">
      <c r="A1639" t="s">
        <v>3531</v>
      </c>
      <c r="B1639" s="2">
        <v>43138</v>
      </c>
      <c r="C1639" t="s">
        <v>1930</v>
      </c>
      <c r="D1639" t="s">
        <v>1807</v>
      </c>
    </row>
    <row r="1640" spans="1:4" x14ac:dyDescent="0.2">
      <c r="A1640" t="s">
        <v>3532</v>
      </c>
      <c r="B1640" s="2">
        <v>43216</v>
      </c>
      <c r="C1640" t="s">
        <v>1816</v>
      </c>
      <c r="D1640" t="s">
        <v>1810</v>
      </c>
    </row>
    <row r="1641" spans="1:4" x14ac:dyDescent="0.2">
      <c r="A1641" t="s">
        <v>3533</v>
      </c>
      <c r="B1641" s="2">
        <v>43215</v>
      </c>
      <c r="C1641" t="s">
        <v>1836</v>
      </c>
      <c r="D1641" t="s">
        <v>1031</v>
      </c>
    </row>
    <row r="1642" spans="1:4" x14ac:dyDescent="0.2">
      <c r="A1642" t="s">
        <v>3534</v>
      </c>
      <c r="B1642" s="2">
        <v>43169</v>
      </c>
      <c r="C1642" t="s">
        <v>1816</v>
      </c>
      <c r="D1642" t="s">
        <v>1829</v>
      </c>
    </row>
    <row r="1643" spans="1:4" x14ac:dyDescent="0.2">
      <c r="A1643" t="s">
        <v>3535</v>
      </c>
      <c r="B1643" s="2">
        <v>43017</v>
      </c>
      <c r="C1643" t="s">
        <v>1889</v>
      </c>
      <c r="D1643" t="s">
        <v>1031</v>
      </c>
    </row>
    <row r="1644" spans="1:4" x14ac:dyDescent="0.2">
      <c r="A1644" t="s">
        <v>3536</v>
      </c>
      <c r="B1644" s="2">
        <v>43208</v>
      </c>
      <c r="C1644" t="s">
        <v>1928</v>
      </c>
      <c r="D1644" t="s">
        <v>1810</v>
      </c>
    </row>
    <row r="1645" spans="1:4" x14ac:dyDescent="0.2">
      <c r="A1645" t="s">
        <v>413</v>
      </c>
      <c r="B1645" s="2">
        <v>43178</v>
      </c>
      <c r="C1645" t="s">
        <v>2023</v>
      </c>
      <c r="D1645" t="s">
        <v>1804</v>
      </c>
    </row>
    <row r="1646" spans="1:4" x14ac:dyDescent="0.2">
      <c r="A1646" t="s">
        <v>3537</v>
      </c>
      <c r="B1646" s="2">
        <v>42998</v>
      </c>
      <c r="C1646" t="s">
        <v>2206</v>
      </c>
      <c r="D1646" t="s">
        <v>1840</v>
      </c>
    </row>
    <row r="1647" spans="1:4" x14ac:dyDescent="0.2">
      <c r="A1647" t="s">
        <v>3538</v>
      </c>
      <c r="B1647" s="2">
        <v>43229</v>
      </c>
      <c r="C1647" t="s">
        <v>3390</v>
      </c>
      <c r="D1647" t="s">
        <v>1810</v>
      </c>
    </row>
    <row r="1648" spans="1:4" x14ac:dyDescent="0.2">
      <c r="A1648" t="s">
        <v>416</v>
      </c>
      <c r="B1648" s="2">
        <v>43206</v>
      </c>
      <c r="C1648" t="s">
        <v>1834</v>
      </c>
      <c r="D1648" t="s">
        <v>1807</v>
      </c>
    </row>
    <row r="1649" spans="1:4" x14ac:dyDescent="0.2">
      <c r="A1649" t="s">
        <v>3539</v>
      </c>
      <c r="B1649" s="2">
        <v>43125</v>
      </c>
      <c r="C1649" t="s">
        <v>1867</v>
      </c>
      <c r="D1649" t="s">
        <v>1810</v>
      </c>
    </row>
    <row r="1650" spans="1:4" x14ac:dyDescent="0.2">
      <c r="A1650" t="s">
        <v>3540</v>
      </c>
      <c r="B1650" s="2">
        <v>42923</v>
      </c>
      <c r="C1650" t="s">
        <v>1885</v>
      </c>
      <c r="D1650" t="s">
        <v>1807</v>
      </c>
    </row>
    <row r="1651" spans="1:4" x14ac:dyDescent="0.2">
      <c r="A1651" t="s">
        <v>3541</v>
      </c>
      <c r="B1651" s="2">
        <v>43095</v>
      </c>
      <c r="C1651" t="s">
        <v>1825</v>
      </c>
      <c r="D1651" t="s">
        <v>1810</v>
      </c>
    </row>
    <row r="1652" spans="1:4" x14ac:dyDescent="0.2">
      <c r="A1652" t="s">
        <v>3542</v>
      </c>
      <c r="B1652" s="2">
        <v>43202</v>
      </c>
      <c r="C1652" t="s">
        <v>2143</v>
      </c>
      <c r="D1652" t="s">
        <v>1840</v>
      </c>
    </row>
    <row r="1653" spans="1:4" x14ac:dyDescent="0.2">
      <c r="A1653" t="s">
        <v>3543</v>
      </c>
      <c r="B1653" s="2">
        <v>43251</v>
      </c>
      <c r="C1653" t="s">
        <v>1809</v>
      </c>
      <c r="D1653" t="s">
        <v>1840</v>
      </c>
    </row>
    <row r="1654" spans="1:4" x14ac:dyDescent="0.2">
      <c r="A1654" t="s">
        <v>3544</v>
      </c>
      <c r="B1654" s="2">
        <v>43122</v>
      </c>
      <c r="C1654" t="s">
        <v>1836</v>
      </c>
      <c r="D1654" t="s">
        <v>1031</v>
      </c>
    </row>
    <row r="1655" spans="1:4" x14ac:dyDescent="0.2">
      <c r="A1655" t="s">
        <v>3545</v>
      </c>
      <c r="B1655" s="2">
        <v>43115</v>
      </c>
      <c r="C1655" t="s">
        <v>1836</v>
      </c>
      <c r="D1655" t="s">
        <v>1031</v>
      </c>
    </row>
    <row r="1656" spans="1:4" x14ac:dyDescent="0.2">
      <c r="A1656" t="s">
        <v>3546</v>
      </c>
      <c r="B1656" s="2">
        <v>43184</v>
      </c>
      <c r="C1656" t="s">
        <v>1809</v>
      </c>
      <c r="D1656" t="s">
        <v>1810</v>
      </c>
    </row>
    <row r="1657" spans="1:4" x14ac:dyDescent="0.2">
      <c r="A1657" t="s">
        <v>3547</v>
      </c>
      <c r="B1657" s="2">
        <v>43077</v>
      </c>
      <c r="C1657" t="s">
        <v>1816</v>
      </c>
      <c r="D1657" t="s">
        <v>1810</v>
      </c>
    </row>
    <row r="1658" spans="1:4" x14ac:dyDescent="0.2">
      <c r="A1658" t="s">
        <v>3548</v>
      </c>
      <c r="B1658" s="2">
        <v>43201</v>
      </c>
      <c r="C1658" t="s">
        <v>1863</v>
      </c>
      <c r="D1658" t="s">
        <v>1804</v>
      </c>
    </row>
    <row r="1659" spans="1:4" x14ac:dyDescent="0.2">
      <c r="A1659" t="s">
        <v>3549</v>
      </c>
      <c r="B1659" s="2">
        <v>43180</v>
      </c>
      <c r="C1659" t="s">
        <v>2062</v>
      </c>
      <c r="D1659" t="s">
        <v>1813</v>
      </c>
    </row>
    <row r="1660" spans="1:4" x14ac:dyDescent="0.2">
      <c r="A1660" t="s">
        <v>3550</v>
      </c>
      <c r="B1660" s="2">
        <v>43194</v>
      </c>
      <c r="C1660" t="s">
        <v>1836</v>
      </c>
      <c r="D1660" t="s">
        <v>1031</v>
      </c>
    </row>
    <row r="1661" spans="1:4" x14ac:dyDescent="0.2">
      <c r="A1661" t="s">
        <v>3551</v>
      </c>
      <c r="B1661" s="2">
        <v>43188</v>
      </c>
      <c r="C1661" t="s">
        <v>1816</v>
      </c>
      <c r="D1661" t="s">
        <v>1807</v>
      </c>
    </row>
    <row r="1662" spans="1:4" x14ac:dyDescent="0.2">
      <c r="A1662" t="s">
        <v>3552</v>
      </c>
      <c r="B1662" s="2">
        <v>43126</v>
      </c>
      <c r="C1662" t="s">
        <v>1987</v>
      </c>
      <c r="D1662" t="s">
        <v>1810</v>
      </c>
    </row>
    <row r="1663" spans="1:4" x14ac:dyDescent="0.2">
      <c r="A1663" t="s">
        <v>418</v>
      </c>
      <c r="B1663" s="2">
        <v>43209</v>
      </c>
      <c r="C1663" t="s">
        <v>1836</v>
      </c>
      <c r="D1663" t="s">
        <v>1031</v>
      </c>
    </row>
    <row r="1664" spans="1:4" x14ac:dyDescent="0.2">
      <c r="A1664" t="s">
        <v>3553</v>
      </c>
      <c r="B1664" s="2">
        <v>43040</v>
      </c>
      <c r="C1664" t="s">
        <v>1902</v>
      </c>
      <c r="D1664" t="s">
        <v>1807</v>
      </c>
    </row>
    <row r="1665" spans="1:4" x14ac:dyDescent="0.2">
      <c r="A1665" t="s">
        <v>3554</v>
      </c>
      <c r="B1665" s="2">
        <v>43208</v>
      </c>
      <c r="C1665" t="s">
        <v>2321</v>
      </c>
      <c r="D1665" t="s">
        <v>1810</v>
      </c>
    </row>
    <row r="1666" spans="1:4" x14ac:dyDescent="0.2">
      <c r="A1666" t="s">
        <v>3555</v>
      </c>
      <c r="B1666" s="2">
        <v>43128</v>
      </c>
      <c r="C1666" t="s">
        <v>1816</v>
      </c>
      <c r="D1666" t="s">
        <v>1810</v>
      </c>
    </row>
    <row r="1667" spans="1:4" x14ac:dyDescent="0.2">
      <c r="A1667" t="s">
        <v>3556</v>
      </c>
      <c r="B1667" s="2">
        <v>43244</v>
      </c>
      <c r="C1667" t="s">
        <v>1905</v>
      </c>
      <c r="D1667" t="s">
        <v>1810</v>
      </c>
    </row>
    <row r="1668" spans="1:4" x14ac:dyDescent="0.2">
      <c r="A1668" t="s">
        <v>3557</v>
      </c>
      <c r="B1668" s="2">
        <v>43152</v>
      </c>
      <c r="C1668" t="s">
        <v>1836</v>
      </c>
      <c r="D1668" t="s">
        <v>1031</v>
      </c>
    </row>
    <row r="1669" spans="1:4" x14ac:dyDescent="0.2">
      <c r="A1669" t="s">
        <v>3558</v>
      </c>
      <c r="B1669" s="2">
        <v>43205</v>
      </c>
      <c r="C1669" t="s">
        <v>1863</v>
      </c>
      <c r="D1669" t="s">
        <v>1804</v>
      </c>
    </row>
    <row r="1670" spans="1:4" x14ac:dyDescent="0.2">
      <c r="A1670" t="s">
        <v>3559</v>
      </c>
      <c r="B1670" s="2">
        <v>43031</v>
      </c>
      <c r="C1670" t="s">
        <v>1806</v>
      </c>
      <c r="D1670" t="s">
        <v>1807</v>
      </c>
    </row>
    <row r="1671" spans="1:4" x14ac:dyDescent="0.2">
      <c r="A1671" t="s">
        <v>3560</v>
      </c>
      <c r="B1671" s="2">
        <v>43106</v>
      </c>
      <c r="C1671" t="s">
        <v>3561</v>
      </c>
      <c r="D1671" t="s">
        <v>1807</v>
      </c>
    </row>
    <row r="1672" spans="1:4" x14ac:dyDescent="0.2">
      <c r="A1672" t="s">
        <v>420</v>
      </c>
      <c r="B1672" s="2">
        <v>43106</v>
      </c>
      <c r="C1672" t="s">
        <v>1905</v>
      </c>
      <c r="D1672" t="s">
        <v>1810</v>
      </c>
    </row>
    <row r="1673" spans="1:4" x14ac:dyDescent="0.2">
      <c r="A1673" t="s">
        <v>3562</v>
      </c>
      <c r="B1673" s="2">
        <v>43117</v>
      </c>
      <c r="C1673" t="s">
        <v>1803</v>
      </c>
      <c r="D1673" t="s">
        <v>1840</v>
      </c>
    </row>
    <row r="1674" spans="1:4" x14ac:dyDescent="0.2">
      <c r="A1674" t="s">
        <v>3563</v>
      </c>
      <c r="B1674" s="2">
        <v>43012</v>
      </c>
      <c r="C1674" t="s">
        <v>1836</v>
      </c>
      <c r="D1674" t="s">
        <v>1031</v>
      </c>
    </row>
    <row r="1675" spans="1:4" x14ac:dyDescent="0.2">
      <c r="A1675" t="s">
        <v>3564</v>
      </c>
      <c r="B1675" s="2">
        <v>43226</v>
      </c>
      <c r="C1675" t="s">
        <v>1857</v>
      </c>
      <c r="D1675" t="s">
        <v>1804</v>
      </c>
    </row>
    <row r="1676" spans="1:4" x14ac:dyDescent="0.2">
      <c r="A1676" t="s">
        <v>3565</v>
      </c>
      <c r="B1676" s="2">
        <v>43039</v>
      </c>
      <c r="C1676" t="s">
        <v>1902</v>
      </c>
      <c r="D1676" t="s">
        <v>1810</v>
      </c>
    </row>
    <row r="1677" spans="1:4" x14ac:dyDescent="0.2">
      <c r="A1677" t="s">
        <v>3566</v>
      </c>
      <c r="B1677" s="2">
        <v>43064</v>
      </c>
      <c r="C1677" t="s">
        <v>1905</v>
      </c>
      <c r="D1677" t="s">
        <v>1810</v>
      </c>
    </row>
    <row r="1678" spans="1:4" x14ac:dyDescent="0.2">
      <c r="A1678" t="s">
        <v>3567</v>
      </c>
      <c r="B1678" s="2">
        <v>43131</v>
      </c>
      <c r="C1678" t="s">
        <v>1996</v>
      </c>
      <c r="D1678" t="s">
        <v>1804</v>
      </c>
    </row>
    <row r="1679" spans="1:4" x14ac:dyDescent="0.2">
      <c r="A1679" t="s">
        <v>3568</v>
      </c>
      <c r="B1679" s="2">
        <v>43032</v>
      </c>
      <c r="C1679" t="s">
        <v>2131</v>
      </c>
      <c r="D1679" t="s">
        <v>1807</v>
      </c>
    </row>
    <row r="1680" spans="1:4" x14ac:dyDescent="0.2">
      <c r="A1680" t="s">
        <v>3569</v>
      </c>
      <c r="B1680" s="2">
        <v>43206</v>
      </c>
      <c r="C1680" t="s">
        <v>2158</v>
      </c>
      <c r="D1680" t="s">
        <v>1807</v>
      </c>
    </row>
    <row r="1681" spans="1:4" x14ac:dyDescent="0.2">
      <c r="A1681" t="s">
        <v>3570</v>
      </c>
      <c r="B1681" s="2">
        <v>43151</v>
      </c>
      <c r="C1681" t="s">
        <v>1915</v>
      </c>
      <c r="D1681" t="s">
        <v>1807</v>
      </c>
    </row>
    <row r="1682" spans="1:4" x14ac:dyDescent="0.2">
      <c r="A1682" t="s">
        <v>422</v>
      </c>
      <c r="B1682" s="2">
        <v>43213</v>
      </c>
      <c r="C1682" t="s">
        <v>1836</v>
      </c>
      <c r="D1682" t="s">
        <v>1031</v>
      </c>
    </row>
    <row r="1683" spans="1:4" x14ac:dyDescent="0.2">
      <c r="A1683" t="s">
        <v>3571</v>
      </c>
      <c r="B1683" s="2">
        <v>43055</v>
      </c>
      <c r="C1683" t="s">
        <v>1939</v>
      </c>
      <c r="D1683" t="s">
        <v>1840</v>
      </c>
    </row>
    <row r="1684" spans="1:4" x14ac:dyDescent="0.2">
      <c r="A1684" t="s">
        <v>3572</v>
      </c>
      <c r="B1684" s="2">
        <v>43063</v>
      </c>
      <c r="C1684" t="s">
        <v>1816</v>
      </c>
      <c r="D1684" t="s">
        <v>1807</v>
      </c>
    </row>
    <row r="1685" spans="1:4" x14ac:dyDescent="0.2">
      <c r="A1685" t="s">
        <v>424</v>
      </c>
      <c r="B1685" s="2">
        <v>43153</v>
      </c>
      <c r="C1685" t="s">
        <v>1836</v>
      </c>
      <c r="D1685" t="s">
        <v>1031</v>
      </c>
    </row>
    <row r="1686" spans="1:4" x14ac:dyDescent="0.2">
      <c r="A1686" t="s">
        <v>3573</v>
      </c>
      <c r="B1686" s="2">
        <v>43024</v>
      </c>
      <c r="C1686" t="s">
        <v>1836</v>
      </c>
      <c r="D1686" t="s">
        <v>1031</v>
      </c>
    </row>
    <row r="1687" spans="1:4" x14ac:dyDescent="0.2">
      <c r="A1687" t="s">
        <v>3574</v>
      </c>
      <c r="B1687" s="2">
        <v>42991</v>
      </c>
      <c r="C1687" t="s">
        <v>1894</v>
      </c>
      <c r="D1687" t="s">
        <v>1804</v>
      </c>
    </row>
    <row r="1688" spans="1:4" x14ac:dyDescent="0.2">
      <c r="A1688" t="s">
        <v>3575</v>
      </c>
      <c r="B1688" s="2">
        <v>43247</v>
      </c>
      <c r="C1688" t="s">
        <v>2051</v>
      </c>
      <c r="D1688" t="s">
        <v>1804</v>
      </c>
    </row>
    <row r="1689" spans="1:4" x14ac:dyDescent="0.2">
      <c r="A1689" t="s">
        <v>3576</v>
      </c>
      <c r="B1689" s="2">
        <v>43040</v>
      </c>
      <c r="C1689" t="s">
        <v>1814</v>
      </c>
      <c r="D1689" t="s">
        <v>1810</v>
      </c>
    </row>
    <row r="1690" spans="1:4" x14ac:dyDescent="0.2">
      <c r="A1690" t="s">
        <v>3577</v>
      </c>
      <c r="B1690" s="2">
        <v>43134</v>
      </c>
      <c r="C1690" t="s">
        <v>1803</v>
      </c>
      <c r="D1690" t="s">
        <v>1804</v>
      </c>
    </row>
    <row r="1691" spans="1:4" x14ac:dyDescent="0.2">
      <c r="A1691" t="s">
        <v>3578</v>
      </c>
      <c r="B1691" s="2">
        <v>43230</v>
      </c>
      <c r="C1691" t="s">
        <v>2998</v>
      </c>
      <c r="D1691" t="s">
        <v>1810</v>
      </c>
    </row>
    <row r="1692" spans="1:4" x14ac:dyDescent="0.2">
      <c r="A1692" t="s">
        <v>3579</v>
      </c>
      <c r="B1692" s="2">
        <v>43127</v>
      </c>
      <c r="C1692" t="s">
        <v>1905</v>
      </c>
      <c r="D1692" t="s">
        <v>1810</v>
      </c>
    </row>
    <row r="1693" spans="1:4" x14ac:dyDescent="0.2">
      <c r="A1693" t="s">
        <v>3580</v>
      </c>
      <c r="B1693" s="2">
        <v>43150</v>
      </c>
      <c r="C1693" t="s">
        <v>1831</v>
      </c>
      <c r="D1693" t="s">
        <v>1810</v>
      </c>
    </row>
    <row r="1694" spans="1:4" x14ac:dyDescent="0.2">
      <c r="A1694" t="s">
        <v>3581</v>
      </c>
      <c r="B1694" s="2">
        <v>43038</v>
      </c>
      <c r="C1694" t="s">
        <v>1902</v>
      </c>
      <c r="D1694" t="s">
        <v>1813</v>
      </c>
    </row>
    <row r="1695" spans="1:4" x14ac:dyDescent="0.2">
      <c r="A1695" t="s">
        <v>3582</v>
      </c>
      <c r="B1695" s="2">
        <v>43173</v>
      </c>
      <c r="C1695" t="s">
        <v>1836</v>
      </c>
      <c r="D1695" t="s">
        <v>1031</v>
      </c>
    </row>
    <row r="1696" spans="1:4" x14ac:dyDescent="0.2">
      <c r="A1696" t="s">
        <v>426</v>
      </c>
      <c r="B1696" s="2">
        <v>43186</v>
      </c>
      <c r="C1696" t="s">
        <v>2242</v>
      </c>
      <c r="D1696" t="s">
        <v>1829</v>
      </c>
    </row>
    <row r="1697" spans="1:4" x14ac:dyDescent="0.2">
      <c r="A1697" t="s">
        <v>3583</v>
      </c>
      <c r="B1697" s="2">
        <v>43230</v>
      </c>
      <c r="C1697" t="s">
        <v>2831</v>
      </c>
      <c r="D1697" t="s">
        <v>1810</v>
      </c>
    </row>
    <row r="1698" spans="1:4" x14ac:dyDescent="0.2">
      <c r="A1698" t="s">
        <v>3584</v>
      </c>
      <c r="B1698" s="2">
        <v>43150</v>
      </c>
      <c r="C1698" t="s">
        <v>2058</v>
      </c>
      <c r="D1698" t="s">
        <v>1807</v>
      </c>
    </row>
    <row r="1699" spans="1:4" x14ac:dyDescent="0.2">
      <c r="A1699" t="s">
        <v>3585</v>
      </c>
      <c r="B1699" s="2">
        <v>43243</v>
      </c>
      <c r="C1699" t="s">
        <v>3586</v>
      </c>
      <c r="D1699" t="s">
        <v>1031</v>
      </c>
    </row>
    <row r="1700" spans="1:4" x14ac:dyDescent="0.2">
      <c r="A1700" t="s">
        <v>3587</v>
      </c>
      <c r="B1700" s="2">
        <v>43241</v>
      </c>
      <c r="C1700" t="s">
        <v>1825</v>
      </c>
      <c r="D1700" t="s">
        <v>1840</v>
      </c>
    </row>
    <row r="1701" spans="1:4" x14ac:dyDescent="0.2">
      <c r="A1701" t="s">
        <v>3588</v>
      </c>
      <c r="B1701" s="2">
        <v>43216</v>
      </c>
      <c r="C1701" t="s">
        <v>2342</v>
      </c>
      <c r="D1701" t="s">
        <v>1807</v>
      </c>
    </row>
    <row r="1702" spans="1:4" x14ac:dyDescent="0.2">
      <c r="A1702" t="s">
        <v>3589</v>
      </c>
      <c r="B1702" s="2">
        <v>43110</v>
      </c>
      <c r="C1702" t="s">
        <v>1905</v>
      </c>
      <c r="D1702" t="s">
        <v>160</v>
      </c>
    </row>
    <row r="1703" spans="1:4" x14ac:dyDescent="0.2">
      <c r="A1703" t="s">
        <v>3590</v>
      </c>
      <c r="B1703" s="2">
        <v>43207</v>
      </c>
      <c r="C1703" t="s">
        <v>2048</v>
      </c>
      <c r="D1703" t="s">
        <v>1807</v>
      </c>
    </row>
    <row r="1704" spans="1:4" x14ac:dyDescent="0.2">
      <c r="A1704" t="s">
        <v>3591</v>
      </c>
      <c r="B1704" s="2">
        <v>43118</v>
      </c>
      <c r="C1704" t="s">
        <v>1905</v>
      </c>
      <c r="D1704" t="s">
        <v>1840</v>
      </c>
    </row>
    <row r="1705" spans="1:4" x14ac:dyDescent="0.2">
      <c r="A1705" t="s">
        <v>3592</v>
      </c>
      <c r="B1705" s="2">
        <v>43228</v>
      </c>
      <c r="C1705" t="s">
        <v>2521</v>
      </c>
      <c r="D1705" t="s">
        <v>1813</v>
      </c>
    </row>
    <row r="1706" spans="1:4" x14ac:dyDescent="0.2">
      <c r="A1706" t="s">
        <v>3593</v>
      </c>
      <c r="B1706" s="2">
        <v>42976</v>
      </c>
      <c r="C1706" t="s">
        <v>2096</v>
      </c>
      <c r="D1706" t="s">
        <v>1810</v>
      </c>
    </row>
    <row r="1707" spans="1:4" x14ac:dyDescent="0.2">
      <c r="A1707" t="s">
        <v>3594</v>
      </c>
      <c r="B1707" s="2">
        <v>43107</v>
      </c>
      <c r="C1707" t="s">
        <v>1905</v>
      </c>
      <c r="D1707" t="s">
        <v>1840</v>
      </c>
    </row>
    <row r="1708" spans="1:4" x14ac:dyDescent="0.2">
      <c r="A1708" t="s">
        <v>3595</v>
      </c>
      <c r="B1708" s="2">
        <v>43215</v>
      </c>
      <c r="C1708" t="s">
        <v>1928</v>
      </c>
      <c r="D1708" t="s">
        <v>1807</v>
      </c>
    </row>
    <row r="1709" spans="1:4" x14ac:dyDescent="0.2">
      <c r="A1709" t="s">
        <v>3596</v>
      </c>
      <c r="B1709" s="2">
        <v>43138</v>
      </c>
      <c r="C1709" t="s">
        <v>1930</v>
      </c>
      <c r="D1709" t="s">
        <v>1807</v>
      </c>
    </row>
    <row r="1710" spans="1:4" x14ac:dyDescent="0.2">
      <c r="A1710" t="s">
        <v>3597</v>
      </c>
      <c r="B1710" s="2">
        <v>43152</v>
      </c>
      <c r="C1710" t="s">
        <v>2014</v>
      </c>
      <c r="D1710" t="s">
        <v>1829</v>
      </c>
    </row>
    <row r="1711" spans="1:4" x14ac:dyDescent="0.2">
      <c r="A1711" t="s">
        <v>3598</v>
      </c>
      <c r="B1711" s="2">
        <v>43247</v>
      </c>
      <c r="C1711" t="s">
        <v>1863</v>
      </c>
      <c r="D1711" t="s">
        <v>1031</v>
      </c>
    </row>
    <row r="1712" spans="1:4" x14ac:dyDescent="0.2">
      <c r="A1712" t="s">
        <v>3599</v>
      </c>
      <c r="B1712" s="2">
        <v>43227</v>
      </c>
      <c r="C1712" t="s">
        <v>1863</v>
      </c>
      <c r="D1712" t="s">
        <v>1804</v>
      </c>
    </row>
    <row r="1713" spans="1:4" x14ac:dyDescent="0.2">
      <c r="A1713" t="s">
        <v>3600</v>
      </c>
      <c r="B1713" s="2">
        <v>43164</v>
      </c>
      <c r="C1713" t="s">
        <v>1809</v>
      </c>
      <c r="D1713" t="s">
        <v>1807</v>
      </c>
    </row>
    <row r="1714" spans="1:4" x14ac:dyDescent="0.2">
      <c r="A1714" t="s">
        <v>3601</v>
      </c>
      <c r="B1714" s="2">
        <v>43236</v>
      </c>
      <c r="C1714" t="s">
        <v>1818</v>
      </c>
      <c r="D1714" t="s">
        <v>1810</v>
      </c>
    </row>
    <row r="1715" spans="1:4" x14ac:dyDescent="0.2">
      <c r="A1715" t="s">
        <v>3602</v>
      </c>
      <c r="B1715" s="2">
        <v>42977</v>
      </c>
      <c r="C1715" t="s">
        <v>1915</v>
      </c>
      <c r="D1715" t="s">
        <v>1807</v>
      </c>
    </row>
    <row r="1716" spans="1:4" x14ac:dyDescent="0.2">
      <c r="A1716" t="s">
        <v>3603</v>
      </c>
      <c r="B1716" s="2">
        <v>43108</v>
      </c>
      <c r="C1716" t="s">
        <v>1831</v>
      </c>
      <c r="D1716" t="s">
        <v>160</v>
      </c>
    </row>
    <row r="1717" spans="1:4" x14ac:dyDescent="0.2">
      <c r="A1717" t="s">
        <v>3604</v>
      </c>
      <c r="B1717" s="2">
        <v>43105</v>
      </c>
      <c r="C1717" t="s">
        <v>1930</v>
      </c>
      <c r="D1717" t="s">
        <v>1807</v>
      </c>
    </row>
    <row r="1718" spans="1:4" x14ac:dyDescent="0.2">
      <c r="A1718" t="s">
        <v>3605</v>
      </c>
      <c r="B1718" s="2">
        <v>42941</v>
      </c>
      <c r="C1718" t="s">
        <v>2194</v>
      </c>
      <c r="D1718" t="s">
        <v>1810</v>
      </c>
    </row>
    <row r="1719" spans="1:4" x14ac:dyDescent="0.2">
      <c r="A1719" t="s">
        <v>3606</v>
      </c>
      <c r="B1719" s="2">
        <v>43202</v>
      </c>
      <c r="C1719" t="s">
        <v>1863</v>
      </c>
      <c r="D1719" t="s">
        <v>1804</v>
      </c>
    </row>
    <row r="1720" spans="1:4" x14ac:dyDescent="0.2">
      <c r="A1720" t="s">
        <v>3607</v>
      </c>
      <c r="B1720" s="2">
        <v>43159</v>
      </c>
      <c r="C1720" t="s">
        <v>2344</v>
      </c>
      <c r="D1720" t="s">
        <v>1031</v>
      </c>
    </row>
    <row r="1721" spans="1:4" x14ac:dyDescent="0.2">
      <c r="A1721" t="s">
        <v>3608</v>
      </c>
      <c r="B1721" s="2">
        <v>43174</v>
      </c>
      <c r="C1721" t="s">
        <v>1831</v>
      </c>
      <c r="D1721" t="s">
        <v>160</v>
      </c>
    </row>
    <row r="1722" spans="1:4" x14ac:dyDescent="0.2">
      <c r="A1722" t="s">
        <v>3609</v>
      </c>
      <c r="B1722" s="2">
        <v>43223</v>
      </c>
      <c r="C1722" t="s">
        <v>1825</v>
      </c>
      <c r="D1722" t="s">
        <v>1829</v>
      </c>
    </row>
    <row r="1723" spans="1:4" x14ac:dyDescent="0.2">
      <c r="A1723" t="s">
        <v>3610</v>
      </c>
      <c r="B1723" s="2">
        <v>43132</v>
      </c>
      <c r="C1723" t="s">
        <v>1803</v>
      </c>
      <c r="D1723" t="s">
        <v>1804</v>
      </c>
    </row>
    <row r="1724" spans="1:4" x14ac:dyDescent="0.2">
      <c r="A1724" t="s">
        <v>3611</v>
      </c>
      <c r="B1724" s="2">
        <v>43178</v>
      </c>
      <c r="C1724" t="s">
        <v>1885</v>
      </c>
      <c r="D1724" t="s">
        <v>1807</v>
      </c>
    </row>
    <row r="1725" spans="1:4" x14ac:dyDescent="0.2">
      <c r="A1725" t="s">
        <v>3612</v>
      </c>
      <c r="B1725" s="2">
        <v>42982</v>
      </c>
      <c r="C1725" t="s">
        <v>1894</v>
      </c>
      <c r="D1725" t="s">
        <v>1804</v>
      </c>
    </row>
    <row r="1726" spans="1:4" x14ac:dyDescent="0.2">
      <c r="A1726" t="s">
        <v>3613</v>
      </c>
      <c r="B1726" s="2">
        <v>43000</v>
      </c>
      <c r="C1726" t="s">
        <v>2256</v>
      </c>
      <c r="D1726" t="s">
        <v>1807</v>
      </c>
    </row>
    <row r="1727" spans="1:4" x14ac:dyDescent="0.2">
      <c r="A1727" t="s">
        <v>3614</v>
      </c>
      <c r="B1727" s="2">
        <v>43174</v>
      </c>
      <c r="C1727" t="s">
        <v>1905</v>
      </c>
      <c r="D1727" t="s">
        <v>1840</v>
      </c>
    </row>
    <row r="1728" spans="1:4" x14ac:dyDescent="0.2">
      <c r="A1728" t="s">
        <v>3615</v>
      </c>
      <c r="B1728" s="2">
        <v>43102</v>
      </c>
      <c r="C1728" t="s">
        <v>1816</v>
      </c>
      <c r="D1728" t="s">
        <v>1810</v>
      </c>
    </row>
    <row r="1729" spans="1:4" x14ac:dyDescent="0.2">
      <c r="A1729" t="s">
        <v>3616</v>
      </c>
      <c r="B1729" s="2">
        <v>42956</v>
      </c>
      <c r="C1729" t="s">
        <v>3101</v>
      </c>
      <c r="D1729" t="s">
        <v>1031</v>
      </c>
    </row>
    <row r="1730" spans="1:4" x14ac:dyDescent="0.2">
      <c r="A1730" t="s">
        <v>428</v>
      </c>
      <c r="B1730" s="2">
        <v>43119</v>
      </c>
      <c r="C1730" t="s">
        <v>1836</v>
      </c>
      <c r="D1730" t="s">
        <v>1810</v>
      </c>
    </row>
    <row r="1731" spans="1:4" x14ac:dyDescent="0.2">
      <c r="A1731" t="s">
        <v>3617</v>
      </c>
      <c r="B1731" s="2">
        <v>43193</v>
      </c>
      <c r="C1731" t="s">
        <v>1816</v>
      </c>
      <c r="D1731" t="s">
        <v>1810</v>
      </c>
    </row>
    <row r="1732" spans="1:4" x14ac:dyDescent="0.2">
      <c r="A1732" t="s">
        <v>3618</v>
      </c>
      <c r="B1732" s="2">
        <v>43194</v>
      </c>
      <c r="C1732" t="s">
        <v>1832</v>
      </c>
      <c r="D1732" t="s">
        <v>1810</v>
      </c>
    </row>
    <row r="1733" spans="1:4" x14ac:dyDescent="0.2">
      <c r="A1733" t="s">
        <v>3619</v>
      </c>
      <c r="B1733" s="2">
        <v>43145</v>
      </c>
      <c r="C1733" t="s">
        <v>2058</v>
      </c>
      <c r="D1733" t="s">
        <v>1807</v>
      </c>
    </row>
    <row r="1734" spans="1:4" x14ac:dyDescent="0.2">
      <c r="A1734" t="s">
        <v>3620</v>
      </c>
      <c r="B1734" s="2">
        <v>43191</v>
      </c>
      <c r="C1734" t="s">
        <v>2035</v>
      </c>
      <c r="D1734" t="s">
        <v>1804</v>
      </c>
    </row>
    <row r="1735" spans="1:4" x14ac:dyDescent="0.2">
      <c r="A1735" t="s">
        <v>3621</v>
      </c>
      <c r="B1735" s="2">
        <v>42930</v>
      </c>
      <c r="C1735" t="s">
        <v>1900</v>
      </c>
      <c r="D1735" t="s">
        <v>1813</v>
      </c>
    </row>
    <row r="1736" spans="1:4" x14ac:dyDescent="0.2">
      <c r="A1736" t="s">
        <v>3622</v>
      </c>
      <c r="B1736" s="2">
        <v>43181</v>
      </c>
      <c r="C1736" t="s">
        <v>3623</v>
      </c>
      <c r="D1736" t="s">
        <v>1031</v>
      </c>
    </row>
    <row r="1737" spans="1:4" x14ac:dyDescent="0.2">
      <c r="A1737" t="s">
        <v>430</v>
      </c>
      <c r="B1737" s="2">
        <v>43066</v>
      </c>
      <c r="C1737" t="s">
        <v>1803</v>
      </c>
      <c r="D1737" t="s">
        <v>1804</v>
      </c>
    </row>
    <row r="1738" spans="1:4" x14ac:dyDescent="0.2">
      <c r="A1738" t="s">
        <v>3624</v>
      </c>
      <c r="B1738" s="2">
        <v>42945</v>
      </c>
      <c r="C1738" t="s">
        <v>3625</v>
      </c>
      <c r="D1738" t="s">
        <v>1031</v>
      </c>
    </row>
    <row r="1739" spans="1:4" x14ac:dyDescent="0.2">
      <c r="A1739" t="s">
        <v>3626</v>
      </c>
      <c r="B1739" s="2">
        <v>43007</v>
      </c>
      <c r="C1739" t="s">
        <v>1894</v>
      </c>
      <c r="D1739" t="s">
        <v>1804</v>
      </c>
    </row>
    <row r="1740" spans="1:4" x14ac:dyDescent="0.2">
      <c r="A1740" t="s">
        <v>3627</v>
      </c>
      <c r="B1740" s="2">
        <v>43193</v>
      </c>
      <c r="C1740" t="s">
        <v>1836</v>
      </c>
      <c r="D1740" t="s">
        <v>1031</v>
      </c>
    </row>
    <row r="1741" spans="1:4" x14ac:dyDescent="0.2">
      <c r="A1741" t="s">
        <v>3628</v>
      </c>
      <c r="B1741" s="2">
        <v>43211</v>
      </c>
      <c r="C1741" t="s">
        <v>2115</v>
      </c>
      <c r="D1741" t="s">
        <v>1804</v>
      </c>
    </row>
    <row r="1742" spans="1:4" x14ac:dyDescent="0.2">
      <c r="A1742" t="s">
        <v>3629</v>
      </c>
      <c r="B1742" s="2">
        <v>43235</v>
      </c>
      <c r="C1742" t="s">
        <v>1818</v>
      </c>
      <c r="D1742" t="s">
        <v>1031</v>
      </c>
    </row>
    <row r="1743" spans="1:4" x14ac:dyDescent="0.2">
      <c r="A1743" t="s">
        <v>3630</v>
      </c>
      <c r="B1743" s="2">
        <v>43165</v>
      </c>
      <c r="C1743" t="s">
        <v>1905</v>
      </c>
      <c r="D1743" t="s">
        <v>1810</v>
      </c>
    </row>
    <row r="1744" spans="1:4" x14ac:dyDescent="0.2">
      <c r="A1744" t="s">
        <v>3631</v>
      </c>
      <c r="B1744" s="2">
        <v>43122</v>
      </c>
      <c r="C1744" t="s">
        <v>1803</v>
      </c>
      <c r="D1744" t="s">
        <v>1804</v>
      </c>
    </row>
    <row r="1745" spans="1:4" x14ac:dyDescent="0.2">
      <c r="A1745" t="s">
        <v>3632</v>
      </c>
      <c r="B1745" s="2">
        <v>43192</v>
      </c>
      <c r="C1745" t="s">
        <v>1987</v>
      </c>
      <c r="D1745" t="s">
        <v>1807</v>
      </c>
    </row>
    <row r="1746" spans="1:4" x14ac:dyDescent="0.2">
      <c r="A1746" t="s">
        <v>3633</v>
      </c>
      <c r="B1746" s="2">
        <v>43215</v>
      </c>
      <c r="C1746" t="s">
        <v>1909</v>
      </c>
      <c r="D1746" t="s">
        <v>1807</v>
      </c>
    </row>
    <row r="1747" spans="1:4" x14ac:dyDescent="0.2">
      <c r="A1747" t="s">
        <v>3634</v>
      </c>
      <c r="B1747" s="2">
        <v>43114</v>
      </c>
      <c r="C1747" t="s">
        <v>1816</v>
      </c>
      <c r="D1747" t="s">
        <v>1810</v>
      </c>
    </row>
    <row r="1748" spans="1:4" x14ac:dyDescent="0.2">
      <c r="A1748" t="s">
        <v>3635</v>
      </c>
      <c r="B1748" s="2">
        <v>43170</v>
      </c>
      <c r="C1748" t="s">
        <v>1885</v>
      </c>
      <c r="D1748" t="s">
        <v>1807</v>
      </c>
    </row>
    <row r="1749" spans="1:4" x14ac:dyDescent="0.2">
      <c r="A1749" t="s">
        <v>3636</v>
      </c>
      <c r="B1749" s="2">
        <v>43138</v>
      </c>
      <c r="C1749" t="s">
        <v>1816</v>
      </c>
      <c r="D1749" t="s">
        <v>1804</v>
      </c>
    </row>
    <row r="1750" spans="1:4" x14ac:dyDescent="0.2">
      <c r="A1750" t="s">
        <v>3637</v>
      </c>
      <c r="B1750" s="2">
        <v>43010</v>
      </c>
      <c r="C1750" t="s">
        <v>1939</v>
      </c>
      <c r="D1750" t="s">
        <v>1804</v>
      </c>
    </row>
    <row r="1751" spans="1:4" x14ac:dyDescent="0.2">
      <c r="A1751" t="s">
        <v>3638</v>
      </c>
      <c r="B1751" s="2">
        <v>43131</v>
      </c>
      <c r="C1751" t="s">
        <v>1803</v>
      </c>
      <c r="D1751" t="s">
        <v>1804</v>
      </c>
    </row>
    <row r="1752" spans="1:4" x14ac:dyDescent="0.2">
      <c r="A1752" t="s">
        <v>3639</v>
      </c>
      <c r="B1752" s="2">
        <v>43133</v>
      </c>
      <c r="C1752" t="s">
        <v>1836</v>
      </c>
      <c r="D1752" t="s">
        <v>1804</v>
      </c>
    </row>
    <row r="1753" spans="1:4" x14ac:dyDescent="0.2">
      <c r="A1753" t="s">
        <v>3640</v>
      </c>
      <c r="B1753" s="2">
        <v>43129</v>
      </c>
      <c r="C1753" t="s">
        <v>1836</v>
      </c>
      <c r="D1753" t="s">
        <v>1810</v>
      </c>
    </row>
    <row r="1754" spans="1:4" x14ac:dyDescent="0.2">
      <c r="A1754" t="s">
        <v>3641</v>
      </c>
      <c r="B1754" s="2">
        <v>43023</v>
      </c>
      <c r="C1754" t="s">
        <v>1803</v>
      </c>
      <c r="D1754" t="s">
        <v>1804</v>
      </c>
    </row>
    <row r="1755" spans="1:4" x14ac:dyDescent="0.2">
      <c r="A1755" t="s">
        <v>3642</v>
      </c>
      <c r="B1755" s="2">
        <v>43123</v>
      </c>
      <c r="C1755" t="s">
        <v>1905</v>
      </c>
      <c r="D1755" t="s">
        <v>1810</v>
      </c>
    </row>
    <row r="1756" spans="1:4" x14ac:dyDescent="0.2">
      <c r="A1756" t="s">
        <v>3643</v>
      </c>
      <c r="B1756" s="2">
        <v>43244</v>
      </c>
      <c r="C1756" t="s">
        <v>1836</v>
      </c>
      <c r="D1756" t="s">
        <v>1031</v>
      </c>
    </row>
    <row r="1757" spans="1:4" x14ac:dyDescent="0.2">
      <c r="A1757" t="s">
        <v>3644</v>
      </c>
      <c r="B1757" s="2">
        <v>43061</v>
      </c>
      <c r="C1757" t="s">
        <v>1836</v>
      </c>
      <c r="D1757" t="s">
        <v>1031</v>
      </c>
    </row>
    <row r="1758" spans="1:4" x14ac:dyDescent="0.2">
      <c r="A1758" t="s">
        <v>3645</v>
      </c>
      <c r="B1758" s="2">
        <v>43227</v>
      </c>
      <c r="C1758" t="s">
        <v>1836</v>
      </c>
      <c r="D1758" t="s">
        <v>1031</v>
      </c>
    </row>
    <row r="1759" spans="1:4" x14ac:dyDescent="0.2">
      <c r="A1759" t="s">
        <v>3646</v>
      </c>
      <c r="B1759" s="2">
        <v>43216</v>
      </c>
      <c r="C1759" t="s">
        <v>1827</v>
      </c>
      <c r="D1759" t="s">
        <v>1807</v>
      </c>
    </row>
    <row r="1760" spans="1:4" x14ac:dyDescent="0.2">
      <c r="A1760" t="s">
        <v>3647</v>
      </c>
      <c r="B1760" s="2">
        <v>43118</v>
      </c>
      <c r="C1760" t="s">
        <v>1836</v>
      </c>
      <c r="D1760" t="s">
        <v>1840</v>
      </c>
    </row>
    <row r="1761" spans="1:4" x14ac:dyDescent="0.2">
      <c r="A1761" t="s">
        <v>3648</v>
      </c>
      <c r="B1761" s="2">
        <v>43181</v>
      </c>
      <c r="C1761" t="s">
        <v>1816</v>
      </c>
      <c r="D1761" t="s">
        <v>1810</v>
      </c>
    </row>
    <row r="1762" spans="1:4" x14ac:dyDescent="0.2">
      <c r="A1762" t="s">
        <v>3649</v>
      </c>
      <c r="B1762" s="2">
        <v>43208</v>
      </c>
      <c r="C1762" t="s">
        <v>3650</v>
      </c>
      <c r="D1762" t="s">
        <v>1810</v>
      </c>
    </row>
    <row r="1763" spans="1:4" x14ac:dyDescent="0.2">
      <c r="A1763" t="s">
        <v>3651</v>
      </c>
      <c r="B1763" s="2">
        <v>43143</v>
      </c>
      <c r="C1763" t="s">
        <v>2462</v>
      </c>
      <c r="D1763" t="s">
        <v>1810</v>
      </c>
    </row>
    <row r="1764" spans="1:4" x14ac:dyDescent="0.2">
      <c r="A1764" t="s">
        <v>3652</v>
      </c>
      <c r="B1764" s="2">
        <v>43135</v>
      </c>
      <c r="C1764" t="s">
        <v>1885</v>
      </c>
      <c r="D1764" t="s">
        <v>1807</v>
      </c>
    </row>
    <row r="1765" spans="1:4" x14ac:dyDescent="0.2">
      <c r="A1765" t="s">
        <v>3653</v>
      </c>
      <c r="B1765" s="2">
        <v>43129</v>
      </c>
      <c r="C1765" t="s">
        <v>1930</v>
      </c>
      <c r="D1765" t="s">
        <v>1807</v>
      </c>
    </row>
    <row r="1766" spans="1:4" x14ac:dyDescent="0.2">
      <c r="A1766" t="s">
        <v>3654</v>
      </c>
      <c r="B1766" s="2">
        <v>43222</v>
      </c>
      <c r="C1766" t="s">
        <v>1832</v>
      </c>
      <c r="D1766" t="s">
        <v>1807</v>
      </c>
    </row>
    <row r="1767" spans="1:4" x14ac:dyDescent="0.2">
      <c r="A1767" t="s">
        <v>3655</v>
      </c>
      <c r="B1767" s="2">
        <v>43130</v>
      </c>
      <c r="C1767" t="s">
        <v>1803</v>
      </c>
      <c r="D1767" t="s">
        <v>1804</v>
      </c>
    </row>
    <row r="1768" spans="1:4" x14ac:dyDescent="0.2">
      <c r="A1768" t="s">
        <v>3656</v>
      </c>
      <c r="B1768" s="2">
        <v>43056</v>
      </c>
      <c r="C1768" t="s">
        <v>1836</v>
      </c>
      <c r="D1768" t="s">
        <v>1031</v>
      </c>
    </row>
    <row r="1769" spans="1:4" x14ac:dyDescent="0.2">
      <c r="A1769" t="s">
        <v>3657</v>
      </c>
      <c r="B1769" s="2">
        <v>43178</v>
      </c>
      <c r="C1769" t="s">
        <v>1905</v>
      </c>
      <c r="D1769" t="s">
        <v>1829</v>
      </c>
    </row>
    <row r="1770" spans="1:4" x14ac:dyDescent="0.2">
      <c r="A1770" t="s">
        <v>3658</v>
      </c>
      <c r="B1770" s="2">
        <v>43015</v>
      </c>
      <c r="C1770" t="s">
        <v>2187</v>
      </c>
      <c r="D1770" t="s">
        <v>1807</v>
      </c>
    </row>
    <row r="1771" spans="1:4" x14ac:dyDescent="0.2">
      <c r="A1771" t="s">
        <v>3659</v>
      </c>
      <c r="B1771" s="2">
        <v>43042</v>
      </c>
      <c r="C1771" t="s">
        <v>1803</v>
      </c>
      <c r="D1771" t="s">
        <v>1804</v>
      </c>
    </row>
    <row r="1772" spans="1:4" x14ac:dyDescent="0.2">
      <c r="A1772" t="s">
        <v>3660</v>
      </c>
      <c r="B1772" s="2">
        <v>43186</v>
      </c>
      <c r="C1772" t="s">
        <v>1863</v>
      </c>
      <c r="D1772" t="s">
        <v>1804</v>
      </c>
    </row>
    <row r="1773" spans="1:4" x14ac:dyDescent="0.2">
      <c r="A1773" t="s">
        <v>3661</v>
      </c>
      <c r="B1773" s="2">
        <v>43195</v>
      </c>
      <c r="C1773" t="s">
        <v>1930</v>
      </c>
      <c r="D1773" t="s">
        <v>1807</v>
      </c>
    </row>
    <row r="1774" spans="1:4" x14ac:dyDescent="0.2">
      <c r="A1774" t="s">
        <v>433</v>
      </c>
      <c r="B1774" s="2">
        <v>43216</v>
      </c>
      <c r="C1774" t="s">
        <v>2382</v>
      </c>
      <c r="D1774" t="s">
        <v>160</v>
      </c>
    </row>
    <row r="1775" spans="1:4" x14ac:dyDescent="0.2">
      <c r="A1775" t="s">
        <v>3662</v>
      </c>
      <c r="B1775" s="2">
        <v>43164</v>
      </c>
      <c r="C1775" t="s">
        <v>1825</v>
      </c>
      <c r="D1775" t="s">
        <v>1807</v>
      </c>
    </row>
    <row r="1776" spans="1:4" x14ac:dyDescent="0.2">
      <c r="A1776" t="s">
        <v>3663</v>
      </c>
      <c r="B1776" s="2">
        <v>43244</v>
      </c>
      <c r="C1776" t="s">
        <v>1863</v>
      </c>
      <c r="D1776" t="s">
        <v>1829</v>
      </c>
    </row>
    <row r="1777" spans="1:4" x14ac:dyDescent="0.2">
      <c r="A1777" t="s">
        <v>3664</v>
      </c>
      <c r="B1777" s="2">
        <v>42923</v>
      </c>
      <c r="C1777" t="s">
        <v>1816</v>
      </c>
      <c r="D1777" t="s">
        <v>1840</v>
      </c>
    </row>
    <row r="1778" spans="1:4" x14ac:dyDescent="0.2">
      <c r="A1778" t="s">
        <v>3665</v>
      </c>
      <c r="B1778" s="2">
        <v>43063</v>
      </c>
      <c r="C1778" t="s">
        <v>1905</v>
      </c>
      <c r="D1778" t="s">
        <v>1810</v>
      </c>
    </row>
    <row r="1779" spans="1:4" x14ac:dyDescent="0.2">
      <c r="A1779" t="s">
        <v>3666</v>
      </c>
      <c r="B1779" s="2">
        <v>42963</v>
      </c>
      <c r="C1779" t="s">
        <v>2569</v>
      </c>
      <c r="D1779" t="s">
        <v>1813</v>
      </c>
    </row>
    <row r="1780" spans="1:4" x14ac:dyDescent="0.2">
      <c r="A1780" t="s">
        <v>3667</v>
      </c>
      <c r="B1780" s="2">
        <v>43164</v>
      </c>
      <c r="C1780" t="s">
        <v>1836</v>
      </c>
      <c r="D1780" t="s">
        <v>1031</v>
      </c>
    </row>
    <row r="1781" spans="1:4" x14ac:dyDescent="0.2">
      <c r="A1781" t="s">
        <v>435</v>
      </c>
      <c r="B1781" s="2">
        <v>42965</v>
      </c>
      <c r="C1781" t="s">
        <v>1921</v>
      </c>
      <c r="D1781" t="s">
        <v>1810</v>
      </c>
    </row>
    <row r="1782" spans="1:4" x14ac:dyDescent="0.2">
      <c r="A1782" t="s">
        <v>3668</v>
      </c>
      <c r="B1782" s="2">
        <v>43236</v>
      </c>
      <c r="C1782" t="s">
        <v>3669</v>
      </c>
      <c r="D1782" t="s">
        <v>1810</v>
      </c>
    </row>
    <row r="1783" spans="1:4" x14ac:dyDescent="0.2">
      <c r="A1783" t="s">
        <v>3670</v>
      </c>
      <c r="B1783" s="2">
        <v>43067</v>
      </c>
      <c r="C1783" t="s">
        <v>1939</v>
      </c>
      <c r="D1783" t="s">
        <v>1031</v>
      </c>
    </row>
    <row r="1784" spans="1:4" x14ac:dyDescent="0.2">
      <c r="A1784" t="s">
        <v>3671</v>
      </c>
      <c r="B1784" s="2">
        <v>43238</v>
      </c>
      <c r="C1784" t="s">
        <v>1863</v>
      </c>
      <c r="D1784" t="s">
        <v>1804</v>
      </c>
    </row>
    <row r="1785" spans="1:4" x14ac:dyDescent="0.2">
      <c r="A1785" t="s">
        <v>3672</v>
      </c>
      <c r="B1785" s="2">
        <v>43121</v>
      </c>
      <c r="C1785" t="s">
        <v>1831</v>
      </c>
      <c r="D1785" t="s">
        <v>160</v>
      </c>
    </row>
    <row r="1786" spans="1:4" x14ac:dyDescent="0.2">
      <c r="A1786" t="s">
        <v>437</v>
      </c>
      <c r="B1786" s="2">
        <v>43154</v>
      </c>
      <c r="C1786" t="s">
        <v>1816</v>
      </c>
      <c r="D1786" t="s">
        <v>1840</v>
      </c>
    </row>
    <row r="1787" spans="1:4" x14ac:dyDescent="0.2">
      <c r="A1787" t="s">
        <v>3673</v>
      </c>
      <c r="B1787" s="2">
        <v>42964</v>
      </c>
      <c r="C1787" t="s">
        <v>3674</v>
      </c>
      <c r="D1787" t="s">
        <v>1810</v>
      </c>
    </row>
    <row r="1788" spans="1:4" x14ac:dyDescent="0.2">
      <c r="A1788" t="s">
        <v>3675</v>
      </c>
      <c r="B1788" s="2">
        <v>43206</v>
      </c>
      <c r="C1788" t="s">
        <v>3676</v>
      </c>
      <c r="D1788" t="s">
        <v>1810</v>
      </c>
    </row>
    <row r="1789" spans="1:4" x14ac:dyDescent="0.2">
      <c r="A1789" t="s">
        <v>3677</v>
      </c>
      <c r="B1789" s="2">
        <v>43218</v>
      </c>
      <c r="C1789" t="s">
        <v>1863</v>
      </c>
      <c r="D1789" t="s">
        <v>1804</v>
      </c>
    </row>
    <row r="1790" spans="1:4" x14ac:dyDescent="0.2">
      <c r="A1790" t="s">
        <v>3678</v>
      </c>
      <c r="B1790" s="2">
        <v>43161</v>
      </c>
      <c r="C1790" t="s">
        <v>3679</v>
      </c>
      <c r="D1790" t="s">
        <v>1031</v>
      </c>
    </row>
    <row r="1791" spans="1:4" x14ac:dyDescent="0.2">
      <c r="A1791" t="s">
        <v>3680</v>
      </c>
      <c r="B1791" s="2">
        <v>43237</v>
      </c>
      <c r="C1791" t="s">
        <v>1863</v>
      </c>
      <c r="D1791" t="s">
        <v>1910</v>
      </c>
    </row>
    <row r="1792" spans="1:4" x14ac:dyDescent="0.2">
      <c r="A1792" t="s">
        <v>3681</v>
      </c>
      <c r="B1792" s="2">
        <v>43038</v>
      </c>
      <c r="C1792" t="s">
        <v>2294</v>
      </c>
      <c r="D1792" t="s">
        <v>1807</v>
      </c>
    </row>
    <row r="1793" spans="1:4" x14ac:dyDescent="0.2">
      <c r="A1793" t="s">
        <v>3682</v>
      </c>
      <c r="B1793" s="2">
        <v>42984</v>
      </c>
      <c r="C1793" t="s">
        <v>1836</v>
      </c>
      <c r="D1793" t="s">
        <v>1031</v>
      </c>
    </row>
    <row r="1794" spans="1:4" x14ac:dyDescent="0.2">
      <c r="A1794" t="s">
        <v>3683</v>
      </c>
      <c r="B1794" s="2">
        <v>43078</v>
      </c>
      <c r="C1794" t="s">
        <v>1905</v>
      </c>
      <c r="D1794" t="s">
        <v>1840</v>
      </c>
    </row>
    <row r="1795" spans="1:4" x14ac:dyDescent="0.2">
      <c r="A1795" t="s">
        <v>3684</v>
      </c>
      <c r="B1795" s="2">
        <v>43166</v>
      </c>
      <c r="C1795" t="s">
        <v>1831</v>
      </c>
      <c r="D1795" t="s">
        <v>1810</v>
      </c>
    </row>
    <row r="1796" spans="1:4" x14ac:dyDescent="0.2">
      <c r="A1796" t="s">
        <v>3685</v>
      </c>
      <c r="B1796" s="2">
        <v>43220</v>
      </c>
      <c r="C1796" t="s">
        <v>1937</v>
      </c>
      <c r="D1796" t="s">
        <v>1031</v>
      </c>
    </row>
    <row r="1797" spans="1:4" x14ac:dyDescent="0.2">
      <c r="A1797" t="s">
        <v>3686</v>
      </c>
      <c r="B1797" s="2">
        <v>43129</v>
      </c>
      <c r="C1797" t="s">
        <v>1836</v>
      </c>
      <c r="D1797" t="s">
        <v>1031</v>
      </c>
    </row>
    <row r="1798" spans="1:4" x14ac:dyDescent="0.2">
      <c r="A1798" t="s">
        <v>3687</v>
      </c>
      <c r="B1798" s="2">
        <v>43235</v>
      </c>
      <c r="C1798" t="s">
        <v>1867</v>
      </c>
      <c r="D1798" t="s">
        <v>1810</v>
      </c>
    </row>
    <row r="1799" spans="1:4" x14ac:dyDescent="0.2">
      <c r="A1799" t="s">
        <v>3688</v>
      </c>
      <c r="B1799" s="2">
        <v>43017</v>
      </c>
      <c r="C1799" t="s">
        <v>3515</v>
      </c>
      <c r="D1799" t="s">
        <v>1804</v>
      </c>
    </row>
    <row r="1800" spans="1:4" x14ac:dyDescent="0.2">
      <c r="A1800" t="s">
        <v>3689</v>
      </c>
      <c r="B1800" s="2">
        <v>43181</v>
      </c>
      <c r="C1800" t="s">
        <v>1930</v>
      </c>
      <c r="D1800" t="s">
        <v>1807</v>
      </c>
    </row>
    <row r="1801" spans="1:4" x14ac:dyDescent="0.2">
      <c r="A1801" t="s">
        <v>3690</v>
      </c>
      <c r="B1801" s="2">
        <v>43216</v>
      </c>
      <c r="C1801" t="s">
        <v>2831</v>
      </c>
      <c r="D1801" t="s">
        <v>1829</v>
      </c>
    </row>
    <row r="1802" spans="1:4" x14ac:dyDescent="0.2">
      <c r="A1802" t="s">
        <v>3691</v>
      </c>
      <c r="B1802" s="2">
        <v>43239</v>
      </c>
      <c r="C1802" t="s">
        <v>1863</v>
      </c>
      <c r="D1802" t="s">
        <v>1804</v>
      </c>
    </row>
    <row r="1803" spans="1:4" x14ac:dyDescent="0.2">
      <c r="A1803" t="s">
        <v>3692</v>
      </c>
      <c r="B1803" s="2">
        <v>43228</v>
      </c>
      <c r="C1803" t="s">
        <v>1836</v>
      </c>
      <c r="D1803" t="s">
        <v>1807</v>
      </c>
    </row>
    <row r="1804" spans="1:4" x14ac:dyDescent="0.2">
      <c r="A1804" t="s">
        <v>439</v>
      </c>
      <c r="B1804" s="2">
        <v>43160</v>
      </c>
      <c r="C1804" t="s">
        <v>2014</v>
      </c>
      <c r="D1804" t="s">
        <v>1829</v>
      </c>
    </row>
    <row r="1805" spans="1:4" x14ac:dyDescent="0.2">
      <c r="A1805" t="s">
        <v>3693</v>
      </c>
      <c r="B1805" s="2">
        <v>43180</v>
      </c>
      <c r="C1805" t="s">
        <v>1867</v>
      </c>
      <c r="D1805" t="s">
        <v>1804</v>
      </c>
    </row>
    <row r="1806" spans="1:4" x14ac:dyDescent="0.2">
      <c r="A1806" t="s">
        <v>3694</v>
      </c>
      <c r="B1806" s="2">
        <v>43202</v>
      </c>
      <c r="C1806" t="s">
        <v>1905</v>
      </c>
      <c r="D1806" t="s">
        <v>1829</v>
      </c>
    </row>
    <row r="1807" spans="1:4" x14ac:dyDescent="0.2">
      <c r="A1807" t="s">
        <v>3695</v>
      </c>
      <c r="B1807" s="2">
        <v>43249</v>
      </c>
      <c r="C1807" t="s">
        <v>2074</v>
      </c>
      <c r="D1807" t="s">
        <v>1810</v>
      </c>
    </row>
    <row r="1808" spans="1:4" x14ac:dyDescent="0.2">
      <c r="A1808" t="s">
        <v>3696</v>
      </c>
      <c r="B1808" s="2">
        <v>42926</v>
      </c>
      <c r="C1808" t="s">
        <v>2475</v>
      </c>
      <c r="D1808" t="s">
        <v>1849</v>
      </c>
    </row>
    <row r="1809" spans="1:4" x14ac:dyDescent="0.2">
      <c r="A1809" t="s">
        <v>3697</v>
      </c>
      <c r="B1809" s="2">
        <v>43138</v>
      </c>
      <c r="C1809" t="s">
        <v>1930</v>
      </c>
      <c r="D1809" t="s">
        <v>1810</v>
      </c>
    </row>
    <row r="1810" spans="1:4" x14ac:dyDescent="0.2">
      <c r="A1810" t="s">
        <v>3698</v>
      </c>
      <c r="B1810" s="2">
        <v>43245</v>
      </c>
      <c r="C1810" t="s">
        <v>3699</v>
      </c>
      <c r="D1810" t="s">
        <v>1813</v>
      </c>
    </row>
    <row r="1811" spans="1:4" x14ac:dyDescent="0.2">
      <c r="A1811" t="s">
        <v>3700</v>
      </c>
      <c r="B1811" s="2">
        <v>43192</v>
      </c>
      <c r="C1811" t="s">
        <v>3090</v>
      </c>
      <c r="D1811" t="s">
        <v>1813</v>
      </c>
    </row>
    <row r="1812" spans="1:4" x14ac:dyDescent="0.2">
      <c r="A1812" t="s">
        <v>3701</v>
      </c>
      <c r="B1812" s="2">
        <v>43184</v>
      </c>
      <c r="C1812" t="s">
        <v>1863</v>
      </c>
      <c r="D1812" t="s">
        <v>1804</v>
      </c>
    </row>
    <row r="1813" spans="1:4" x14ac:dyDescent="0.2">
      <c r="A1813" t="s">
        <v>3702</v>
      </c>
      <c r="B1813" s="2">
        <v>43121</v>
      </c>
      <c r="C1813" t="s">
        <v>1905</v>
      </c>
      <c r="D1813" t="s">
        <v>1849</v>
      </c>
    </row>
    <row r="1814" spans="1:4" x14ac:dyDescent="0.2">
      <c r="A1814" t="s">
        <v>3703</v>
      </c>
      <c r="B1814" s="2">
        <v>43152</v>
      </c>
      <c r="C1814" t="s">
        <v>2249</v>
      </c>
      <c r="D1814" t="s">
        <v>1810</v>
      </c>
    </row>
    <row r="1815" spans="1:4" x14ac:dyDescent="0.2">
      <c r="A1815" t="s">
        <v>3704</v>
      </c>
      <c r="B1815" s="2">
        <v>43164</v>
      </c>
      <c r="C1815" t="s">
        <v>1836</v>
      </c>
      <c r="D1815" t="s">
        <v>1031</v>
      </c>
    </row>
    <row r="1816" spans="1:4" x14ac:dyDescent="0.2">
      <c r="A1816" t="s">
        <v>3705</v>
      </c>
      <c r="B1816" s="2">
        <v>43104</v>
      </c>
      <c r="C1816" t="s">
        <v>1930</v>
      </c>
      <c r="D1816" t="s">
        <v>1807</v>
      </c>
    </row>
    <row r="1817" spans="1:4" x14ac:dyDescent="0.2">
      <c r="A1817" t="s">
        <v>3706</v>
      </c>
      <c r="B1817" s="2">
        <v>43199</v>
      </c>
      <c r="C1817" t="s">
        <v>1816</v>
      </c>
      <c r="D1817" t="s">
        <v>1829</v>
      </c>
    </row>
    <row r="1818" spans="1:4" x14ac:dyDescent="0.2">
      <c r="A1818" t="s">
        <v>3707</v>
      </c>
      <c r="B1818" s="2">
        <v>43169</v>
      </c>
      <c r="C1818" t="s">
        <v>2115</v>
      </c>
      <c r="D1818" t="s">
        <v>1804</v>
      </c>
    </row>
    <row r="1819" spans="1:4" x14ac:dyDescent="0.2">
      <c r="A1819" t="s">
        <v>3708</v>
      </c>
      <c r="B1819" s="2">
        <v>43063</v>
      </c>
      <c r="C1819" t="s">
        <v>1803</v>
      </c>
      <c r="D1819" t="s">
        <v>1804</v>
      </c>
    </row>
    <row r="1820" spans="1:4" x14ac:dyDescent="0.2">
      <c r="A1820" t="s">
        <v>3709</v>
      </c>
      <c r="B1820" s="2">
        <v>43106</v>
      </c>
      <c r="C1820" t="s">
        <v>1803</v>
      </c>
      <c r="D1820" t="s">
        <v>1804</v>
      </c>
    </row>
    <row r="1821" spans="1:4" x14ac:dyDescent="0.2">
      <c r="A1821" t="s">
        <v>3710</v>
      </c>
      <c r="B1821" s="2">
        <v>43248</v>
      </c>
      <c r="C1821" t="s">
        <v>1863</v>
      </c>
      <c r="D1821" t="s">
        <v>1804</v>
      </c>
    </row>
    <row r="1822" spans="1:4" x14ac:dyDescent="0.2">
      <c r="A1822" t="s">
        <v>3711</v>
      </c>
      <c r="B1822" s="2">
        <v>43187</v>
      </c>
      <c r="C1822" t="s">
        <v>1863</v>
      </c>
      <c r="D1822" t="s">
        <v>1804</v>
      </c>
    </row>
    <row r="1823" spans="1:4" x14ac:dyDescent="0.2">
      <c r="A1823" t="s">
        <v>3712</v>
      </c>
      <c r="B1823" s="2">
        <v>43084</v>
      </c>
      <c r="C1823" t="s">
        <v>1836</v>
      </c>
      <c r="D1823" t="s">
        <v>1031</v>
      </c>
    </row>
    <row r="1824" spans="1:4" x14ac:dyDescent="0.2">
      <c r="A1824" t="s">
        <v>3713</v>
      </c>
      <c r="B1824" s="2">
        <v>43125</v>
      </c>
      <c r="C1824" t="s">
        <v>1836</v>
      </c>
      <c r="D1824" t="s">
        <v>1031</v>
      </c>
    </row>
    <row r="1825" spans="1:4" x14ac:dyDescent="0.2">
      <c r="A1825" t="s">
        <v>3714</v>
      </c>
      <c r="B1825" s="2">
        <v>42961</v>
      </c>
      <c r="C1825" t="s">
        <v>1822</v>
      </c>
      <c r="D1825" t="s">
        <v>1810</v>
      </c>
    </row>
    <row r="1826" spans="1:4" x14ac:dyDescent="0.2">
      <c r="A1826" t="s">
        <v>441</v>
      </c>
      <c r="B1826" s="2">
        <v>43118</v>
      </c>
      <c r="C1826" t="s">
        <v>1836</v>
      </c>
      <c r="D1826" t="s">
        <v>1810</v>
      </c>
    </row>
    <row r="1827" spans="1:4" x14ac:dyDescent="0.2">
      <c r="A1827" t="s">
        <v>3715</v>
      </c>
      <c r="B1827" s="2">
        <v>43194</v>
      </c>
      <c r="C1827" t="s">
        <v>1816</v>
      </c>
      <c r="D1827" t="s">
        <v>1807</v>
      </c>
    </row>
    <row r="1828" spans="1:4" x14ac:dyDescent="0.2">
      <c r="A1828" t="s">
        <v>443</v>
      </c>
      <c r="B1828" s="2">
        <v>43188</v>
      </c>
      <c r="C1828" t="s">
        <v>1836</v>
      </c>
      <c r="D1828" t="s">
        <v>1031</v>
      </c>
    </row>
    <row r="1829" spans="1:4" x14ac:dyDescent="0.2">
      <c r="A1829" t="s">
        <v>3716</v>
      </c>
      <c r="B1829" s="2">
        <v>43243</v>
      </c>
      <c r="C1829" t="s">
        <v>1863</v>
      </c>
      <c r="D1829" t="s">
        <v>1804</v>
      </c>
    </row>
    <row r="1830" spans="1:4" x14ac:dyDescent="0.2">
      <c r="A1830" t="s">
        <v>3717</v>
      </c>
      <c r="B1830" s="2">
        <v>43241</v>
      </c>
      <c r="C1830" t="s">
        <v>1867</v>
      </c>
      <c r="D1830" t="s">
        <v>1810</v>
      </c>
    </row>
    <row r="1831" spans="1:4" x14ac:dyDescent="0.2">
      <c r="A1831" t="s">
        <v>3718</v>
      </c>
      <c r="B1831" s="2">
        <v>43227</v>
      </c>
      <c r="C1831" t="s">
        <v>1816</v>
      </c>
      <c r="D1831" t="s">
        <v>1810</v>
      </c>
    </row>
    <row r="1832" spans="1:4" x14ac:dyDescent="0.2">
      <c r="A1832" t="s">
        <v>3719</v>
      </c>
      <c r="B1832" s="2">
        <v>43249</v>
      </c>
      <c r="C1832" t="s">
        <v>1863</v>
      </c>
      <c r="D1832" t="s">
        <v>1804</v>
      </c>
    </row>
    <row r="1833" spans="1:4" x14ac:dyDescent="0.2">
      <c r="A1833" t="s">
        <v>3720</v>
      </c>
      <c r="B1833" s="2">
        <v>42928</v>
      </c>
      <c r="C1833" t="s">
        <v>3019</v>
      </c>
      <c r="D1833" t="s">
        <v>1807</v>
      </c>
    </row>
    <row r="1834" spans="1:4" x14ac:dyDescent="0.2">
      <c r="A1834" t="s">
        <v>3721</v>
      </c>
      <c r="B1834" s="2">
        <v>43221</v>
      </c>
      <c r="C1834" t="s">
        <v>1902</v>
      </c>
      <c r="D1834" t="s">
        <v>1804</v>
      </c>
    </row>
    <row r="1835" spans="1:4" x14ac:dyDescent="0.2">
      <c r="A1835" t="s">
        <v>3722</v>
      </c>
      <c r="B1835" s="2">
        <v>43172</v>
      </c>
      <c r="C1835" t="s">
        <v>1987</v>
      </c>
      <c r="D1835" t="s">
        <v>1807</v>
      </c>
    </row>
    <row r="1836" spans="1:4" x14ac:dyDescent="0.2">
      <c r="A1836" t="s">
        <v>3723</v>
      </c>
      <c r="B1836" s="2">
        <v>42949</v>
      </c>
      <c r="C1836" t="s">
        <v>3528</v>
      </c>
      <c r="D1836" t="s">
        <v>1031</v>
      </c>
    </row>
    <row r="1837" spans="1:4" x14ac:dyDescent="0.2">
      <c r="A1837" t="s">
        <v>3724</v>
      </c>
      <c r="B1837" s="2">
        <v>43234</v>
      </c>
      <c r="C1837" t="s">
        <v>1863</v>
      </c>
      <c r="D1837" t="s">
        <v>1804</v>
      </c>
    </row>
    <row r="1838" spans="1:4" x14ac:dyDescent="0.2">
      <c r="A1838" t="s">
        <v>3725</v>
      </c>
      <c r="B1838" s="2">
        <v>43242</v>
      </c>
      <c r="C1838" t="s">
        <v>1836</v>
      </c>
      <c r="D1838" t="s">
        <v>1031</v>
      </c>
    </row>
    <row r="1839" spans="1:4" x14ac:dyDescent="0.2">
      <c r="A1839" t="s">
        <v>3726</v>
      </c>
      <c r="B1839" s="2">
        <v>43134</v>
      </c>
      <c r="C1839" t="s">
        <v>1930</v>
      </c>
      <c r="D1839" t="s">
        <v>1807</v>
      </c>
    </row>
    <row r="1840" spans="1:4" x14ac:dyDescent="0.2">
      <c r="A1840" t="s">
        <v>445</v>
      </c>
      <c r="B1840" s="2">
        <v>43251</v>
      </c>
      <c r="C1840" t="s">
        <v>1809</v>
      </c>
      <c r="D1840" t="s">
        <v>1810</v>
      </c>
    </row>
    <row r="1841" spans="1:4" x14ac:dyDescent="0.2">
      <c r="A1841" t="s">
        <v>3727</v>
      </c>
      <c r="B1841" s="2">
        <v>43154</v>
      </c>
      <c r="C1841" t="s">
        <v>1915</v>
      </c>
      <c r="D1841" t="s">
        <v>1031</v>
      </c>
    </row>
    <row r="1842" spans="1:4" x14ac:dyDescent="0.2">
      <c r="A1842" t="s">
        <v>3728</v>
      </c>
      <c r="B1842" s="2">
        <v>43187</v>
      </c>
      <c r="C1842" t="s">
        <v>1885</v>
      </c>
      <c r="D1842" t="s">
        <v>1807</v>
      </c>
    </row>
    <row r="1843" spans="1:4" x14ac:dyDescent="0.2">
      <c r="A1843" t="s">
        <v>3729</v>
      </c>
      <c r="B1843" s="2">
        <v>42943</v>
      </c>
      <c r="C1843" t="s">
        <v>1843</v>
      </c>
      <c r="D1843" t="s">
        <v>1849</v>
      </c>
    </row>
    <row r="1844" spans="1:4" x14ac:dyDescent="0.2">
      <c r="A1844" t="s">
        <v>3730</v>
      </c>
      <c r="B1844" s="2">
        <v>43179</v>
      </c>
      <c r="C1844" t="s">
        <v>1921</v>
      </c>
      <c r="D1844" t="s">
        <v>1840</v>
      </c>
    </row>
    <row r="1845" spans="1:4" x14ac:dyDescent="0.2">
      <c r="A1845" t="s">
        <v>3731</v>
      </c>
      <c r="B1845" s="2">
        <v>43009</v>
      </c>
      <c r="C1845" t="s">
        <v>3732</v>
      </c>
      <c r="D1845" t="s">
        <v>1810</v>
      </c>
    </row>
    <row r="1846" spans="1:4" x14ac:dyDescent="0.2">
      <c r="A1846" t="s">
        <v>3733</v>
      </c>
      <c r="B1846" s="2">
        <v>43136</v>
      </c>
      <c r="C1846" t="s">
        <v>1902</v>
      </c>
      <c r="D1846" t="s">
        <v>1829</v>
      </c>
    </row>
    <row r="1847" spans="1:4" x14ac:dyDescent="0.2">
      <c r="A1847" t="s">
        <v>3734</v>
      </c>
      <c r="B1847" s="2">
        <v>43156</v>
      </c>
      <c r="C1847" t="s">
        <v>2249</v>
      </c>
      <c r="D1847" t="s">
        <v>1804</v>
      </c>
    </row>
    <row r="1848" spans="1:4" x14ac:dyDescent="0.2">
      <c r="A1848" t="s">
        <v>447</v>
      </c>
      <c r="B1848" s="2">
        <v>43237</v>
      </c>
      <c r="C1848" t="s">
        <v>1836</v>
      </c>
      <c r="D1848" t="s">
        <v>1031</v>
      </c>
    </row>
    <row r="1849" spans="1:4" x14ac:dyDescent="0.2">
      <c r="A1849" t="s">
        <v>3735</v>
      </c>
      <c r="B1849" s="2">
        <v>43122</v>
      </c>
      <c r="C1849" t="s">
        <v>1905</v>
      </c>
      <c r="D1849" t="s">
        <v>1810</v>
      </c>
    </row>
    <row r="1850" spans="1:4" x14ac:dyDescent="0.2">
      <c r="A1850" t="s">
        <v>3736</v>
      </c>
      <c r="B1850" s="2">
        <v>43180</v>
      </c>
      <c r="C1850" t="s">
        <v>1836</v>
      </c>
      <c r="D1850" t="s">
        <v>1031</v>
      </c>
    </row>
    <row r="1851" spans="1:4" x14ac:dyDescent="0.2">
      <c r="A1851" t="s">
        <v>3737</v>
      </c>
      <c r="B1851" s="2">
        <v>43177</v>
      </c>
      <c r="C1851" t="s">
        <v>1816</v>
      </c>
      <c r="D1851" t="s">
        <v>1810</v>
      </c>
    </row>
    <row r="1852" spans="1:4" x14ac:dyDescent="0.2">
      <c r="A1852" t="s">
        <v>3738</v>
      </c>
      <c r="B1852" s="2">
        <v>43194</v>
      </c>
      <c r="C1852" t="s">
        <v>1832</v>
      </c>
      <c r="D1852" t="s">
        <v>1807</v>
      </c>
    </row>
    <row r="1853" spans="1:4" x14ac:dyDescent="0.2">
      <c r="A1853" t="s">
        <v>3739</v>
      </c>
      <c r="B1853" s="2">
        <v>43144</v>
      </c>
      <c r="C1853" t="s">
        <v>1836</v>
      </c>
      <c r="D1853" t="s">
        <v>1807</v>
      </c>
    </row>
    <row r="1854" spans="1:4" x14ac:dyDescent="0.2">
      <c r="A1854" t="s">
        <v>3740</v>
      </c>
      <c r="B1854" s="2">
        <v>43229</v>
      </c>
      <c r="C1854" t="s">
        <v>3699</v>
      </c>
      <c r="D1854" t="s">
        <v>1813</v>
      </c>
    </row>
    <row r="1855" spans="1:4" x14ac:dyDescent="0.2">
      <c r="A1855" t="s">
        <v>3741</v>
      </c>
      <c r="B1855" s="2">
        <v>42978</v>
      </c>
      <c r="C1855" t="s">
        <v>1825</v>
      </c>
      <c r="D1855" t="s">
        <v>1810</v>
      </c>
    </row>
    <row r="1856" spans="1:4" x14ac:dyDescent="0.2">
      <c r="A1856" t="s">
        <v>3742</v>
      </c>
      <c r="B1856" s="2">
        <v>43066</v>
      </c>
      <c r="C1856" t="s">
        <v>1930</v>
      </c>
      <c r="D1856" t="s">
        <v>1840</v>
      </c>
    </row>
    <row r="1857" spans="1:4" x14ac:dyDescent="0.2">
      <c r="A1857" t="s">
        <v>3743</v>
      </c>
      <c r="B1857" s="2">
        <v>43245</v>
      </c>
      <c r="C1857" t="s">
        <v>1905</v>
      </c>
      <c r="D1857" t="s">
        <v>1810</v>
      </c>
    </row>
    <row r="1858" spans="1:4" x14ac:dyDescent="0.2">
      <c r="A1858" t="s">
        <v>3744</v>
      </c>
      <c r="B1858" s="2">
        <v>43201</v>
      </c>
      <c r="C1858" t="s">
        <v>1863</v>
      </c>
      <c r="D1858" t="s">
        <v>1804</v>
      </c>
    </row>
    <row r="1859" spans="1:4" x14ac:dyDescent="0.2">
      <c r="A1859" t="s">
        <v>3745</v>
      </c>
      <c r="B1859" s="2">
        <v>43200</v>
      </c>
      <c r="C1859" t="s">
        <v>2196</v>
      </c>
      <c r="D1859" t="s">
        <v>1813</v>
      </c>
    </row>
    <row r="1860" spans="1:4" x14ac:dyDescent="0.2">
      <c r="A1860" t="s">
        <v>3746</v>
      </c>
      <c r="B1860" s="2">
        <v>43156</v>
      </c>
      <c r="C1860" t="s">
        <v>1816</v>
      </c>
      <c r="D1860" t="s">
        <v>1807</v>
      </c>
    </row>
    <row r="1861" spans="1:4" x14ac:dyDescent="0.2">
      <c r="A1861" t="s">
        <v>3747</v>
      </c>
      <c r="B1861" s="2">
        <v>43244</v>
      </c>
      <c r="C1861" t="s">
        <v>2070</v>
      </c>
      <c r="D1861" t="s">
        <v>1813</v>
      </c>
    </row>
    <row r="1862" spans="1:4" x14ac:dyDescent="0.2">
      <c r="A1862" t="s">
        <v>3748</v>
      </c>
      <c r="B1862" s="2">
        <v>43027</v>
      </c>
      <c r="C1862" t="s">
        <v>1889</v>
      </c>
      <c r="D1862" t="s">
        <v>1807</v>
      </c>
    </row>
    <row r="1863" spans="1:4" x14ac:dyDescent="0.2">
      <c r="A1863" t="s">
        <v>3749</v>
      </c>
      <c r="B1863" s="2">
        <v>43150</v>
      </c>
      <c r="C1863" t="s">
        <v>1803</v>
      </c>
      <c r="D1863" t="s">
        <v>1804</v>
      </c>
    </row>
    <row r="1864" spans="1:4" x14ac:dyDescent="0.2">
      <c r="A1864" t="s">
        <v>3750</v>
      </c>
      <c r="B1864" s="2">
        <v>43204</v>
      </c>
      <c r="C1864" t="s">
        <v>1863</v>
      </c>
      <c r="D1864" t="s">
        <v>1804</v>
      </c>
    </row>
    <row r="1865" spans="1:4" x14ac:dyDescent="0.2">
      <c r="A1865" t="s">
        <v>3751</v>
      </c>
      <c r="B1865" s="2">
        <v>42999</v>
      </c>
      <c r="C1865" t="s">
        <v>1894</v>
      </c>
      <c r="D1865" t="s">
        <v>1804</v>
      </c>
    </row>
    <row r="1866" spans="1:4" x14ac:dyDescent="0.2">
      <c r="A1866" t="s">
        <v>3752</v>
      </c>
      <c r="B1866" s="2">
        <v>43143</v>
      </c>
      <c r="C1866" t="s">
        <v>2058</v>
      </c>
      <c r="D1866" t="s">
        <v>1807</v>
      </c>
    </row>
    <row r="1867" spans="1:4" x14ac:dyDescent="0.2">
      <c r="A1867" t="s">
        <v>3753</v>
      </c>
      <c r="B1867" s="2">
        <v>43158</v>
      </c>
      <c r="C1867" t="s">
        <v>1930</v>
      </c>
      <c r="D1867" t="s">
        <v>1807</v>
      </c>
    </row>
    <row r="1868" spans="1:4" x14ac:dyDescent="0.2">
      <c r="A1868" t="s">
        <v>3754</v>
      </c>
      <c r="B1868" s="2">
        <v>43174</v>
      </c>
      <c r="C1868" t="s">
        <v>2048</v>
      </c>
      <c r="D1868" t="s">
        <v>1807</v>
      </c>
    </row>
    <row r="1869" spans="1:4" x14ac:dyDescent="0.2">
      <c r="A1869" t="s">
        <v>3755</v>
      </c>
      <c r="B1869" s="2">
        <v>42933</v>
      </c>
      <c r="C1869" t="s">
        <v>3756</v>
      </c>
      <c r="D1869" t="s">
        <v>1810</v>
      </c>
    </row>
    <row r="1870" spans="1:4" x14ac:dyDescent="0.2">
      <c r="A1870" t="s">
        <v>3757</v>
      </c>
      <c r="B1870" s="2">
        <v>42951</v>
      </c>
      <c r="C1870" t="s">
        <v>3161</v>
      </c>
      <c r="D1870" t="s">
        <v>1813</v>
      </c>
    </row>
    <row r="1871" spans="1:4" x14ac:dyDescent="0.2">
      <c r="A1871" t="s">
        <v>3758</v>
      </c>
      <c r="B1871" s="2">
        <v>43228</v>
      </c>
      <c r="C1871" t="s">
        <v>2521</v>
      </c>
      <c r="D1871" t="s">
        <v>1813</v>
      </c>
    </row>
    <row r="1872" spans="1:4" x14ac:dyDescent="0.2">
      <c r="A1872" t="s">
        <v>3759</v>
      </c>
      <c r="B1872" s="2">
        <v>43230</v>
      </c>
      <c r="C1872" t="s">
        <v>1863</v>
      </c>
      <c r="D1872" t="s">
        <v>1804</v>
      </c>
    </row>
    <row r="1873" spans="1:4" x14ac:dyDescent="0.2">
      <c r="A1873" t="s">
        <v>3760</v>
      </c>
      <c r="B1873" s="2">
        <v>43175</v>
      </c>
      <c r="C1873" t="s">
        <v>1816</v>
      </c>
      <c r="D1873" t="s">
        <v>1810</v>
      </c>
    </row>
    <row r="1874" spans="1:4" x14ac:dyDescent="0.2">
      <c r="A1874" t="s">
        <v>3761</v>
      </c>
      <c r="B1874" s="2">
        <v>43012</v>
      </c>
      <c r="C1874" t="s">
        <v>1814</v>
      </c>
      <c r="D1874" t="s">
        <v>1810</v>
      </c>
    </row>
    <row r="1875" spans="1:4" x14ac:dyDescent="0.2">
      <c r="A1875" t="s">
        <v>3762</v>
      </c>
      <c r="B1875" s="2">
        <v>43165</v>
      </c>
      <c r="C1875" t="s">
        <v>2048</v>
      </c>
      <c r="D1875" t="s">
        <v>1031</v>
      </c>
    </row>
    <row r="1876" spans="1:4" x14ac:dyDescent="0.2">
      <c r="A1876" t="s">
        <v>3763</v>
      </c>
      <c r="B1876" s="2">
        <v>43227</v>
      </c>
      <c r="C1876" t="s">
        <v>1930</v>
      </c>
      <c r="D1876" t="s">
        <v>1807</v>
      </c>
    </row>
    <row r="1877" spans="1:4" x14ac:dyDescent="0.2">
      <c r="A1877" t="s">
        <v>3764</v>
      </c>
      <c r="B1877" s="2">
        <v>43150</v>
      </c>
      <c r="C1877" t="s">
        <v>2216</v>
      </c>
      <c r="D1877" t="s">
        <v>1807</v>
      </c>
    </row>
    <row r="1878" spans="1:4" x14ac:dyDescent="0.2">
      <c r="A1878" t="s">
        <v>3765</v>
      </c>
      <c r="B1878" s="2">
        <v>43227</v>
      </c>
      <c r="C1878" t="s">
        <v>1857</v>
      </c>
      <c r="D1878" t="s">
        <v>1804</v>
      </c>
    </row>
    <row r="1879" spans="1:4" x14ac:dyDescent="0.2">
      <c r="A1879" t="s">
        <v>3766</v>
      </c>
      <c r="B1879" s="2">
        <v>43189</v>
      </c>
      <c r="C1879" t="s">
        <v>1863</v>
      </c>
      <c r="D1879" t="s">
        <v>1804</v>
      </c>
    </row>
    <row r="1880" spans="1:4" x14ac:dyDescent="0.2">
      <c r="A1880" t="s">
        <v>449</v>
      </c>
      <c r="B1880" s="2">
        <v>43127</v>
      </c>
      <c r="C1880" t="s">
        <v>1816</v>
      </c>
      <c r="D1880" t="s">
        <v>1810</v>
      </c>
    </row>
    <row r="1881" spans="1:4" x14ac:dyDescent="0.2">
      <c r="A1881" t="s">
        <v>3767</v>
      </c>
      <c r="B1881" s="2">
        <v>42921</v>
      </c>
      <c r="C1881" t="s">
        <v>1806</v>
      </c>
      <c r="D1881" t="s">
        <v>1849</v>
      </c>
    </row>
    <row r="1882" spans="1:4" x14ac:dyDescent="0.2">
      <c r="A1882" t="s">
        <v>3768</v>
      </c>
      <c r="B1882" s="2">
        <v>43111</v>
      </c>
      <c r="C1882" t="s">
        <v>1885</v>
      </c>
      <c r="D1882" t="s">
        <v>1807</v>
      </c>
    </row>
    <row r="1883" spans="1:4" x14ac:dyDescent="0.2">
      <c r="A1883" t="s">
        <v>3769</v>
      </c>
      <c r="B1883" s="2">
        <v>43007</v>
      </c>
      <c r="C1883" t="s">
        <v>2576</v>
      </c>
      <c r="D1883" t="s">
        <v>1031</v>
      </c>
    </row>
    <row r="1884" spans="1:4" x14ac:dyDescent="0.2">
      <c r="A1884" t="s">
        <v>3770</v>
      </c>
      <c r="B1884" s="2">
        <v>43048</v>
      </c>
      <c r="C1884" t="s">
        <v>1816</v>
      </c>
      <c r="D1884" t="s">
        <v>1813</v>
      </c>
    </row>
    <row r="1885" spans="1:4" x14ac:dyDescent="0.2">
      <c r="A1885" t="s">
        <v>3771</v>
      </c>
      <c r="B1885" s="2">
        <v>43236</v>
      </c>
      <c r="C1885" t="s">
        <v>1905</v>
      </c>
      <c r="D1885" t="s">
        <v>1810</v>
      </c>
    </row>
    <row r="1886" spans="1:4" x14ac:dyDescent="0.2">
      <c r="A1886" t="s">
        <v>451</v>
      </c>
      <c r="B1886" s="2">
        <v>42930</v>
      </c>
      <c r="C1886" t="s">
        <v>1836</v>
      </c>
      <c r="D1886" t="s">
        <v>1031</v>
      </c>
    </row>
    <row r="1887" spans="1:4" x14ac:dyDescent="0.2">
      <c r="A1887" t="s">
        <v>3772</v>
      </c>
      <c r="B1887" s="2">
        <v>43174</v>
      </c>
      <c r="C1887" t="s">
        <v>3773</v>
      </c>
      <c r="D1887" t="s">
        <v>1031</v>
      </c>
    </row>
    <row r="1888" spans="1:4" x14ac:dyDescent="0.2">
      <c r="A1888" t="s">
        <v>3774</v>
      </c>
      <c r="B1888" s="2">
        <v>43222</v>
      </c>
      <c r="C1888" t="s">
        <v>1930</v>
      </c>
      <c r="D1888" t="s">
        <v>1807</v>
      </c>
    </row>
    <row r="1889" spans="1:4" x14ac:dyDescent="0.2">
      <c r="A1889" t="s">
        <v>3775</v>
      </c>
      <c r="B1889" s="2">
        <v>43216</v>
      </c>
      <c r="C1889" t="s">
        <v>1816</v>
      </c>
      <c r="D1889" t="s">
        <v>1810</v>
      </c>
    </row>
    <row r="1890" spans="1:4" x14ac:dyDescent="0.2">
      <c r="A1890" t="s">
        <v>3776</v>
      </c>
      <c r="B1890" s="2">
        <v>43148</v>
      </c>
      <c r="C1890" t="s">
        <v>1803</v>
      </c>
      <c r="D1890" t="s">
        <v>1804</v>
      </c>
    </row>
    <row r="1891" spans="1:4" x14ac:dyDescent="0.2">
      <c r="A1891" t="s">
        <v>453</v>
      </c>
      <c r="B1891" s="2">
        <v>43181</v>
      </c>
      <c r="C1891" t="s">
        <v>2000</v>
      </c>
      <c r="D1891" t="s">
        <v>1807</v>
      </c>
    </row>
    <row r="1892" spans="1:4" x14ac:dyDescent="0.2">
      <c r="A1892" t="s">
        <v>3777</v>
      </c>
      <c r="B1892" s="2">
        <v>43014</v>
      </c>
      <c r="C1892" t="s">
        <v>1900</v>
      </c>
      <c r="D1892" t="s">
        <v>160</v>
      </c>
    </row>
    <row r="1893" spans="1:4" x14ac:dyDescent="0.2">
      <c r="A1893" t="s">
        <v>3778</v>
      </c>
      <c r="B1893" s="2">
        <v>43152</v>
      </c>
      <c r="C1893" t="s">
        <v>1854</v>
      </c>
      <c r="D1893" t="s">
        <v>1807</v>
      </c>
    </row>
    <row r="1894" spans="1:4" x14ac:dyDescent="0.2">
      <c r="A1894" t="s">
        <v>3779</v>
      </c>
      <c r="B1894" s="2">
        <v>43212</v>
      </c>
      <c r="C1894" t="s">
        <v>1863</v>
      </c>
      <c r="D1894" t="s">
        <v>1804</v>
      </c>
    </row>
    <row r="1895" spans="1:4" x14ac:dyDescent="0.2">
      <c r="A1895" t="s">
        <v>3780</v>
      </c>
      <c r="B1895" s="2">
        <v>43234</v>
      </c>
      <c r="C1895" t="s">
        <v>2070</v>
      </c>
      <c r="D1895" t="s">
        <v>1813</v>
      </c>
    </row>
    <row r="1896" spans="1:4" x14ac:dyDescent="0.2">
      <c r="A1896" t="s">
        <v>3781</v>
      </c>
      <c r="B1896" s="2">
        <v>43192</v>
      </c>
      <c r="C1896" t="s">
        <v>1863</v>
      </c>
      <c r="D1896" t="s">
        <v>1804</v>
      </c>
    </row>
    <row r="1897" spans="1:4" x14ac:dyDescent="0.2">
      <c r="A1897" t="s">
        <v>3782</v>
      </c>
      <c r="B1897" s="2">
        <v>43213</v>
      </c>
      <c r="C1897" t="s">
        <v>2158</v>
      </c>
      <c r="D1897" t="s">
        <v>1813</v>
      </c>
    </row>
    <row r="1898" spans="1:4" x14ac:dyDescent="0.2">
      <c r="A1898" t="s">
        <v>3783</v>
      </c>
      <c r="B1898" s="2">
        <v>43135</v>
      </c>
      <c r="C1898" t="s">
        <v>1987</v>
      </c>
      <c r="D1898" t="s">
        <v>1807</v>
      </c>
    </row>
    <row r="1899" spans="1:4" x14ac:dyDescent="0.2">
      <c r="A1899" t="s">
        <v>3784</v>
      </c>
      <c r="B1899" s="2">
        <v>43086</v>
      </c>
      <c r="C1899" t="s">
        <v>2407</v>
      </c>
      <c r="D1899" t="s">
        <v>1031</v>
      </c>
    </row>
    <row r="1900" spans="1:4" x14ac:dyDescent="0.2">
      <c r="A1900" t="s">
        <v>3785</v>
      </c>
      <c r="B1900" s="2">
        <v>43171</v>
      </c>
      <c r="C1900" t="s">
        <v>2045</v>
      </c>
      <c r="D1900" t="s">
        <v>1807</v>
      </c>
    </row>
    <row r="1901" spans="1:4" x14ac:dyDescent="0.2">
      <c r="A1901" t="s">
        <v>3786</v>
      </c>
      <c r="B1901" s="2">
        <v>43181</v>
      </c>
      <c r="C1901" t="s">
        <v>2535</v>
      </c>
      <c r="D1901" t="s">
        <v>1807</v>
      </c>
    </row>
    <row r="1902" spans="1:4" x14ac:dyDescent="0.2">
      <c r="A1902" t="s">
        <v>3787</v>
      </c>
      <c r="B1902" s="2">
        <v>43251</v>
      </c>
      <c r="C1902" t="s">
        <v>1863</v>
      </c>
      <c r="D1902" t="s">
        <v>1804</v>
      </c>
    </row>
    <row r="1903" spans="1:4" x14ac:dyDescent="0.2">
      <c r="A1903" t="s">
        <v>3788</v>
      </c>
      <c r="B1903" s="2">
        <v>43222</v>
      </c>
      <c r="C1903" t="s">
        <v>1863</v>
      </c>
      <c r="D1903" t="s">
        <v>1804</v>
      </c>
    </row>
    <row r="1904" spans="1:4" x14ac:dyDescent="0.2">
      <c r="A1904" t="s">
        <v>3789</v>
      </c>
      <c r="B1904" s="2">
        <v>43228</v>
      </c>
      <c r="C1904" t="s">
        <v>1816</v>
      </c>
      <c r="D1904" t="s">
        <v>1813</v>
      </c>
    </row>
    <row r="1905" spans="1:4" x14ac:dyDescent="0.2">
      <c r="A1905" t="s">
        <v>3790</v>
      </c>
      <c r="B1905" s="2">
        <v>43132</v>
      </c>
      <c r="C1905" t="s">
        <v>2716</v>
      </c>
      <c r="D1905" t="s">
        <v>1810</v>
      </c>
    </row>
    <row r="1906" spans="1:4" x14ac:dyDescent="0.2">
      <c r="A1906" t="s">
        <v>3791</v>
      </c>
      <c r="B1906" s="2">
        <v>43096</v>
      </c>
      <c r="C1906" t="s">
        <v>1987</v>
      </c>
      <c r="D1906" t="s">
        <v>1807</v>
      </c>
    </row>
    <row r="1907" spans="1:4" x14ac:dyDescent="0.2">
      <c r="A1907" t="s">
        <v>455</v>
      </c>
      <c r="B1907" s="2">
        <v>43213</v>
      </c>
      <c r="C1907" t="s">
        <v>1930</v>
      </c>
      <c r="D1907" t="s">
        <v>1807</v>
      </c>
    </row>
    <row r="1908" spans="1:4" x14ac:dyDescent="0.2">
      <c r="A1908" t="s">
        <v>3792</v>
      </c>
      <c r="B1908" s="2">
        <v>43103</v>
      </c>
      <c r="C1908" t="s">
        <v>1930</v>
      </c>
      <c r="D1908" t="s">
        <v>1807</v>
      </c>
    </row>
    <row r="1909" spans="1:4" x14ac:dyDescent="0.2">
      <c r="A1909" t="s">
        <v>457</v>
      </c>
      <c r="B1909" s="2">
        <v>43130</v>
      </c>
      <c r="C1909" t="s">
        <v>1836</v>
      </c>
      <c r="D1909" t="s">
        <v>1810</v>
      </c>
    </row>
    <row r="1910" spans="1:4" x14ac:dyDescent="0.2">
      <c r="A1910" t="s">
        <v>3793</v>
      </c>
      <c r="B1910" s="2">
        <v>43168</v>
      </c>
      <c r="C1910" t="s">
        <v>1825</v>
      </c>
      <c r="D1910" t="s">
        <v>1810</v>
      </c>
    </row>
    <row r="1911" spans="1:4" x14ac:dyDescent="0.2">
      <c r="A1911" t="s">
        <v>3794</v>
      </c>
      <c r="B1911" s="2">
        <v>43176</v>
      </c>
      <c r="C1911" t="s">
        <v>2303</v>
      </c>
      <c r="D1911" t="s">
        <v>1810</v>
      </c>
    </row>
    <row r="1912" spans="1:4" x14ac:dyDescent="0.2">
      <c r="A1912" t="s">
        <v>3795</v>
      </c>
      <c r="B1912" s="2">
        <v>43196</v>
      </c>
      <c r="C1912" t="s">
        <v>2163</v>
      </c>
      <c r="D1912" t="s">
        <v>1840</v>
      </c>
    </row>
    <row r="1913" spans="1:4" x14ac:dyDescent="0.2">
      <c r="A1913" t="s">
        <v>459</v>
      </c>
      <c r="B1913" s="2">
        <v>43194</v>
      </c>
      <c r="C1913" t="s">
        <v>1816</v>
      </c>
      <c r="D1913" t="s">
        <v>1810</v>
      </c>
    </row>
    <row r="1914" spans="1:4" x14ac:dyDescent="0.2">
      <c r="A1914" t="s">
        <v>3796</v>
      </c>
      <c r="B1914" s="2">
        <v>43195</v>
      </c>
      <c r="C1914" t="s">
        <v>1834</v>
      </c>
      <c r="D1914" t="s">
        <v>1810</v>
      </c>
    </row>
    <row r="1915" spans="1:4" x14ac:dyDescent="0.2">
      <c r="A1915" t="s">
        <v>3797</v>
      </c>
      <c r="B1915" s="2">
        <v>43210</v>
      </c>
      <c r="C1915" t="s">
        <v>1832</v>
      </c>
      <c r="D1915" t="s">
        <v>1810</v>
      </c>
    </row>
    <row r="1916" spans="1:4" x14ac:dyDescent="0.2">
      <c r="A1916" t="s">
        <v>3798</v>
      </c>
      <c r="B1916" s="2">
        <v>43218</v>
      </c>
      <c r="C1916" t="s">
        <v>1875</v>
      </c>
      <c r="D1916" t="s">
        <v>1031</v>
      </c>
    </row>
    <row r="1917" spans="1:4" x14ac:dyDescent="0.2">
      <c r="A1917" t="s">
        <v>3799</v>
      </c>
      <c r="B1917" s="2">
        <v>42931</v>
      </c>
      <c r="C1917" t="s">
        <v>3800</v>
      </c>
      <c r="D1917" t="s">
        <v>1810</v>
      </c>
    </row>
    <row r="1918" spans="1:4" x14ac:dyDescent="0.2">
      <c r="A1918" t="s">
        <v>3801</v>
      </c>
      <c r="B1918" s="2">
        <v>43206</v>
      </c>
      <c r="C1918" t="s">
        <v>1831</v>
      </c>
      <c r="D1918" t="s">
        <v>160</v>
      </c>
    </row>
    <row r="1919" spans="1:4" x14ac:dyDescent="0.2">
      <c r="A1919" t="s">
        <v>3802</v>
      </c>
      <c r="B1919" s="2">
        <v>43153</v>
      </c>
      <c r="C1919" t="s">
        <v>1836</v>
      </c>
      <c r="D1919" t="s">
        <v>1807</v>
      </c>
    </row>
    <row r="1920" spans="1:4" x14ac:dyDescent="0.2">
      <c r="A1920" t="s">
        <v>3803</v>
      </c>
      <c r="B1920" s="2">
        <v>43026</v>
      </c>
      <c r="C1920" t="s">
        <v>2657</v>
      </c>
      <c r="D1920" t="s">
        <v>1810</v>
      </c>
    </row>
    <row r="1921" spans="1:4" x14ac:dyDescent="0.2">
      <c r="A1921" t="s">
        <v>3804</v>
      </c>
      <c r="B1921" s="2">
        <v>43195</v>
      </c>
      <c r="C1921" t="s">
        <v>1816</v>
      </c>
      <c r="D1921" t="s">
        <v>1807</v>
      </c>
    </row>
    <row r="1922" spans="1:4" x14ac:dyDescent="0.2">
      <c r="A1922" t="s">
        <v>3805</v>
      </c>
      <c r="B1922" s="2">
        <v>43226</v>
      </c>
      <c r="C1922" t="s">
        <v>1863</v>
      </c>
      <c r="D1922" t="s">
        <v>1804</v>
      </c>
    </row>
    <row r="1923" spans="1:4" x14ac:dyDescent="0.2">
      <c r="A1923" t="s">
        <v>3806</v>
      </c>
      <c r="B1923" s="2">
        <v>43157</v>
      </c>
      <c r="C1923" t="s">
        <v>1836</v>
      </c>
      <c r="D1923" t="s">
        <v>1840</v>
      </c>
    </row>
    <row r="1924" spans="1:4" x14ac:dyDescent="0.2">
      <c r="A1924" t="s">
        <v>3807</v>
      </c>
      <c r="B1924" s="2">
        <v>42977</v>
      </c>
      <c r="C1924" t="s">
        <v>1892</v>
      </c>
      <c r="D1924" t="s">
        <v>1810</v>
      </c>
    </row>
    <row r="1925" spans="1:4" x14ac:dyDescent="0.2">
      <c r="A1925" t="s">
        <v>3808</v>
      </c>
      <c r="B1925" s="2">
        <v>43103</v>
      </c>
      <c r="C1925" t="s">
        <v>1809</v>
      </c>
      <c r="D1925" t="s">
        <v>1810</v>
      </c>
    </row>
    <row r="1926" spans="1:4" x14ac:dyDescent="0.2">
      <c r="A1926" t="s">
        <v>3809</v>
      </c>
      <c r="B1926" s="2">
        <v>43233</v>
      </c>
      <c r="C1926" t="s">
        <v>1905</v>
      </c>
      <c r="D1926" t="s">
        <v>1810</v>
      </c>
    </row>
    <row r="1927" spans="1:4" x14ac:dyDescent="0.2">
      <c r="A1927" t="s">
        <v>3810</v>
      </c>
      <c r="B1927" s="2">
        <v>43031</v>
      </c>
      <c r="C1927" t="s">
        <v>2131</v>
      </c>
      <c r="D1927" t="s">
        <v>1807</v>
      </c>
    </row>
    <row r="1928" spans="1:4" x14ac:dyDescent="0.2">
      <c r="A1928" t="s">
        <v>3811</v>
      </c>
      <c r="B1928" s="2">
        <v>43151</v>
      </c>
      <c r="C1928" t="s">
        <v>2591</v>
      </c>
      <c r="D1928" t="s">
        <v>1813</v>
      </c>
    </row>
    <row r="1929" spans="1:4" x14ac:dyDescent="0.2">
      <c r="A1929" t="s">
        <v>3812</v>
      </c>
      <c r="B1929" s="2">
        <v>43104</v>
      </c>
      <c r="C1929" t="s">
        <v>1803</v>
      </c>
      <c r="D1929" t="s">
        <v>1804</v>
      </c>
    </row>
    <row r="1930" spans="1:4" x14ac:dyDescent="0.2">
      <c r="A1930" t="s">
        <v>3813</v>
      </c>
      <c r="B1930" s="2">
        <v>43032</v>
      </c>
      <c r="C1930" t="s">
        <v>3419</v>
      </c>
      <c r="D1930" t="s">
        <v>1840</v>
      </c>
    </row>
    <row r="1931" spans="1:4" x14ac:dyDescent="0.2">
      <c r="A1931" t="s">
        <v>3814</v>
      </c>
      <c r="B1931" s="2">
        <v>43109</v>
      </c>
      <c r="C1931" t="s">
        <v>1803</v>
      </c>
      <c r="D1931" t="s">
        <v>1804</v>
      </c>
    </row>
    <row r="1932" spans="1:4" x14ac:dyDescent="0.2">
      <c r="A1932" t="s">
        <v>3815</v>
      </c>
      <c r="B1932" s="2">
        <v>43180</v>
      </c>
      <c r="C1932" t="s">
        <v>1930</v>
      </c>
      <c r="D1932" t="s">
        <v>1807</v>
      </c>
    </row>
    <row r="1933" spans="1:4" x14ac:dyDescent="0.2">
      <c r="A1933" t="s">
        <v>3816</v>
      </c>
      <c r="B1933" s="2">
        <v>43045</v>
      </c>
      <c r="C1933" t="s">
        <v>1867</v>
      </c>
      <c r="D1933" t="s">
        <v>1829</v>
      </c>
    </row>
    <row r="1934" spans="1:4" x14ac:dyDescent="0.2">
      <c r="A1934" t="s">
        <v>3817</v>
      </c>
      <c r="B1934" s="2">
        <v>43031</v>
      </c>
      <c r="C1934" t="s">
        <v>2657</v>
      </c>
      <c r="D1934" t="s">
        <v>1840</v>
      </c>
    </row>
    <row r="1935" spans="1:4" x14ac:dyDescent="0.2">
      <c r="A1935" t="s">
        <v>3818</v>
      </c>
      <c r="B1935" s="2">
        <v>43194</v>
      </c>
      <c r="C1935" t="s">
        <v>1930</v>
      </c>
      <c r="D1935" t="s">
        <v>1804</v>
      </c>
    </row>
    <row r="1936" spans="1:4" x14ac:dyDescent="0.2">
      <c r="A1936" t="s">
        <v>3819</v>
      </c>
      <c r="B1936" s="2">
        <v>42976</v>
      </c>
      <c r="C1936" t="s">
        <v>1843</v>
      </c>
      <c r="D1936" t="s">
        <v>1807</v>
      </c>
    </row>
    <row r="1937" spans="1:4" x14ac:dyDescent="0.2">
      <c r="A1937" t="s">
        <v>3820</v>
      </c>
      <c r="B1937" s="2">
        <v>43113</v>
      </c>
      <c r="C1937" t="s">
        <v>1816</v>
      </c>
      <c r="D1937" t="s">
        <v>1829</v>
      </c>
    </row>
    <row r="1938" spans="1:4" x14ac:dyDescent="0.2">
      <c r="A1938" t="s">
        <v>3821</v>
      </c>
      <c r="B1938" s="2">
        <v>43039</v>
      </c>
      <c r="C1938" t="s">
        <v>1939</v>
      </c>
      <c r="D1938" t="s">
        <v>1810</v>
      </c>
    </row>
    <row r="1939" spans="1:4" x14ac:dyDescent="0.2">
      <c r="A1939" t="s">
        <v>3822</v>
      </c>
      <c r="B1939" s="2">
        <v>43126</v>
      </c>
      <c r="C1939" t="s">
        <v>1816</v>
      </c>
      <c r="D1939" t="s">
        <v>1829</v>
      </c>
    </row>
    <row r="1940" spans="1:4" x14ac:dyDescent="0.2">
      <c r="A1940" t="s">
        <v>461</v>
      </c>
      <c r="B1940" s="2">
        <v>43123</v>
      </c>
      <c r="C1940" t="s">
        <v>2242</v>
      </c>
      <c r="D1940" t="s">
        <v>1840</v>
      </c>
    </row>
    <row r="1941" spans="1:4" x14ac:dyDescent="0.2">
      <c r="A1941" t="s">
        <v>463</v>
      </c>
      <c r="B1941" s="2">
        <v>43194</v>
      </c>
      <c r="C1941" t="s">
        <v>1836</v>
      </c>
      <c r="D1941" t="s">
        <v>1031</v>
      </c>
    </row>
    <row r="1942" spans="1:4" x14ac:dyDescent="0.2">
      <c r="A1942" t="s">
        <v>3823</v>
      </c>
      <c r="B1942" s="2">
        <v>43206</v>
      </c>
      <c r="C1942" t="s">
        <v>3824</v>
      </c>
      <c r="D1942" t="s">
        <v>1813</v>
      </c>
    </row>
    <row r="1943" spans="1:4" x14ac:dyDescent="0.2">
      <c r="A1943" t="s">
        <v>3825</v>
      </c>
      <c r="B1943" s="2">
        <v>43137</v>
      </c>
      <c r="C1943" t="s">
        <v>1836</v>
      </c>
      <c r="D1943" t="s">
        <v>1031</v>
      </c>
    </row>
    <row r="1944" spans="1:4" x14ac:dyDescent="0.2">
      <c r="A1944" t="s">
        <v>3826</v>
      </c>
      <c r="B1944" s="2">
        <v>43137</v>
      </c>
      <c r="C1944" t="s">
        <v>3827</v>
      </c>
      <c r="D1944" t="s">
        <v>1813</v>
      </c>
    </row>
    <row r="1945" spans="1:4" x14ac:dyDescent="0.2">
      <c r="A1945" t="s">
        <v>465</v>
      </c>
      <c r="B1945" s="2">
        <v>42966</v>
      </c>
      <c r="C1945" t="s">
        <v>1894</v>
      </c>
      <c r="D1945" t="s">
        <v>1031</v>
      </c>
    </row>
    <row r="1946" spans="1:4" x14ac:dyDescent="0.2">
      <c r="A1946" t="s">
        <v>3828</v>
      </c>
      <c r="B1946" s="2">
        <v>42940</v>
      </c>
      <c r="C1946" t="s">
        <v>2433</v>
      </c>
      <c r="D1946" t="s">
        <v>1804</v>
      </c>
    </row>
    <row r="1947" spans="1:4" x14ac:dyDescent="0.2">
      <c r="A1947" t="s">
        <v>3829</v>
      </c>
      <c r="B1947" s="2">
        <v>43105</v>
      </c>
      <c r="C1947" t="s">
        <v>3830</v>
      </c>
      <c r="D1947" t="s">
        <v>1810</v>
      </c>
    </row>
    <row r="1948" spans="1:4" x14ac:dyDescent="0.2">
      <c r="A1948" t="s">
        <v>3831</v>
      </c>
      <c r="B1948" s="2">
        <v>43158</v>
      </c>
      <c r="C1948" t="s">
        <v>1816</v>
      </c>
      <c r="D1948" t="s">
        <v>1807</v>
      </c>
    </row>
    <row r="1949" spans="1:4" x14ac:dyDescent="0.2">
      <c r="A1949" t="s">
        <v>3832</v>
      </c>
      <c r="B1949" s="2">
        <v>43231</v>
      </c>
      <c r="C1949" t="s">
        <v>1836</v>
      </c>
      <c r="D1949" t="s">
        <v>1031</v>
      </c>
    </row>
    <row r="1950" spans="1:4" x14ac:dyDescent="0.2">
      <c r="A1950" t="s">
        <v>3833</v>
      </c>
      <c r="B1950" s="2">
        <v>42972</v>
      </c>
      <c r="C1950" t="s">
        <v>1894</v>
      </c>
      <c r="D1950" t="s">
        <v>1804</v>
      </c>
    </row>
    <row r="1951" spans="1:4" x14ac:dyDescent="0.2">
      <c r="A1951" t="s">
        <v>3834</v>
      </c>
      <c r="B1951" s="2">
        <v>43232</v>
      </c>
      <c r="C1951" t="s">
        <v>1915</v>
      </c>
      <c r="D1951" t="s">
        <v>1807</v>
      </c>
    </row>
    <row r="1952" spans="1:4" x14ac:dyDescent="0.2">
      <c r="A1952" t="s">
        <v>3835</v>
      </c>
      <c r="B1952" s="2">
        <v>43110</v>
      </c>
      <c r="C1952" t="s">
        <v>1816</v>
      </c>
      <c r="D1952" t="s">
        <v>1810</v>
      </c>
    </row>
    <row r="1953" spans="1:4" x14ac:dyDescent="0.2">
      <c r="A1953" t="s">
        <v>3836</v>
      </c>
      <c r="B1953" s="2">
        <v>43217</v>
      </c>
      <c r="C1953" t="s">
        <v>1845</v>
      </c>
      <c r="D1953" t="s">
        <v>1810</v>
      </c>
    </row>
    <row r="1954" spans="1:4" x14ac:dyDescent="0.2">
      <c r="A1954" t="s">
        <v>3837</v>
      </c>
      <c r="B1954" s="2">
        <v>43077</v>
      </c>
      <c r="C1954" t="s">
        <v>1939</v>
      </c>
      <c r="D1954" t="s">
        <v>1810</v>
      </c>
    </row>
    <row r="1955" spans="1:4" x14ac:dyDescent="0.2">
      <c r="A1955" t="s">
        <v>467</v>
      </c>
      <c r="B1955" s="2">
        <v>43120</v>
      </c>
      <c r="C1955" t="s">
        <v>1803</v>
      </c>
      <c r="D1955" t="s">
        <v>1804</v>
      </c>
    </row>
    <row r="1956" spans="1:4" x14ac:dyDescent="0.2">
      <c r="A1956" t="s">
        <v>3838</v>
      </c>
      <c r="B1956" s="2">
        <v>43157</v>
      </c>
      <c r="C1956" t="s">
        <v>2318</v>
      </c>
      <c r="D1956" t="s">
        <v>1804</v>
      </c>
    </row>
    <row r="1957" spans="1:4" x14ac:dyDescent="0.2">
      <c r="A1957" t="s">
        <v>3839</v>
      </c>
      <c r="B1957" s="2">
        <v>43151</v>
      </c>
      <c r="C1957" t="s">
        <v>1836</v>
      </c>
      <c r="D1957" t="s">
        <v>1031</v>
      </c>
    </row>
    <row r="1958" spans="1:4" x14ac:dyDescent="0.2">
      <c r="A1958" t="s">
        <v>3840</v>
      </c>
      <c r="B1958" s="2">
        <v>43248</v>
      </c>
      <c r="C1958" t="s">
        <v>1867</v>
      </c>
      <c r="D1958" t="s">
        <v>1807</v>
      </c>
    </row>
    <row r="1959" spans="1:4" x14ac:dyDescent="0.2">
      <c r="A1959" t="s">
        <v>3841</v>
      </c>
      <c r="B1959" s="2">
        <v>43109</v>
      </c>
      <c r="C1959" t="s">
        <v>1809</v>
      </c>
      <c r="D1959" t="s">
        <v>1810</v>
      </c>
    </row>
    <row r="1960" spans="1:4" x14ac:dyDescent="0.2">
      <c r="A1960" t="s">
        <v>3842</v>
      </c>
      <c r="B1960" s="2">
        <v>43223</v>
      </c>
      <c r="C1960" t="s">
        <v>2182</v>
      </c>
      <c r="D1960" t="s">
        <v>1804</v>
      </c>
    </row>
    <row r="1961" spans="1:4" x14ac:dyDescent="0.2">
      <c r="A1961" t="s">
        <v>3843</v>
      </c>
      <c r="B1961" s="2">
        <v>43129</v>
      </c>
      <c r="C1961" t="s">
        <v>1836</v>
      </c>
      <c r="D1961" t="s">
        <v>1810</v>
      </c>
    </row>
    <row r="1962" spans="1:4" x14ac:dyDescent="0.2">
      <c r="A1962" t="s">
        <v>3844</v>
      </c>
      <c r="B1962" s="2">
        <v>43242</v>
      </c>
      <c r="C1962" t="s">
        <v>1863</v>
      </c>
      <c r="D1962" t="s">
        <v>1810</v>
      </c>
    </row>
    <row r="1963" spans="1:4" x14ac:dyDescent="0.2">
      <c r="A1963" t="s">
        <v>3845</v>
      </c>
      <c r="B1963" s="2">
        <v>43228</v>
      </c>
      <c r="C1963" t="s">
        <v>2831</v>
      </c>
      <c r="D1963" t="s">
        <v>1807</v>
      </c>
    </row>
    <row r="1964" spans="1:4" x14ac:dyDescent="0.2">
      <c r="A1964" t="s">
        <v>3846</v>
      </c>
      <c r="B1964" s="2">
        <v>43173</v>
      </c>
      <c r="C1964" t="s">
        <v>2019</v>
      </c>
      <c r="D1964" t="s">
        <v>1807</v>
      </c>
    </row>
    <row r="1965" spans="1:4" x14ac:dyDescent="0.2">
      <c r="A1965" t="s">
        <v>3847</v>
      </c>
      <c r="B1965" s="2">
        <v>43031</v>
      </c>
      <c r="C1965" t="s">
        <v>2131</v>
      </c>
      <c r="D1965" t="s">
        <v>1807</v>
      </c>
    </row>
    <row r="1966" spans="1:4" x14ac:dyDescent="0.2">
      <c r="A1966" t="s">
        <v>469</v>
      </c>
      <c r="B1966" s="2">
        <v>43242</v>
      </c>
      <c r="C1966" t="s">
        <v>1816</v>
      </c>
      <c r="D1966" t="s">
        <v>1810</v>
      </c>
    </row>
    <row r="1967" spans="1:4" x14ac:dyDescent="0.2">
      <c r="A1967" t="s">
        <v>3848</v>
      </c>
      <c r="B1967" s="2">
        <v>43206</v>
      </c>
      <c r="C1967" t="s">
        <v>1878</v>
      </c>
      <c r="D1967" t="s">
        <v>1810</v>
      </c>
    </row>
    <row r="1968" spans="1:4" x14ac:dyDescent="0.2">
      <c r="A1968" t="s">
        <v>3849</v>
      </c>
      <c r="B1968" s="2">
        <v>43230</v>
      </c>
      <c r="C1968" t="s">
        <v>1863</v>
      </c>
      <c r="D1968" t="s">
        <v>1804</v>
      </c>
    </row>
    <row r="1969" spans="1:4" x14ac:dyDescent="0.2">
      <c r="A1969" t="s">
        <v>3850</v>
      </c>
      <c r="B1969" s="2">
        <v>43195</v>
      </c>
      <c r="C1969" t="s">
        <v>1867</v>
      </c>
      <c r="D1969" t="s">
        <v>1804</v>
      </c>
    </row>
    <row r="1970" spans="1:4" x14ac:dyDescent="0.2">
      <c r="A1970" t="s">
        <v>3851</v>
      </c>
      <c r="B1970" s="2">
        <v>43032</v>
      </c>
      <c r="C1970" t="s">
        <v>2152</v>
      </c>
      <c r="D1970" t="s">
        <v>1910</v>
      </c>
    </row>
    <row r="1971" spans="1:4" x14ac:dyDescent="0.2">
      <c r="A1971" t="s">
        <v>3852</v>
      </c>
      <c r="B1971" s="2">
        <v>43052</v>
      </c>
      <c r="C1971" t="s">
        <v>1939</v>
      </c>
      <c r="D1971" t="s">
        <v>1804</v>
      </c>
    </row>
    <row r="1972" spans="1:4" x14ac:dyDescent="0.2">
      <c r="A1972" t="s">
        <v>3853</v>
      </c>
      <c r="B1972" s="2">
        <v>43227</v>
      </c>
      <c r="C1972" t="s">
        <v>1816</v>
      </c>
      <c r="D1972" t="s">
        <v>1807</v>
      </c>
    </row>
    <row r="1973" spans="1:4" x14ac:dyDescent="0.2">
      <c r="A1973" t="s">
        <v>3854</v>
      </c>
      <c r="B1973" s="2">
        <v>43038</v>
      </c>
      <c r="C1973" t="s">
        <v>1902</v>
      </c>
      <c r="D1973" t="s">
        <v>1810</v>
      </c>
    </row>
    <row r="1974" spans="1:4" x14ac:dyDescent="0.2">
      <c r="A1974" t="s">
        <v>3855</v>
      </c>
      <c r="B1974" s="2">
        <v>43219</v>
      </c>
      <c r="C1974" t="s">
        <v>2204</v>
      </c>
      <c r="D1974" t="s">
        <v>1807</v>
      </c>
    </row>
    <row r="1975" spans="1:4" x14ac:dyDescent="0.2">
      <c r="A1975" t="s">
        <v>3856</v>
      </c>
      <c r="B1975" s="2">
        <v>42900</v>
      </c>
      <c r="C1975" t="s">
        <v>3857</v>
      </c>
      <c r="D1975" t="s">
        <v>1796</v>
      </c>
    </row>
    <row r="1976" spans="1:4" x14ac:dyDescent="0.2">
      <c r="A1976" t="s">
        <v>3858</v>
      </c>
      <c r="B1976" s="2">
        <v>43064</v>
      </c>
      <c r="C1976" t="s">
        <v>1809</v>
      </c>
      <c r="D1976" t="s">
        <v>1840</v>
      </c>
    </row>
    <row r="1977" spans="1:4" x14ac:dyDescent="0.2">
      <c r="A1977" t="s">
        <v>472</v>
      </c>
      <c r="B1977" s="2">
        <v>43159</v>
      </c>
      <c r="C1977" t="s">
        <v>3859</v>
      </c>
      <c r="D1977" t="s">
        <v>1031</v>
      </c>
    </row>
    <row r="1978" spans="1:4" x14ac:dyDescent="0.2">
      <c r="A1978" t="s">
        <v>3860</v>
      </c>
      <c r="B1978" s="2">
        <v>43025</v>
      </c>
      <c r="C1978" t="s">
        <v>2187</v>
      </c>
      <c r="D1978" t="s">
        <v>1807</v>
      </c>
    </row>
    <row r="1979" spans="1:4" x14ac:dyDescent="0.2">
      <c r="A1979" t="s">
        <v>3861</v>
      </c>
      <c r="B1979" s="2">
        <v>43025</v>
      </c>
      <c r="C1979" t="s">
        <v>1816</v>
      </c>
      <c r="D1979" t="s">
        <v>1813</v>
      </c>
    </row>
    <row r="1980" spans="1:4" x14ac:dyDescent="0.2">
      <c r="A1980" t="s">
        <v>3862</v>
      </c>
      <c r="B1980" s="2">
        <v>43070</v>
      </c>
      <c r="C1980" t="s">
        <v>1825</v>
      </c>
      <c r="D1980" t="s">
        <v>1810</v>
      </c>
    </row>
    <row r="1981" spans="1:4" x14ac:dyDescent="0.2">
      <c r="A1981" t="s">
        <v>3863</v>
      </c>
      <c r="B1981" s="2">
        <v>43181</v>
      </c>
      <c r="C1981" t="s">
        <v>1825</v>
      </c>
      <c r="D1981" t="s">
        <v>1810</v>
      </c>
    </row>
    <row r="1982" spans="1:4" x14ac:dyDescent="0.2">
      <c r="A1982" t="s">
        <v>3864</v>
      </c>
      <c r="B1982" s="2">
        <v>43216</v>
      </c>
      <c r="C1982" t="s">
        <v>1836</v>
      </c>
      <c r="D1982" t="s">
        <v>1810</v>
      </c>
    </row>
    <row r="1983" spans="1:4" x14ac:dyDescent="0.2">
      <c r="A1983" t="s">
        <v>3865</v>
      </c>
      <c r="B1983" s="2">
        <v>43042</v>
      </c>
      <c r="C1983" t="s">
        <v>1803</v>
      </c>
      <c r="D1983" t="s">
        <v>1804</v>
      </c>
    </row>
    <row r="1984" spans="1:4" x14ac:dyDescent="0.2">
      <c r="A1984" t="s">
        <v>3866</v>
      </c>
      <c r="B1984" s="2">
        <v>42936</v>
      </c>
      <c r="C1984" t="s">
        <v>1836</v>
      </c>
      <c r="D1984" t="s">
        <v>1031</v>
      </c>
    </row>
    <row r="1985" spans="1:4" x14ac:dyDescent="0.2">
      <c r="A1985" t="s">
        <v>3867</v>
      </c>
      <c r="B1985" s="2">
        <v>43111</v>
      </c>
      <c r="C1985" t="s">
        <v>1836</v>
      </c>
      <c r="D1985" t="s">
        <v>1031</v>
      </c>
    </row>
    <row r="1986" spans="1:4" x14ac:dyDescent="0.2">
      <c r="A1986" t="s">
        <v>3868</v>
      </c>
      <c r="B1986" s="2">
        <v>43139</v>
      </c>
      <c r="C1986" t="s">
        <v>1930</v>
      </c>
      <c r="D1986" t="s">
        <v>1807</v>
      </c>
    </row>
    <row r="1987" spans="1:4" x14ac:dyDescent="0.2">
      <c r="A1987" t="s">
        <v>3869</v>
      </c>
      <c r="B1987" s="2">
        <v>43215</v>
      </c>
      <c r="C1987" t="s">
        <v>1909</v>
      </c>
      <c r="D1987" t="s">
        <v>1810</v>
      </c>
    </row>
    <row r="1988" spans="1:4" x14ac:dyDescent="0.2">
      <c r="A1988" t="s">
        <v>3870</v>
      </c>
      <c r="B1988" s="2">
        <v>43169</v>
      </c>
      <c r="C1988" t="s">
        <v>2591</v>
      </c>
      <c r="D1988" t="s">
        <v>1849</v>
      </c>
    </row>
    <row r="1989" spans="1:4" x14ac:dyDescent="0.2">
      <c r="A1989" t="s">
        <v>3871</v>
      </c>
      <c r="B1989" s="2">
        <v>43116</v>
      </c>
      <c r="C1989" t="s">
        <v>1803</v>
      </c>
      <c r="D1989" t="s">
        <v>1804</v>
      </c>
    </row>
    <row r="1990" spans="1:4" x14ac:dyDescent="0.2">
      <c r="A1990" t="s">
        <v>474</v>
      </c>
      <c r="B1990" s="2">
        <v>43229</v>
      </c>
      <c r="C1990" t="s">
        <v>3830</v>
      </c>
      <c r="D1990" t="s">
        <v>1810</v>
      </c>
    </row>
    <row r="1991" spans="1:4" x14ac:dyDescent="0.2">
      <c r="A1991" t="s">
        <v>3872</v>
      </c>
      <c r="B1991" s="2">
        <v>43108</v>
      </c>
      <c r="C1991" t="s">
        <v>1930</v>
      </c>
      <c r="D1991" t="s">
        <v>1810</v>
      </c>
    </row>
    <row r="1992" spans="1:4" x14ac:dyDescent="0.2">
      <c r="A1992" t="s">
        <v>3873</v>
      </c>
      <c r="B1992" s="2">
        <v>43244</v>
      </c>
      <c r="C1992" t="s">
        <v>1816</v>
      </c>
      <c r="D1992" t="s">
        <v>1810</v>
      </c>
    </row>
    <row r="1993" spans="1:4" x14ac:dyDescent="0.2">
      <c r="A1993" t="s">
        <v>3874</v>
      </c>
      <c r="B1993" s="2">
        <v>43189</v>
      </c>
      <c r="C1993" t="s">
        <v>2115</v>
      </c>
      <c r="D1993" t="s">
        <v>1804</v>
      </c>
    </row>
    <row r="1994" spans="1:4" x14ac:dyDescent="0.2">
      <c r="A1994" t="s">
        <v>3875</v>
      </c>
      <c r="B1994" s="2">
        <v>43218</v>
      </c>
      <c r="C1994" t="s">
        <v>1816</v>
      </c>
      <c r="D1994" t="s">
        <v>1807</v>
      </c>
    </row>
    <row r="1995" spans="1:4" x14ac:dyDescent="0.2">
      <c r="A1995" t="s">
        <v>3876</v>
      </c>
      <c r="B1995" s="2">
        <v>43237</v>
      </c>
      <c r="C1995" t="s">
        <v>1998</v>
      </c>
      <c r="D1995" t="s">
        <v>1810</v>
      </c>
    </row>
    <row r="1996" spans="1:4" x14ac:dyDescent="0.2">
      <c r="A1996" t="s">
        <v>3877</v>
      </c>
      <c r="B1996" s="2">
        <v>43227</v>
      </c>
      <c r="C1996" t="s">
        <v>3092</v>
      </c>
      <c r="D1996" t="s">
        <v>1807</v>
      </c>
    </row>
    <row r="1997" spans="1:4" x14ac:dyDescent="0.2">
      <c r="A1997" t="s">
        <v>3878</v>
      </c>
      <c r="B1997" s="2">
        <v>43245</v>
      </c>
      <c r="C1997" t="s">
        <v>1905</v>
      </c>
      <c r="D1997" t="s">
        <v>1810</v>
      </c>
    </row>
    <row r="1998" spans="1:4" x14ac:dyDescent="0.2">
      <c r="A1998" t="s">
        <v>3879</v>
      </c>
      <c r="B1998" s="2">
        <v>43216</v>
      </c>
      <c r="C1998" t="s">
        <v>3181</v>
      </c>
      <c r="D1998" t="s">
        <v>1807</v>
      </c>
    </row>
    <row r="1999" spans="1:4" x14ac:dyDescent="0.2">
      <c r="A1999" t="s">
        <v>3880</v>
      </c>
      <c r="B1999" s="2">
        <v>43188</v>
      </c>
      <c r="C1999" t="s">
        <v>2382</v>
      </c>
      <c r="D1999" t="s">
        <v>1813</v>
      </c>
    </row>
    <row r="2000" spans="1:4" x14ac:dyDescent="0.2">
      <c r="A2000" t="s">
        <v>3881</v>
      </c>
      <c r="B2000" s="2">
        <v>43237</v>
      </c>
      <c r="C2000" t="s">
        <v>1863</v>
      </c>
      <c r="D2000" t="s">
        <v>1804</v>
      </c>
    </row>
    <row r="2001" spans="1:4" x14ac:dyDescent="0.2">
      <c r="A2001" t="s">
        <v>3882</v>
      </c>
      <c r="B2001" s="2">
        <v>43139</v>
      </c>
      <c r="C2001" t="s">
        <v>1930</v>
      </c>
      <c r="D2001" t="s">
        <v>1810</v>
      </c>
    </row>
    <row r="2002" spans="1:4" x14ac:dyDescent="0.2">
      <c r="A2002" t="s">
        <v>3883</v>
      </c>
      <c r="B2002" s="2">
        <v>43107</v>
      </c>
      <c r="C2002" t="s">
        <v>1809</v>
      </c>
      <c r="D2002" t="s">
        <v>1840</v>
      </c>
    </row>
    <row r="2003" spans="1:4" x14ac:dyDescent="0.2">
      <c r="A2003" t="s">
        <v>476</v>
      </c>
      <c r="B2003" s="2">
        <v>43124</v>
      </c>
      <c r="C2003" t="s">
        <v>1816</v>
      </c>
      <c r="D2003" t="s">
        <v>1840</v>
      </c>
    </row>
    <row r="2004" spans="1:4" x14ac:dyDescent="0.2">
      <c r="A2004" t="s">
        <v>3884</v>
      </c>
      <c r="B2004" s="2">
        <v>42971</v>
      </c>
      <c r="C2004" t="s">
        <v>1867</v>
      </c>
      <c r="D2004" t="s">
        <v>1810</v>
      </c>
    </row>
    <row r="2005" spans="1:4" x14ac:dyDescent="0.2">
      <c r="A2005" t="s">
        <v>3885</v>
      </c>
      <c r="B2005" s="2">
        <v>43242</v>
      </c>
      <c r="C2005" t="s">
        <v>2066</v>
      </c>
      <c r="D2005" t="s">
        <v>1813</v>
      </c>
    </row>
    <row r="2006" spans="1:4" x14ac:dyDescent="0.2">
      <c r="A2006" t="s">
        <v>3886</v>
      </c>
      <c r="B2006" s="2">
        <v>43234</v>
      </c>
      <c r="C2006" t="s">
        <v>1816</v>
      </c>
      <c r="D2006" t="s">
        <v>1810</v>
      </c>
    </row>
    <row r="2007" spans="1:4" x14ac:dyDescent="0.2">
      <c r="A2007" t="s">
        <v>3887</v>
      </c>
      <c r="B2007" s="2">
        <v>43102</v>
      </c>
      <c r="C2007" t="s">
        <v>1930</v>
      </c>
      <c r="D2007" t="s">
        <v>1810</v>
      </c>
    </row>
    <row r="2008" spans="1:4" x14ac:dyDescent="0.2">
      <c r="A2008" t="s">
        <v>3888</v>
      </c>
      <c r="B2008" s="2">
        <v>43014</v>
      </c>
      <c r="C2008" t="s">
        <v>1867</v>
      </c>
      <c r="D2008" t="s">
        <v>1813</v>
      </c>
    </row>
    <row r="2009" spans="1:4" x14ac:dyDescent="0.2">
      <c r="A2009" t="s">
        <v>3889</v>
      </c>
      <c r="B2009" s="2">
        <v>43130</v>
      </c>
      <c r="C2009" t="s">
        <v>1905</v>
      </c>
      <c r="D2009" t="s">
        <v>1804</v>
      </c>
    </row>
    <row r="2010" spans="1:4" x14ac:dyDescent="0.2">
      <c r="A2010" t="s">
        <v>3890</v>
      </c>
      <c r="B2010" s="2">
        <v>43063</v>
      </c>
      <c r="C2010" t="s">
        <v>1816</v>
      </c>
      <c r="D2010" t="s">
        <v>1810</v>
      </c>
    </row>
    <row r="2011" spans="1:4" x14ac:dyDescent="0.2">
      <c r="A2011" t="s">
        <v>3891</v>
      </c>
      <c r="B2011" s="2">
        <v>43102</v>
      </c>
      <c r="C2011" t="s">
        <v>1867</v>
      </c>
      <c r="D2011" t="s">
        <v>1829</v>
      </c>
    </row>
    <row r="2012" spans="1:4" x14ac:dyDescent="0.2">
      <c r="A2012" t="s">
        <v>3892</v>
      </c>
      <c r="B2012" s="2">
        <v>42924</v>
      </c>
      <c r="C2012" t="s">
        <v>1816</v>
      </c>
      <c r="D2012" t="s">
        <v>1031</v>
      </c>
    </row>
    <row r="2013" spans="1:4" x14ac:dyDescent="0.2">
      <c r="A2013" t="s">
        <v>3893</v>
      </c>
      <c r="B2013" s="2">
        <v>43209</v>
      </c>
      <c r="C2013" t="s">
        <v>2158</v>
      </c>
      <c r="D2013" t="s">
        <v>1810</v>
      </c>
    </row>
    <row r="2014" spans="1:4" x14ac:dyDescent="0.2">
      <c r="A2014" t="s">
        <v>3894</v>
      </c>
      <c r="B2014" s="2">
        <v>43054</v>
      </c>
      <c r="C2014" t="s">
        <v>1902</v>
      </c>
      <c r="D2014" t="s">
        <v>1810</v>
      </c>
    </row>
    <row r="2015" spans="1:4" x14ac:dyDescent="0.2">
      <c r="A2015" t="s">
        <v>3895</v>
      </c>
      <c r="B2015" s="2">
        <v>43155</v>
      </c>
      <c r="C2015" t="s">
        <v>1803</v>
      </c>
      <c r="D2015" t="s">
        <v>1804</v>
      </c>
    </row>
    <row r="2016" spans="1:4" x14ac:dyDescent="0.2">
      <c r="A2016" t="s">
        <v>3896</v>
      </c>
      <c r="B2016" s="2">
        <v>42933</v>
      </c>
      <c r="C2016" t="s">
        <v>1974</v>
      </c>
      <c r="D2016" t="s">
        <v>1849</v>
      </c>
    </row>
    <row r="2017" spans="1:4" x14ac:dyDescent="0.2">
      <c r="A2017" t="s">
        <v>3897</v>
      </c>
      <c r="B2017" s="2">
        <v>43104</v>
      </c>
      <c r="C2017" t="s">
        <v>1831</v>
      </c>
      <c r="D2017" t="s">
        <v>160</v>
      </c>
    </row>
    <row r="2018" spans="1:4" x14ac:dyDescent="0.2">
      <c r="A2018" t="s">
        <v>478</v>
      </c>
      <c r="B2018" s="2">
        <v>43162</v>
      </c>
      <c r="C2018" t="s">
        <v>1937</v>
      </c>
      <c r="D2018" t="s">
        <v>1807</v>
      </c>
    </row>
    <row r="2019" spans="1:4" x14ac:dyDescent="0.2">
      <c r="A2019" t="s">
        <v>3898</v>
      </c>
      <c r="B2019" s="2">
        <v>43133</v>
      </c>
      <c r="C2019" t="s">
        <v>1836</v>
      </c>
      <c r="D2019" t="s">
        <v>1031</v>
      </c>
    </row>
    <row r="2020" spans="1:4" x14ac:dyDescent="0.2">
      <c r="A2020" t="s">
        <v>3899</v>
      </c>
      <c r="B2020" s="2">
        <v>43240</v>
      </c>
      <c r="C2020" t="s">
        <v>3900</v>
      </c>
      <c r="D2020" t="s">
        <v>1807</v>
      </c>
    </row>
    <row r="2021" spans="1:4" x14ac:dyDescent="0.2">
      <c r="A2021" t="s">
        <v>3901</v>
      </c>
      <c r="B2021" s="2">
        <v>42963</v>
      </c>
      <c r="C2021" t="s">
        <v>1939</v>
      </c>
      <c r="D2021" t="s">
        <v>1031</v>
      </c>
    </row>
    <row r="2022" spans="1:4" x14ac:dyDescent="0.2">
      <c r="A2022" t="s">
        <v>3902</v>
      </c>
      <c r="B2022" s="2">
        <v>43242</v>
      </c>
      <c r="C2022" t="s">
        <v>1834</v>
      </c>
      <c r="D2022" t="s">
        <v>1807</v>
      </c>
    </row>
    <row r="2023" spans="1:4" x14ac:dyDescent="0.2">
      <c r="A2023" t="s">
        <v>3903</v>
      </c>
      <c r="B2023" s="2">
        <v>42995</v>
      </c>
      <c r="C2023" t="s">
        <v>1894</v>
      </c>
      <c r="D2023" t="s">
        <v>1804</v>
      </c>
    </row>
    <row r="2024" spans="1:4" x14ac:dyDescent="0.2">
      <c r="A2024" t="s">
        <v>3904</v>
      </c>
      <c r="B2024" s="2">
        <v>43094</v>
      </c>
      <c r="C2024" t="s">
        <v>1803</v>
      </c>
      <c r="D2024" t="s">
        <v>1804</v>
      </c>
    </row>
    <row r="2025" spans="1:4" x14ac:dyDescent="0.2">
      <c r="A2025" t="s">
        <v>3905</v>
      </c>
      <c r="B2025" s="2">
        <v>43119</v>
      </c>
      <c r="C2025" t="s">
        <v>1803</v>
      </c>
      <c r="D2025" t="s">
        <v>1804</v>
      </c>
    </row>
    <row r="2026" spans="1:4" x14ac:dyDescent="0.2">
      <c r="A2026" t="s">
        <v>3906</v>
      </c>
      <c r="B2026" s="2">
        <v>43176</v>
      </c>
      <c r="C2026" t="s">
        <v>1825</v>
      </c>
      <c r="D2026" t="s">
        <v>1810</v>
      </c>
    </row>
    <row r="2027" spans="1:4" x14ac:dyDescent="0.2">
      <c r="A2027" t="s">
        <v>3907</v>
      </c>
      <c r="B2027" s="2">
        <v>43112</v>
      </c>
      <c r="C2027" t="s">
        <v>1816</v>
      </c>
      <c r="D2027" t="s">
        <v>1810</v>
      </c>
    </row>
    <row r="2028" spans="1:4" x14ac:dyDescent="0.2">
      <c r="A2028" t="s">
        <v>3908</v>
      </c>
      <c r="B2028" s="2">
        <v>43198</v>
      </c>
      <c r="C2028" t="s">
        <v>1828</v>
      </c>
      <c r="D2028" t="s">
        <v>1807</v>
      </c>
    </row>
    <row r="2029" spans="1:4" x14ac:dyDescent="0.2">
      <c r="A2029" t="s">
        <v>3909</v>
      </c>
      <c r="B2029" s="2">
        <v>43177</v>
      </c>
      <c r="C2029" t="s">
        <v>1905</v>
      </c>
      <c r="D2029" t="s">
        <v>1810</v>
      </c>
    </row>
    <row r="2030" spans="1:4" x14ac:dyDescent="0.2">
      <c r="A2030" t="s">
        <v>3910</v>
      </c>
      <c r="B2030" s="2">
        <v>43224</v>
      </c>
      <c r="C2030" t="s">
        <v>1836</v>
      </c>
      <c r="D2030" t="s">
        <v>1031</v>
      </c>
    </row>
    <row r="2031" spans="1:4" x14ac:dyDescent="0.2">
      <c r="A2031" t="s">
        <v>3911</v>
      </c>
      <c r="B2031" s="2">
        <v>43033</v>
      </c>
      <c r="C2031" t="s">
        <v>2965</v>
      </c>
      <c r="D2031" t="s">
        <v>1813</v>
      </c>
    </row>
    <row r="2032" spans="1:4" x14ac:dyDescent="0.2">
      <c r="A2032" t="s">
        <v>3912</v>
      </c>
      <c r="B2032" s="2">
        <v>43182</v>
      </c>
      <c r="C2032" t="s">
        <v>1885</v>
      </c>
      <c r="D2032" t="s">
        <v>1807</v>
      </c>
    </row>
    <row r="2033" spans="1:4" x14ac:dyDescent="0.2">
      <c r="A2033" t="s">
        <v>3913</v>
      </c>
      <c r="B2033" s="2">
        <v>43112</v>
      </c>
      <c r="C2033" t="s">
        <v>3914</v>
      </c>
      <c r="D2033" t="s">
        <v>1810</v>
      </c>
    </row>
    <row r="2034" spans="1:4" x14ac:dyDescent="0.2">
      <c r="A2034" t="s">
        <v>3915</v>
      </c>
      <c r="B2034" s="2">
        <v>42992</v>
      </c>
      <c r="C2034" t="s">
        <v>1907</v>
      </c>
      <c r="D2034" t="s">
        <v>1807</v>
      </c>
    </row>
    <row r="2035" spans="1:4" x14ac:dyDescent="0.2">
      <c r="A2035" t="s">
        <v>3916</v>
      </c>
      <c r="B2035" s="2">
        <v>43241</v>
      </c>
      <c r="C2035" t="s">
        <v>1867</v>
      </c>
      <c r="D2035" t="s">
        <v>1840</v>
      </c>
    </row>
    <row r="2036" spans="1:4" x14ac:dyDescent="0.2">
      <c r="A2036" t="s">
        <v>3917</v>
      </c>
      <c r="B2036" s="2">
        <v>43216</v>
      </c>
      <c r="C2036" t="s">
        <v>1867</v>
      </c>
      <c r="D2036" t="s">
        <v>1810</v>
      </c>
    </row>
    <row r="2037" spans="1:4" x14ac:dyDescent="0.2">
      <c r="A2037" t="s">
        <v>3918</v>
      </c>
      <c r="B2037" s="2">
        <v>43223</v>
      </c>
      <c r="C2037" t="s">
        <v>1998</v>
      </c>
      <c r="D2037" t="s">
        <v>1807</v>
      </c>
    </row>
    <row r="2038" spans="1:4" x14ac:dyDescent="0.2">
      <c r="A2038" t="s">
        <v>3919</v>
      </c>
      <c r="B2038" s="2">
        <v>43185</v>
      </c>
      <c r="C2038" t="s">
        <v>1825</v>
      </c>
      <c r="D2038" t="s">
        <v>1829</v>
      </c>
    </row>
    <row r="2039" spans="1:4" x14ac:dyDescent="0.2">
      <c r="A2039" t="s">
        <v>3920</v>
      </c>
      <c r="B2039" s="2">
        <v>43151</v>
      </c>
      <c r="C2039" t="s">
        <v>1803</v>
      </c>
      <c r="D2039" t="s">
        <v>1804</v>
      </c>
    </row>
    <row r="2040" spans="1:4" x14ac:dyDescent="0.2">
      <c r="A2040" t="s">
        <v>3921</v>
      </c>
      <c r="B2040" s="2">
        <v>43145</v>
      </c>
      <c r="C2040" t="s">
        <v>2462</v>
      </c>
      <c r="D2040" t="s">
        <v>1810</v>
      </c>
    </row>
    <row r="2041" spans="1:4" x14ac:dyDescent="0.2">
      <c r="A2041" t="s">
        <v>3922</v>
      </c>
      <c r="B2041" s="2">
        <v>43209</v>
      </c>
      <c r="C2041" t="s">
        <v>3923</v>
      </c>
      <c r="D2041" t="s">
        <v>1807</v>
      </c>
    </row>
    <row r="2042" spans="1:4" x14ac:dyDescent="0.2">
      <c r="A2042" t="s">
        <v>3924</v>
      </c>
      <c r="B2042" s="2">
        <v>43165</v>
      </c>
      <c r="C2042" t="s">
        <v>3333</v>
      </c>
      <c r="D2042" t="s">
        <v>1813</v>
      </c>
    </row>
    <row r="2043" spans="1:4" x14ac:dyDescent="0.2">
      <c r="A2043" t="s">
        <v>3925</v>
      </c>
      <c r="B2043" s="2">
        <v>43123</v>
      </c>
      <c r="C2043" t="s">
        <v>1816</v>
      </c>
      <c r="D2043" t="s">
        <v>1810</v>
      </c>
    </row>
    <row r="2044" spans="1:4" x14ac:dyDescent="0.2">
      <c r="A2044" t="s">
        <v>480</v>
      </c>
      <c r="B2044" s="2">
        <v>43168</v>
      </c>
      <c r="C2044" t="s">
        <v>1885</v>
      </c>
      <c r="D2044" t="s">
        <v>1807</v>
      </c>
    </row>
    <row r="2045" spans="1:4" x14ac:dyDescent="0.2">
      <c r="A2045" t="s">
        <v>3926</v>
      </c>
      <c r="B2045" s="2">
        <v>43107</v>
      </c>
      <c r="C2045" t="s">
        <v>2187</v>
      </c>
      <c r="D2045" t="s">
        <v>1807</v>
      </c>
    </row>
    <row r="2046" spans="1:4" x14ac:dyDescent="0.2">
      <c r="A2046" t="s">
        <v>3927</v>
      </c>
      <c r="B2046" s="2">
        <v>42996</v>
      </c>
      <c r="C2046" t="s">
        <v>1836</v>
      </c>
      <c r="D2046" t="s">
        <v>1031</v>
      </c>
    </row>
    <row r="2047" spans="1:4" x14ac:dyDescent="0.2">
      <c r="A2047" t="s">
        <v>3928</v>
      </c>
      <c r="B2047" s="2">
        <v>43131</v>
      </c>
      <c r="C2047" t="s">
        <v>1930</v>
      </c>
      <c r="D2047" t="s">
        <v>1807</v>
      </c>
    </row>
    <row r="2048" spans="1:4" x14ac:dyDescent="0.2">
      <c r="A2048" t="s">
        <v>3929</v>
      </c>
      <c r="B2048" s="2">
        <v>43129</v>
      </c>
      <c r="C2048" t="s">
        <v>1825</v>
      </c>
      <c r="D2048" t="s">
        <v>1810</v>
      </c>
    </row>
    <row r="2049" spans="1:4" x14ac:dyDescent="0.2">
      <c r="A2049" t="s">
        <v>3930</v>
      </c>
      <c r="B2049" s="2">
        <v>43199</v>
      </c>
      <c r="C2049" t="s">
        <v>1816</v>
      </c>
      <c r="D2049" t="s">
        <v>1807</v>
      </c>
    </row>
    <row r="2050" spans="1:4" x14ac:dyDescent="0.2">
      <c r="A2050" t="s">
        <v>3931</v>
      </c>
      <c r="B2050" s="2">
        <v>43241</v>
      </c>
      <c r="C2050" t="s">
        <v>1825</v>
      </c>
      <c r="D2050" t="s">
        <v>1810</v>
      </c>
    </row>
    <row r="2051" spans="1:4" x14ac:dyDescent="0.2">
      <c r="A2051" t="s">
        <v>3932</v>
      </c>
      <c r="B2051" s="2">
        <v>43040</v>
      </c>
      <c r="C2051" t="s">
        <v>1939</v>
      </c>
      <c r="D2051" t="s">
        <v>1810</v>
      </c>
    </row>
    <row r="2052" spans="1:4" x14ac:dyDescent="0.2">
      <c r="A2052" t="s">
        <v>3933</v>
      </c>
      <c r="B2052" s="2">
        <v>43171</v>
      </c>
      <c r="C2052" t="s">
        <v>1809</v>
      </c>
      <c r="D2052" t="s">
        <v>1796</v>
      </c>
    </row>
    <row r="2053" spans="1:4" x14ac:dyDescent="0.2">
      <c r="A2053" t="s">
        <v>3934</v>
      </c>
      <c r="B2053" s="2">
        <v>43224</v>
      </c>
      <c r="C2053" t="s">
        <v>1816</v>
      </c>
      <c r="D2053" t="s">
        <v>1810</v>
      </c>
    </row>
    <row r="2054" spans="1:4" x14ac:dyDescent="0.2">
      <c r="A2054" t="s">
        <v>482</v>
      </c>
      <c r="B2054" s="2">
        <v>43192</v>
      </c>
      <c r="C2054" t="s">
        <v>3935</v>
      </c>
      <c r="D2054" t="s">
        <v>1031</v>
      </c>
    </row>
    <row r="2055" spans="1:4" x14ac:dyDescent="0.2">
      <c r="A2055" t="s">
        <v>3936</v>
      </c>
      <c r="B2055" s="2">
        <v>43234</v>
      </c>
      <c r="C2055" t="s">
        <v>1863</v>
      </c>
      <c r="D2055" t="s">
        <v>1804</v>
      </c>
    </row>
    <row r="2056" spans="1:4" x14ac:dyDescent="0.2">
      <c r="A2056" t="s">
        <v>484</v>
      </c>
      <c r="B2056" s="2">
        <v>43217</v>
      </c>
      <c r="C2056" t="s">
        <v>1836</v>
      </c>
      <c r="D2056" t="s">
        <v>1031</v>
      </c>
    </row>
    <row r="2057" spans="1:4" x14ac:dyDescent="0.2">
      <c r="A2057" t="s">
        <v>486</v>
      </c>
      <c r="B2057" s="2">
        <v>43109</v>
      </c>
      <c r="C2057" t="s">
        <v>1816</v>
      </c>
      <c r="D2057" t="s">
        <v>1910</v>
      </c>
    </row>
    <row r="2058" spans="1:4" x14ac:dyDescent="0.2">
      <c r="A2058" t="s">
        <v>3937</v>
      </c>
      <c r="B2058" s="2">
        <v>43157</v>
      </c>
      <c r="C2058" t="s">
        <v>2344</v>
      </c>
      <c r="D2058" t="s">
        <v>1810</v>
      </c>
    </row>
    <row r="2059" spans="1:4" x14ac:dyDescent="0.2">
      <c r="A2059" t="s">
        <v>3938</v>
      </c>
      <c r="B2059" s="2">
        <v>43109</v>
      </c>
      <c r="C2059" t="s">
        <v>1803</v>
      </c>
      <c r="D2059" t="s">
        <v>1804</v>
      </c>
    </row>
    <row r="2060" spans="1:4" x14ac:dyDescent="0.2">
      <c r="A2060" t="s">
        <v>3939</v>
      </c>
      <c r="B2060" s="2">
        <v>42948</v>
      </c>
      <c r="C2060" t="s">
        <v>1867</v>
      </c>
      <c r="D2060" t="s">
        <v>1813</v>
      </c>
    </row>
    <row r="2061" spans="1:4" x14ac:dyDescent="0.2">
      <c r="A2061" t="s">
        <v>3940</v>
      </c>
      <c r="B2061" s="2">
        <v>43220</v>
      </c>
      <c r="C2061" t="s">
        <v>1816</v>
      </c>
      <c r="D2061" t="s">
        <v>1810</v>
      </c>
    </row>
    <row r="2062" spans="1:4" x14ac:dyDescent="0.2">
      <c r="A2062" t="s">
        <v>3941</v>
      </c>
      <c r="B2062" s="2">
        <v>43129</v>
      </c>
      <c r="C2062" t="s">
        <v>1930</v>
      </c>
      <c r="D2062" t="s">
        <v>1807</v>
      </c>
    </row>
    <row r="2063" spans="1:4" x14ac:dyDescent="0.2">
      <c r="A2063" t="s">
        <v>3942</v>
      </c>
      <c r="B2063" s="2">
        <v>43210</v>
      </c>
      <c r="C2063" t="s">
        <v>1836</v>
      </c>
      <c r="D2063" t="s">
        <v>1031</v>
      </c>
    </row>
    <row r="2064" spans="1:4" x14ac:dyDescent="0.2">
      <c r="A2064" t="s">
        <v>3943</v>
      </c>
      <c r="B2064" s="2">
        <v>43173</v>
      </c>
      <c r="C2064" t="s">
        <v>1836</v>
      </c>
      <c r="D2064" t="s">
        <v>1807</v>
      </c>
    </row>
    <row r="2065" spans="1:4" x14ac:dyDescent="0.2">
      <c r="A2065" t="s">
        <v>3944</v>
      </c>
      <c r="B2065" s="2">
        <v>43174</v>
      </c>
      <c r="C2065" t="s">
        <v>1836</v>
      </c>
      <c r="D2065" t="s">
        <v>1031</v>
      </c>
    </row>
    <row r="2066" spans="1:4" x14ac:dyDescent="0.2">
      <c r="A2066" t="s">
        <v>488</v>
      </c>
      <c r="B2066" s="2">
        <v>43231</v>
      </c>
      <c r="C2066" t="s">
        <v>1816</v>
      </c>
      <c r="D2066" t="s">
        <v>1810</v>
      </c>
    </row>
    <row r="2067" spans="1:4" x14ac:dyDescent="0.2">
      <c r="A2067" t="s">
        <v>3945</v>
      </c>
      <c r="B2067" s="2">
        <v>43241</v>
      </c>
      <c r="C2067" t="s">
        <v>1836</v>
      </c>
      <c r="D2067" t="s">
        <v>1031</v>
      </c>
    </row>
    <row r="2068" spans="1:4" x14ac:dyDescent="0.2">
      <c r="A2068" t="s">
        <v>3946</v>
      </c>
      <c r="B2068" s="2">
        <v>43115</v>
      </c>
      <c r="C2068" t="s">
        <v>1905</v>
      </c>
      <c r="D2068" t="s">
        <v>1810</v>
      </c>
    </row>
    <row r="2069" spans="1:4" x14ac:dyDescent="0.2">
      <c r="A2069" t="s">
        <v>3947</v>
      </c>
      <c r="B2069" s="2">
        <v>43103</v>
      </c>
      <c r="C2069" t="s">
        <v>1803</v>
      </c>
      <c r="D2069" t="s">
        <v>1804</v>
      </c>
    </row>
    <row r="2070" spans="1:4" x14ac:dyDescent="0.2">
      <c r="A2070" t="s">
        <v>3948</v>
      </c>
      <c r="B2070" s="2">
        <v>43234</v>
      </c>
      <c r="C2070" t="s">
        <v>1863</v>
      </c>
      <c r="D2070" t="s">
        <v>1804</v>
      </c>
    </row>
    <row r="2071" spans="1:4" x14ac:dyDescent="0.2">
      <c r="A2071" t="s">
        <v>3949</v>
      </c>
      <c r="B2071" s="2">
        <v>42997</v>
      </c>
      <c r="C2071" t="s">
        <v>1859</v>
      </c>
      <c r="D2071" t="s">
        <v>1810</v>
      </c>
    </row>
    <row r="2072" spans="1:4" x14ac:dyDescent="0.2">
      <c r="A2072" t="s">
        <v>3950</v>
      </c>
      <c r="B2072" s="2">
        <v>43118</v>
      </c>
      <c r="C2072" t="s">
        <v>1836</v>
      </c>
      <c r="D2072" t="s">
        <v>1810</v>
      </c>
    </row>
    <row r="2073" spans="1:4" x14ac:dyDescent="0.2">
      <c r="A2073" t="s">
        <v>3951</v>
      </c>
      <c r="B2073" s="2">
        <v>43228</v>
      </c>
      <c r="C2073" t="s">
        <v>2698</v>
      </c>
      <c r="D2073" t="s">
        <v>1840</v>
      </c>
    </row>
    <row r="2074" spans="1:4" x14ac:dyDescent="0.2">
      <c r="A2074" t="s">
        <v>3952</v>
      </c>
      <c r="B2074" s="2">
        <v>43042</v>
      </c>
      <c r="C2074" t="s">
        <v>1897</v>
      </c>
      <c r="D2074" t="s">
        <v>1810</v>
      </c>
    </row>
    <row r="2075" spans="1:4" x14ac:dyDescent="0.2">
      <c r="A2075" t="s">
        <v>3953</v>
      </c>
      <c r="B2075" s="2">
        <v>43217</v>
      </c>
      <c r="C2075" t="s">
        <v>1867</v>
      </c>
      <c r="D2075" t="s">
        <v>1031</v>
      </c>
    </row>
    <row r="2076" spans="1:4" x14ac:dyDescent="0.2">
      <c r="A2076" t="s">
        <v>3954</v>
      </c>
      <c r="B2076" s="2">
        <v>43117</v>
      </c>
      <c r="C2076" t="s">
        <v>1930</v>
      </c>
      <c r="D2076" t="s">
        <v>1807</v>
      </c>
    </row>
    <row r="2077" spans="1:4" x14ac:dyDescent="0.2">
      <c r="A2077" t="s">
        <v>3955</v>
      </c>
      <c r="B2077" s="2">
        <v>43007</v>
      </c>
      <c r="C2077" t="s">
        <v>1816</v>
      </c>
      <c r="D2077" t="s">
        <v>1804</v>
      </c>
    </row>
    <row r="2078" spans="1:4" x14ac:dyDescent="0.2">
      <c r="A2078" t="s">
        <v>3956</v>
      </c>
      <c r="B2078" s="2">
        <v>43223</v>
      </c>
      <c r="C2078" t="s">
        <v>1928</v>
      </c>
      <c r="D2078" t="s">
        <v>1810</v>
      </c>
    </row>
    <row r="2079" spans="1:4" x14ac:dyDescent="0.2">
      <c r="A2079" t="s">
        <v>3957</v>
      </c>
      <c r="B2079" s="2">
        <v>43034</v>
      </c>
      <c r="C2079" t="s">
        <v>1867</v>
      </c>
      <c r="D2079" t="s">
        <v>160</v>
      </c>
    </row>
    <row r="2080" spans="1:4" x14ac:dyDescent="0.2">
      <c r="A2080" t="s">
        <v>3958</v>
      </c>
      <c r="B2080" s="2">
        <v>43157</v>
      </c>
      <c r="C2080" t="s">
        <v>1921</v>
      </c>
      <c r="D2080" t="s">
        <v>1810</v>
      </c>
    </row>
    <row r="2081" spans="1:4" x14ac:dyDescent="0.2">
      <c r="A2081" t="s">
        <v>3959</v>
      </c>
      <c r="B2081" s="2">
        <v>43203</v>
      </c>
      <c r="C2081" t="s">
        <v>1863</v>
      </c>
      <c r="D2081" t="s">
        <v>1804</v>
      </c>
    </row>
    <row r="2082" spans="1:4" x14ac:dyDescent="0.2">
      <c r="A2082" t="s">
        <v>3960</v>
      </c>
      <c r="B2082" s="2">
        <v>43115</v>
      </c>
      <c r="C2082" t="s">
        <v>1836</v>
      </c>
      <c r="D2082" t="s">
        <v>1031</v>
      </c>
    </row>
    <row r="2083" spans="1:4" x14ac:dyDescent="0.2">
      <c r="A2083" t="s">
        <v>3961</v>
      </c>
      <c r="B2083" s="2">
        <v>43222</v>
      </c>
      <c r="C2083" t="s">
        <v>1857</v>
      </c>
      <c r="D2083" t="s">
        <v>1804</v>
      </c>
    </row>
    <row r="2084" spans="1:4" x14ac:dyDescent="0.2">
      <c r="A2084" t="s">
        <v>3962</v>
      </c>
      <c r="B2084" s="2">
        <v>42923</v>
      </c>
      <c r="C2084" t="s">
        <v>2380</v>
      </c>
      <c r="D2084" t="s">
        <v>1813</v>
      </c>
    </row>
    <row r="2085" spans="1:4" x14ac:dyDescent="0.2">
      <c r="A2085" t="s">
        <v>3963</v>
      </c>
      <c r="B2085" s="2">
        <v>43125</v>
      </c>
      <c r="C2085" t="s">
        <v>1803</v>
      </c>
      <c r="D2085" t="s">
        <v>1804</v>
      </c>
    </row>
    <row r="2086" spans="1:4" x14ac:dyDescent="0.2">
      <c r="A2086" t="s">
        <v>3964</v>
      </c>
      <c r="B2086" s="2">
        <v>42976</v>
      </c>
      <c r="C2086" t="s">
        <v>1816</v>
      </c>
      <c r="D2086" t="s">
        <v>1031</v>
      </c>
    </row>
    <row r="2087" spans="1:4" x14ac:dyDescent="0.2">
      <c r="A2087" t="s">
        <v>3965</v>
      </c>
      <c r="B2087" s="2">
        <v>43179</v>
      </c>
      <c r="C2087" t="s">
        <v>1907</v>
      </c>
      <c r="D2087" t="s">
        <v>1807</v>
      </c>
    </row>
    <row r="2088" spans="1:4" x14ac:dyDescent="0.2">
      <c r="A2088" t="s">
        <v>3966</v>
      </c>
      <c r="B2088" s="2">
        <v>43154</v>
      </c>
      <c r="C2088" t="s">
        <v>1854</v>
      </c>
      <c r="D2088" t="s">
        <v>1810</v>
      </c>
    </row>
    <row r="2089" spans="1:4" x14ac:dyDescent="0.2">
      <c r="A2089" t="s">
        <v>3967</v>
      </c>
      <c r="B2089" s="2">
        <v>43218</v>
      </c>
      <c r="C2089" t="s">
        <v>1909</v>
      </c>
      <c r="D2089" t="s">
        <v>1813</v>
      </c>
    </row>
    <row r="2090" spans="1:4" x14ac:dyDescent="0.2">
      <c r="A2090" t="s">
        <v>3968</v>
      </c>
      <c r="B2090" s="2">
        <v>42961</v>
      </c>
      <c r="C2090" t="s">
        <v>2576</v>
      </c>
      <c r="D2090" t="s">
        <v>1031</v>
      </c>
    </row>
    <row r="2091" spans="1:4" x14ac:dyDescent="0.2">
      <c r="A2091" t="s">
        <v>3969</v>
      </c>
      <c r="B2091" s="2">
        <v>43168</v>
      </c>
      <c r="C2091" t="s">
        <v>1928</v>
      </c>
      <c r="D2091" t="s">
        <v>1810</v>
      </c>
    </row>
    <row r="2092" spans="1:4" x14ac:dyDescent="0.2">
      <c r="A2092" t="s">
        <v>3970</v>
      </c>
      <c r="B2092" s="2">
        <v>43150</v>
      </c>
      <c r="C2092" t="s">
        <v>1825</v>
      </c>
      <c r="D2092" t="s">
        <v>1807</v>
      </c>
    </row>
    <row r="2093" spans="1:4" x14ac:dyDescent="0.2">
      <c r="A2093" t="s">
        <v>490</v>
      </c>
      <c r="B2093" s="2">
        <v>43109</v>
      </c>
      <c r="C2093" t="s">
        <v>1836</v>
      </c>
      <c r="D2093" t="s">
        <v>1031</v>
      </c>
    </row>
    <row r="2094" spans="1:4" x14ac:dyDescent="0.2">
      <c r="A2094" t="s">
        <v>3971</v>
      </c>
      <c r="B2094" s="2">
        <v>43157</v>
      </c>
      <c r="C2094" t="s">
        <v>2344</v>
      </c>
      <c r="D2094" t="s">
        <v>1813</v>
      </c>
    </row>
    <row r="2095" spans="1:4" x14ac:dyDescent="0.2">
      <c r="A2095" t="s">
        <v>3972</v>
      </c>
      <c r="B2095" s="2">
        <v>43209</v>
      </c>
      <c r="C2095" t="s">
        <v>2078</v>
      </c>
      <c r="D2095" t="s">
        <v>1807</v>
      </c>
    </row>
    <row r="2096" spans="1:4" x14ac:dyDescent="0.2">
      <c r="A2096" t="s">
        <v>3973</v>
      </c>
      <c r="B2096" s="2">
        <v>43116</v>
      </c>
      <c r="C2096" t="s">
        <v>1803</v>
      </c>
      <c r="D2096" t="s">
        <v>1804</v>
      </c>
    </row>
    <row r="2097" spans="1:4" x14ac:dyDescent="0.2">
      <c r="A2097" t="s">
        <v>3974</v>
      </c>
      <c r="B2097" s="2">
        <v>43242</v>
      </c>
      <c r="C2097" t="s">
        <v>1816</v>
      </c>
      <c r="D2097" t="s">
        <v>1810</v>
      </c>
    </row>
    <row r="2098" spans="1:4" x14ac:dyDescent="0.2">
      <c r="A2098" t="s">
        <v>3975</v>
      </c>
      <c r="B2098" s="2">
        <v>43193</v>
      </c>
      <c r="C2098" t="s">
        <v>3976</v>
      </c>
      <c r="D2098" t="s">
        <v>1031</v>
      </c>
    </row>
    <row r="2099" spans="1:4" x14ac:dyDescent="0.2">
      <c r="A2099" t="s">
        <v>3977</v>
      </c>
      <c r="B2099" s="2">
        <v>43205</v>
      </c>
      <c r="C2099" t="s">
        <v>1863</v>
      </c>
      <c r="D2099" t="s">
        <v>1804</v>
      </c>
    </row>
    <row r="2100" spans="1:4" x14ac:dyDescent="0.2">
      <c r="A2100" t="s">
        <v>3978</v>
      </c>
      <c r="B2100" s="2">
        <v>43112</v>
      </c>
      <c r="C2100" t="s">
        <v>1809</v>
      </c>
      <c r="D2100" t="s">
        <v>1810</v>
      </c>
    </row>
    <row r="2101" spans="1:4" x14ac:dyDescent="0.2">
      <c r="A2101" t="s">
        <v>3979</v>
      </c>
      <c r="B2101" s="2">
        <v>43227</v>
      </c>
      <c r="C2101" t="s">
        <v>1863</v>
      </c>
      <c r="D2101" t="s">
        <v>1804</v>
      </c>
    </row>
    <row r="2102" spans="1:4" x14ac:dyDescent="0.2">
      <c r="A2102" t="s">
        <v>3980</v>
      </c>
      <c r="B2102" s="2">
        <v>42999</v>
      </c>
      <c r="C2102" t="s">
        <v>3470</v>
      </c>
      <c r="D2102" t="s">
        <v>1810</v>
      </c>
    </row>
    <row r="2103" spans="1:4" x14ac:dyDescent="0.2">
      <c r="A2103" t="s">
        <v>3981</v>
      </c>
      <c r="B2103" s="2">
        <v>43034</v>
      </c>
      <c r="C2103" t="s">
        <v>3982</v>
      </c>
      <c r="D2103" t="s">
        <v>1031</v>
      </c>
    </row>
    <row r="2104" spans="1:4" x14ac:dyDescent="0.2">
      <c r="A2104" t="s">
        <v>3983</v>
      </c>
      <c r="B2104" s="2">
        <v>43165</v>
      </c>
      <c r="C2104" t="s">
        <v>3333</v>
      </c>
      <c r="D2104" t="s">
        <v>1813</v>
      </c>
    </row>
    <row r="2105" spans="1:4" x14ac:dyDescent="0.2">
      <c r="A2105" t="s">
        <v>3984</v>
      </c>
      <c r="B2105" s="2">
        <v>43212</v>
      </c>
      <c r="C2105" t="s">
        <v>1863</v>
      </c>
      <c r="D2105" t="s">
        <v>1804</v>
      </c>
    </row>
    <row r="2106" spans="1:4" x14ac:dyDescent="0.2">
      <c r="A2106" t="s">
        <v>3985</v>
      </c>
      <c r="B2106" s="2">
        <v>43200</v>
      </c>
      <c r="C2106" t="s">
        <v>1816</v>
      </c>
      <c r="D2106" t="s">
        <v>1807</v>
      </c>
    </row>
    <row r="2107" spans="1:4" x14ac:dyDescent="0.2">
      <c r="A2107" t="s">
        <v>3986</v>
      </c>
      <c r="B2107" s="2">
        <v>43118</v>
      </c>
      <c r="C2107" t="s">
        <v>1996</v>
      </c>
      <c r="D2107" t="s">
        <v>1804</v>
      </c>
    </row>
    <row r="2108" spans="1:4" x14ac:dyDescent="0.2">
      <c r="A2108" t="s">
        <v>3987</v>
      </c>
      <c r="B2108" s="2">
        <v>43147</v>
      </c>
      <c r="C2108" t="s">
        <v>1867</v>
      </c>
      <c r="D2108" t="s">
        <v>1810</v>
      </c>
    </row>
    <row r="2109" spans="1:4" x14ac:dyDescent="0.2">
      <c r="A2109" t="s">
        <v>3988</v>
      </c>
      <c r="B2109" s="2">
        <v>43126</v>
      </c>
      <c r="C2109" t="s">
        <v>1885</v>
      </c>
      <c r="D2109" t="s">
        <v>1807</v>
      </c>
    </row>
    <row r="2110" spans="1:4" x14ac:dyDescent="0.2">
      <c r="A2110" t="s">
        <v>492</v>
      </c>
      <c r="B2110" s="2">
        <v>43194</v>
      </c>
      <c r="C2110" t="s">
        <v>1816</v>
      </c>
      <c r="D2110" t="s">
        <v>1840</v>
      </c>
    </row>
    <row r="2111" spans="1:4" x14ac:dyDescent="0.2">
      <c r="A2111" t="s">
        <v>3989</v>
      </c>
      <c r="B2111" s="2">
        <v>42919</v>
      </c>
      <c r="C2111" t="s">
        <v>2286</v>
      </c>
      <c r="D2111" t="s">
        <v>1813</v>
      </c>
    </row>
    <row r="2112" spans="1:4" x14ac:dyDescent="0.2">
      <c r="A2112" t="s">
        <v>3990</v>
      </c>
      <c r="B2112" s="2">
        <v>43185</v>
      </c>
      <c r="C2112" t="s">
        <v>1905</v>
      </c>
      <c r="D2112" t="s">
        <v>1829</v>
      </c>
    </row>
    <row r="2113" spans="1:4" x14ac:dyDescent="0.2">
      <c r="A2113" t="s">
        <v>3991</v>
      </c>
      <c r="B2113" s="2">
        <v>43248</v>
      </c>
      <c r="C2113" t="s">
        <v>1806</v>
      </c>
      <c r="D2113" t="s">
        <v>1810</v>
      </c>
    </row>
    <row r="2114" spans="1:4" x14ac:dyDescent="0.2">
      <c r="A2114" t="s">
        <v>3992</v>
      </c>
      <c r="B2114" s="2">
        <v>43039</v>
      </c>
      <c r="C2114" t="s">
        <v>1809</v>
      </c>
      <c r="D2114" t="s">
        <v>1807</v>
      </c>
    </row>
    <row r="2115" spans="1:4" x14ac:dyDescent="0.2">
      <c r="A2115" t="s">
        <v>495</v>
      </c>
      <c r="B2115" s="2">
        <v>43102</v>
      </c>
      <c r="C2115" t="s">
        <v>1816</v>
      </c>
      <c r="D2115" t="s">
        <v>1810</v>
      </c>
    </row>
    <row r="2116" spans="1:4" x14ac:dyDescent="0.2">
      <c r="A2116" t="s">
        <v>3993</v>
      </c>
      <c r="B2116" s="2">
        <v>43160</v>
      </c>
      <c r="C2116" t="s">
        <v>1836</v>
      </c>
      <c r="D2116" t="s">
        <v>1031</v>
      </c>
    </row>
    <row r="2117" spans="1:4" x14ac:dyDescent="0.2">
      <c r="A2117" t="s">
        <v>497</v>
      </c>
      <c r="B2117" s="2">
        <v>43223</v>
      </c>
      <c r="C2117" t="s">
        <v>1863</v>
      </c>
      <c r="D2117" t="s">
        <v>1804</v>
      </c>
    </row>
    <row r="2118" spans="1:4" x14ac:dyDescent="0.2">
      <c r="A2118" t="s">
        <v>3994</v>
      </c>
      <c r="B2118" s="2">
        <v>43235</v>
      </c>
      <c r="C2118" t="s">
        <v>1863</v>
      </c>
      <c r="D2118" t="s">
        <v>1804</v>
      </c>
    </row>
    <row r="2119" spans="1:4" x14ac:dyDescent="0.2">
      <c r="A2119" t="s">
        <v>3995</v>
      </c>
      <c r="B2119" s="2">
        <v>43190</v>
      </c>
      <c r="C2119" t="s">
        <v>1816</v>
      </c>
      <c r="D2119" t="s">
        <v>1807</v>
      </c>
    </row>
    <row r="2120" spans="1:4" x14ac:dyDescent="0.2">
      <c r="A2120" t="s">
        <v>3996</v>
      </c>
      <c r="B2120" s="2">
        <v>43050</v>
      </c>
      <c r="C2120" t="s">
        <v>1816</v>
      </c>
      <c r="D2120" t="s">
        <v>1810</v>
      </c>
    </row>
    <row r="2121" spans="1:4" x14ac:dyDescent="0.2">
      <c r="A2121" t="s">
        <v>3997</v>
      </c>
      <c r="B2121" s="2">
        <v>43230</v>
      </c>
      <c r="C2121" t="s">
        <v>1863</v>
      </c>
      <c r="D2121" t="s">
        <v>1804</v>
      </c>
    </row>
    <row r="2122" spans="1:4" x14ac:dyDescent="0.2">
      <c r="A2122" t="s">
        <v>3998</v>
      </c>
      <c r="B2122" s="2">
        <v>42938</v>
      </c>
      <c r="C2122" t="s">
        <v>1836</v>
      </c>
      <c r="D2122" t="s">
        <v>1031</v>
      </c>
    </row>
    <row r="2123" spans="1:4" x14ac:dyDescent="0.2">
      <c r="A2123" t="s">
        <v>3999</v>
      </c>
      <c r="B2123" s="2">
        <v>43189</v>
      </c>
      <c r="C2123" t="s">
        <v>4000</v>
      </c>
      <c r="D2123" t="s">
        <v>1031</v>
      </c>
    </row>
    <row r="2124" spans="1:4" x14ac:dyDescent="0.2">
      <c r="A2124" t="s">
        <v>4001</v>
      </c>
      <c r="B2124" s="2">
        <v>43147</v>
      </c>
      <c r="C2124" t="s">
        <v>1930</v>
      </c>
      <c r="D2124" t="s">
        <v>1807</v>
      </c>
    </row>
    <row r="2125" spans="1:4" x14ac:dyDescent="0.2">
      <c r="A2125" t="s">
        <v>4002</v>
      </c>
      <c r="B2125" s="2">
        <v>43200</v>
      </c>
      <c r="C2125" t="s">
        <v>2078</v>
      </c>
      <c r="D2125" t="s">
        <v>1807</v>
      </c>
    </row>
    <row r="2126" spans="1:4" x14ac:dyDescent="0.2">
      <c r="A2126" t="s">
        <v>4003</v>
      </c>
      <c r="B2126" s="2">
        <v>43170</v>
      </c>
      <c r="C2126" t="s">
        <v>1930</v>
      </c>
      <c r="D2126" t="s">
        <v>1810</v>
      </c>
    </row>
    <row r="2127" spans="1:4" x14ac:dyDescent="0.2">
      <c r="A2127" t="s">
        <v>4004</v>
      </c>
      <c r="B2127" s="2">
        <v>42982</v>
      </c>
      <c r="C2127" t="s">
        <v>2193</v>
      </c>
      <c r="D2127" t="s">
        <v>1810</v>
      </c>
    </row>
    <row r="2128" spans="1:4" x14ac:dyDescent="0.2">
      <c r="A2128" t="s">
        <v>499</v>
      </c>
      <c r="B2128" s="2">
        <v>43234</v>
      </c>
      <c r="C2128" t="s">
        <v>1836</v>
      </c>
      <c r="D2128" t="s">
        <v>1031</v>
      </c>
    </row>
    <row r="2129" spans="1:4" x14ac:dyDescent="0.2">
      <c r="A2129" t="s">
        <v>4005</v>
      </c>
      <c r="B2129" s="2">
        <v>43190</v>
      </c>
      <c r="C2129" t="s">
        <v>1816</v>
      </c>
      <c r="D2129" t="s">
        <v>1031</v>
      </c>
    </row>
    <row r="2130" spans="1:4" x14ac:dyDescent="0.2">
      <c r="A2130" t="s">
        <v>4006</v>
      </c>
      <c r="B2130" s="2">
        <v>43015</v>
      </c>
      <c r="C2130" t="s">
        <v>1806</v>
      </c>
      <c r="D2130" t="s">
        <v>1807</v>
      </c>
    </row>
    <row r="2131" spans="1:4" x14ac:dyDescent="0.2">
      <c r="A2131" t="s">
        <v>4007</v>
      </c>
      <c r="B2131" s="2">
        <v>43131</v>
      </c>
      <c r="C2131" t="s">
        <v>1836</v>
      </c>
      <c r="D2131" t="s">
        <v>1031</v>
      </c>
    </row>
    <row r="2132" spans="1:4" x14ac:dyDescent="0.2">
      <c r="A2132" t="s">
        <v>4008</v>
      </c>
      <c r="B2132" s="2">
        <v>43107</v>
      </c>
      <c r="C2132" t="s">
        <v>1825</v>
      </c>
      <c r="D2132" t="s">
        <v>1804</v>
      </c>
    </row>
    <row r="2133" spans="1:4" x14ac:dyDescent="0.2">
      <c r="A2133" t="s">
        <v>4009</v>
      </c>
      <c r="B2133" s="2">
        <v>43143</v>
      </c>
      <c r="C2133" t="s">
        <v>1803</v>
      </c>
      <c r="D2133" t="s">
        <v>1804</v>
      </c>
    </row>
    <row r="2134" spans="1:4" x14ac:dyDescent="0.2">
      <c r="A2134" t="s">
        <v>4010</v>
      </c>
      <c r="B2134" s="2">
        <v>43094</v>
      </c>
      <c r="C2134" t="s">
        <v>1803</v>
      </c>
      <c r="D2134" t="s">
        <v>1804</v>
      </c>
    </row>
    <row r="2135" spans="1:4" x14ac:dyDescent="0.2">
      <c r="A2135" t="s">
        <v>4011</v>
      </c>
      <c r="B2135" s="2">
        <v>43171</v>
      </c>
      <c r="C2135" t="s">
        <v>1803</v>
      </c>
      <c r="D2135" t="s">
        <v>1804</v>
      </c>
    </row>
    <row r="2136" spans="1:4" x14ac:dyDescent="0.2">
      <c r="A2136" t="s">
        <v>4012</v>
      </c>
      <c r="B2136" s="2">
        <v>43175</v>
      </c>
      <c r="C2136" t="s">
        <v>1836</v>
      </c>
      <c r="D2136" t="s">
        <v>1031</v>
      </c>
    </row>
    <row r="2137" spans="1:4" x14ac:dyDescent="0.2">
      <c r="A2137" t="s">
        <v>501</v>
      </c>
      <c r="B2137" s="2">
        <v>43221</v>
      </c>
      <c r="C2137" t="s">
        <v>1867</v>
      </c>
      <c r="D2137" t="s">
        <v>1807</v>
      </c>
    </row>
    <row r="2138" spans="1:4" x14ac:dyDescent="0.2">
      <c r="A2138" t="s">
        <v>4013</v>
      </c>
      <c r="B2138" s="2">
        <v>43182</v>
      </c>
      <c r="C2138" t="s">
        <v>1816</v>
      </c>
      <c r="D2138" t="s">
        <v>1807</v>
      </c>
    </row>
    <row r="2139" spans="1:4" x14ac:dyDescent="0.2">
      <c r="A2139" t="s">
        <v>4014</v>
      </c>
      <c r="B2139" s="2">
        <v>43171</v>
      </c>
      <c r="C2139" t="s">
        <v>1905</v>
      </c>
      <c r="D2139" t="s">
        <v>160</v>
      </c>
    </row>
    <row r="2140" spans="1:4" x14ac:dyDescent="0.2">
      <c r="A2140" t="s">
        <v>4015</v>
      </c>
      <c r="B2140" s="2">
        <v>43230</v>
      </c>
      <c r="C2140" t="s">
        <v>2048</v>
      </c>
      <c r="D2140" t="s">
        <v>1807</v>
      </c>
    </row>
    <row r="2141" spans="1:4" x14ac:dyDescent="0.2">
      <c r="A2141" t="s">
        <v>4016</v>
      </c>
      <c r="B2141" s="2">
        <v>42920</v>
      </c>
      <c r="C2141" t="s">
        <v>4017</v>
      </c>
      <c r="D2141" t="s">
        <v>1849</v>
      </c>
    </row>
    <row r="2142" spans="1:4" x14ac:dyDescent="0.2">
      <c r="A2142" t="s">
        <v>4018</v>
      </c>
      <c r="B2142" s="2">
        <v>43250</v>
      </c>
      <c r="C2142" t="s">
        <v>2242</v>
      </c>
      <c r="D2142" t="s">
        <v>1840</v>
      </c>
    </row>
    <row r="2143" spans="1:4" x14ac:dyDescent="0.2">
      <c r="A2143" t="s">
        <v>4019</v>
      </c>
      <c r="B2143" s="2">
        <v>43130</v>
      </c>
      <c r="C2143" t="s">
        <v>1803</v>
      </c>
      <c r="D2143" t="s">
        <v>1804</v>
      </c>
    </row>
    <row r="2144" spans="1:4" x14ac:dyDescent="0.2">
      <c r="A2144" t="s">
        <v>4020</v>
      </c>
      <c r="B2144" s="2">
        <v>43121</v>
      </c>
      <c r="C2144" t="s">
        <v>1814</v>
      </c>
      <c r="D2144" t="s">
        <v>1810</v>
      </c>
    </row>
    <row r="2145" spans="1:4" x14ac:dyDescent="0.2">
      <c r="A2145" t="s">
        <v>4021</v>
      </c>
      <c r="B2145" s="2">
        <v>43220</v>
      </c>
      <c r="C2145" t="s">
        <v>1832</v>
      </c>
      <c r="D2145" t="s">
        <v>1807</v>
      </c>
    </row>
    <row r="2146" spans="1:4" x14ac:dyDescent="0.2">
      <c r="A2146" t="s">
        <v>4022</v>
      </c>
      <c r="B2146" s="2">
        <v>43004</v>
      </c>
      <c r="C2146" t="s">
        <v>2576</v>
      </c>
      <c r="D2146" t="s">
        <v>1810</v>
      </c>
    </row>
    <row r="2147" spans="1:4" x14ac:dyDescent="0.2">
      <c r="A2147" t="s">
        <v>4023</v>
      </c>
      <c r="B2147" s="2">
        <v>43181</v>
      </c>
      <c r="C2147" t="s">
        <v>1828</v>
      </c>
      <c r="D2147" t="s">
        <v>1810</v>
      </c>
    </row>
    <row r="2148" spans="1:4" x14ac:dyDescent="0.2">
      <c r="A2148" t="s">
        <v>4024</v>
      </c>
      <c r="B2148" s="2">
        <v>43220</v>
      </c>
      <c r="C2148" t="s">
        <v>1863</v>
      </c>
      <c r="D2148" t="s">
        <v>1804</v>
      </c>
    </row>
    <row r="2149" spans="1:4" x14ac:dyDescent="0.2">
      <c r="A2149" t="s">
        <v>4025</v>
      </c>
      <c r="B2149" s="2">
        <v>43126</v>
      </c>
      <c r="C2149" t="s">
        <v>1937</v>
      </c>
      <c r="D2149" t="s">
        <v>1810</v>
      </c>
    </row>
    <row r="2150" spans="1:4" x14ac:dyDescent="0.2">
      <c r="A2150" t="s">
        <v>4026</v>
      </c>
      <c r="B2150" s="2">
        <v>42963</v>
      </c>
      <c r="C2150" t="s">
        <v>1825</v>
      </c>
      <c r="D2150" t="s">
        <v>1810</v>
      </c>
    </row>
    <row r="2151" spans="1:4" x14ac:dyDescent="0.2">
      <c r="A2151" t="s">
        <v>503</v>
      </c>
      <c r="B2151" s="2">
        <v>42948</v>
      </c>
      <c r="C2151" t="s">
        <v>1843</v>
      </c>
      <c r="D2151" t="s">
        <v>1807</v>
      </c>
    </row>
    <row r="2152" spans="1:4" x14ac:dyDescent="0.2">
      <c r="A2152" t="s">
        <v>505</v>
      </c>
      <c r="B2152" s="2">
        <v>43198</v>
      </c>
      <c r="C2152" t="s">
        <v>2115</v>
      </c>
      <c r="D2152" t="s">
        <v>1804</v>
      </c>
    </row>
    <row r="2153" spans="1:4" x14ac:dyDescent="0.2">
      <c r="A2153" t="s">
        <v>4027</v>
      </c>
      <c r="B2153" s="2">
        <v>43012</v>
      </c>
      <c r="C2153" t="s">
        <v>1939</v>
      </c>
      <c r="D2153" t="s">
        <v>1810</v>
      </c>
    </row>
    <row r="2154" spans="1:4" x14ac:dyDescent="0.2">
      <c r="A2154" t="s">
        <v>4028</v>
      </c>
      <c r="B2154" s="2">
        <v>43235</v>
      </c>
      <c r="C2154" t="s">
        <v>2096</v>
      </c>
      <c r="D2154" t="s">
        <v>1810</v>
      </c>
    </row>
    <row r="2155" spans="1:4" x14ac:dyDescent="0.2">
      <c r="A2155" t="s">
        <v>4029</v>
      </c>
      <c r="B2155" s="2">
        <v>43244</v>
      </c>
      <c r="C2155" t="s">
        <v>4030</v>
      </c>
      <c r="D2155" t="s">
        <v>1810</v>
      </c>
    </row>
    <row r="2156" spans="1:4" x14ac:dyDescent="0.2">
      <c r="A2156" t="s">
        <v>4031</v>
      </c>
      <c r="B2156" s="2">
        <v>43196</v>
      </c>
      <c r="C2156" t="s">
        <v>1816</v>
      </c>
      <c r="D2156" t="s">
        <v>1031</v>
      </c>
    </row>
    <row r="2157" spans="1:4" x14ac:dyDescent="0.2">
      <c r="A2157" t="s">
        <v>4032</v>
      </c>
      <c r="B2157" s="2">
        <v>43102</v>
      </c>
      <c r="C2157" t="s">
        <v>4033</v>
      </c>
      <c r="D2157" t="s">
        <v>1810</v>
      </c>
    </row>
    <row r="2158" spans="1:4" x14ac:dyDescent="0.2">
      <c r="A2158" t="s">
        <v>4034</v>
      </c>
      <c r="B2158" s="2">
        <v>43115</v>
      </c>
      <c r="C2158" t="s">
        <v>1816</v>
      </c>
      <c r="D2158" t="s">
        <v>1810</v>
      </c>
    </row>
    <row r="2159" spans="1:4" x14ac:dyDescent="0.2">
      <c r="A2159" t="s">
        <v>4035</v>
      </c>
      <c r="B2159" s="2">
        <v>42998</v>
      </c>
      <c r="C2159" t="s">
        <v>1806</v>
      </c>
      <c r="D2159" t="s">
        <v>1807</v>
      </c>
    </row>
    <row r="2160" spans="1:4" x14ac:dyDescent="0.2">
      <c r="A2160" t="s">
        <v>4036</v>
      </c>
      <c r="B2160" s="2">
        <v>43155</v>
      </c>
      <c r="C2160" t="s">
        <v>1834</v>
      </c>
      <c r="D2160" t="s">
        <v>1810</v>
      </c>
    </row>
    <row r="2161" spans="1:4" x14ac:dyDescent="0.2">
      <c r="A2161" t="s">
        <v>4037</v>
      </c>
      <c r="B2161" s="2">
        <v>43158</v>
      </c>
      <c r="C2161" t="s">
        <v>2344</v>
      </c>
      <c r="D2161" t="s">
        <v>1031</v>
      </c>
    </row>
    <row r="2162" spans="1:4" x14ac:dyDescent="0.2">
      <c r="A2162" t="s">
        <v>4038</v>
      </c>
      <c r="B2162" s="2">
        <v>43153</v>
      </c>
      <c r="C2162" t="s">
        <v>1836</v>
      </c>
      <c r="D2162" t="s">
        <v>1810</v>
      </c>
    </row>
    <row r="2163" spans="1:4" x14ac:dyDescent="0.2">
      <c r="A2163" t="s">
        <v>507</v>
      </c>
      <c r="B2163" s="2">
        <v>43245</v>
      </c>
      <c r="C2163" t="s">
        <v>1930</v>
      </c>
      <c r="D2163" t="s">
        <v>1807</v>
      </c>
    </row>
    <row r="2164" spans="1:4" x14ac:dyDescent="0.2">
      <c r="A2164" t="s">
        <v>4039</v>
      </c>
      <c r="B2164" s="2">
        <v>43165</v>
      </c>
      <c r="C2164" t="s">
        <v>1825</v>
      </c>
      <c r="D2164" t="s">
        <v>1810</v>
      </c>
    </row>
    <row r="2165" spans="1:4" x14ac:dyDescent="0.2">
      <c r="A2165" t="s">
        <v>4040</v>
      </c>
      <c r="B2165" s="2">
        <v>43228</v>
      </c>
      <c r="C2165" t="s">
        <v>1836</v>
      </c>
      <c r="D2165" t="s">
        <v>1031</v>
      </c>
    </row>
    <row r="2166" spans="1:4" x14ac:dyDescent="0.2">
      <c r="A2166" t="s">
        <v>4041</v>
      </c>
      <c r="B2166" s="2">
        <v>42987</v>
      </c>
      <c r="C2166" t="s">
        <v>1894</v>
      </c>
      <c r="D2166" t="s">
        <v>1804</v>
      </c>
    </row>
    <row r="2167" spans="1:4" x14ac:dyDescent="0.2">
      <c r="A2167" t="s">
        <v>4042</v>
      </c>
      <c r="B2167" s="2">
        <v>43169</v>
      </c>
      <c r="C2167" t="s">
        <v>1803</v>
      </c>
      <c r="D2167" t="s">
        <v>1804</v>
      </c>
    </row>
    <row r="2168" spans="1:4" x14ac:dyDescent="0.2">
      <c r="A2168" t="s">
        <v>4043</v>
      </c>
      <c r="B2168" s="2">
        <v>43214</v>
      </c>
      <c r="C2168" t="s">
        <v>1863</v>
      </c>
      <c r="D2168" t="s">
        <v>1804</v>
      </c>
    </row>
    <row r="2169" spans="1:4" x14ac:dyDescent="0.2">
      <c r="A2169" t="s">
        <v>4044</v>
      </c>
      <c r="B2169" s="2">
        <v>43137</v>
      </c>
      <c r="C2169" t="s">
        <v>1836</v>
      </c>
      <c r="D2169" t="s">
        <v>1813</v>
      </c>
    </row>
    <row r="2170" spans="1:4" x14ac:dyDescent="0.2">
      <c r="A2170" t="s">
        <v>4045</v>
      </c>
      <c r="B2170" s="2">
        <v>42955</v>
      </c>
      <c r="C2170" t="s">
        <v>1894</v>
      </c>
      <c r="D2170" t="s">
        <v>1804</v>
      </c>
    </row>
    <row r="2171" spans="1:4" x14ac:dyDescent="0.2">
      <c r="A2171" t="s">
        <v>4046</v>
      </c>
      <c r="B2171" s="2">
        <v>43130</v>
      </c>
      <c r="C2171" t="s">
        <v>1930</v>
      </c>
      <c r="D2171" t="s">
        <v>1829</v>
      </c>
    </row>
    <row r="2172" spans="1:4" x14ac:dyDescent="0.2">
      <c r="A2172" t="s">
        <v>4047</v>
      </c>
      <c r="B2172" s="2">
        <v>43048</v>
      </c>
      <c r="C2172" t="s">
        <v>1803</v>
      </c>
      <c r="D2172" t="s">
        <v>1804</v>
      </c>
    </row>
    <row r="2173" spans="1:4" x14ac:dyDescent="0.2">
      <c r="A2173" t="s">
        <v>4048</v>
      </c>
      <c r="B2173" s="2">
        <v>42967</v>
      </c>
      <c r="C2173" t="s">
        <v>1894</v>
      </c>
      <c r="D2173" t="s">
        <v>1804</v>
      </c>
    </row>
    <row r="2174" spans="1:4" x14ac:dyDescent="0.2">
      <c r="A2174" t="s">
        <v>4049</v>
      </c>
      <c r="B2174" s="2">
        <v>43237</v>
      </c>
      <c r="C2174" t="s">
        <v>2066</v>
      </c>
      <c r="D2174" t="s">
        <v>1813</v>
      </c>
    </row>
    <row r="2175" spans="1:4" x14ac:dyDescent="0.2">
      <c r="A2175" t="s">
        <v>4050</v>
      </c>
      <c r="B2175" s="2">
        <v>43221</v>
      </c>
      <c r="C2175" t="s">
        <v>2831</v>
      </c>
      <c r="D2175" t="s">
        <v>1807</v>
      </c>
    </row>
    <row r="2176" spans="1:4" x14ac:dyDescent="0.2">
      <c r="A2176" t="s">
        <v>4051</v>
      </c>
      <c r="B2176" s="2">
        <v>43127</v>
      </c>
      <c r="C2176" t="s">
        <v>1930</v>
      </c>
      <c r="D2176" t="s">
        <v>1807</v>
      </c>
    </row>
    <row r="2177" spans="1:4" x14ac:dyDescent="0.2">
      <c r="A2177" t="s">
        <v>4052</v>
      </c>
      <c r="B2177" s="2">
        <v>43191</v>
      </c>
      <c r="C2177" t="s">
        <v>1816</v>
      </c>
      <c r="D2177" t="s">
        <v>1810</v>
      </c>
    </row>
    <row r="2178" spans="1:4" x14ac:dyDescent="0.2">
      <c r="A2178" t="s">
        <v>4053</v>
      </c>
      <c r="B2178" s="2">
        <v>43109</v>
      </c>
      <c r="C2178" t="s">
        <v>1930</v>
      </c>
      <c r="D2178" t="s">
        <v>1807</v>
      </c>
    </row>
    <row r="2179" spans="1:4" x14ac:dyDescent="0.2">
      <c r="A2179" t="s">
        <v>4054</v>
      </c>
      <c r="B2179" s="2">
        <v>43129</v>
      </c>
      <c r="C2179" t="s">
        <v>1825</v>
      </c>
      <c r="D2179" t="s">
        <v>1804</v>
      </c>
    </row>
    <row r="2180" spans="1:4" x14ac:dyDescent="0.2">
      <c r="A2180" t="s">
        <v>4055</v>
      </c>
      <c r="B2180" s="2">
        <v>43177</v>
      </c>
      <c r="C2180" t="s">
        <v>2023</v>
      </c>
      <c r="D2180" t="s">
        <v>1804</v>
      </c>
    </row>
    <row r="2181" spans="1:4" x14ac:dyDescent="0.2">
      <c r="A2181" t="s">
        <v>4056</v>
      </c>
      <c r="B2181" s="2">
        <v>42938</v>
      </c>
      <c r="C2181" t="s">
        <v>1987</v>
      </c>
      <c r="D2181" t="s">
        <v>1807</v>
      </c>
    </row>
    <row r="2182" spans="1:4" x14ac:dyDescent="0.2">
      <c r="A2182" t="s">
        <v>4057</v>
      </c>
      <c r="B2182" s="2">
        <v>43171</v>
      </c>
      <c r="C2182" t="s">
        <v>1816</v>
      </c>
      <c r="D2182" t="s">
        <v>1807</v>
      </c>
    </row>
    <row r="2183" spans="1:4" x14ac:dyDescent="0.2">
      <c r="A2183" t="s">
        <v>4058</v>
      </c>
      <c r="B2183" s="2">
        <v>43160</v>
      </c>
      <c r="C2183" t="s">
        <v>1885</v>
      </c>
      <c r="D2183" t="s">
        <v>1807</v>
      </c>
    </row>
    <row r="2184" spans="1:4" x14ac:dyDescent="0.2">
      <c r="A2184" t="s">
        <v>4059</v>
      </c>
      <c r="B2184" s="2">
        <v>42962</v>
      </c>
      <c r="C2184" t="s">
        <v>1836</v>
      </c>
      <c r="D2184" t="s">
        <v>1031</v>
      </c>
    </row>
    <row r="2185" spans="1:4" x14ac:dyDescent="0.2">
      <c r="A2185" t="s">
        <v>4060</v>
      </c>
      <c r="B2185" s="2">
        <v>43032</v>
      </c>
      <c r="C2185" t="s">
        <v>4061</v>
      </c>
      <c r="D2185" t="s">
        <v>1807</v>
      </c>
    </row>
    <row r="2186" spans="1:4" x14ac:dyDescent="0.2">
      <c r="A2186" t="s">
        <v>4062</v>
      </c>
      <c r="B2186" s="2">
        <v>43230</v>
      </c>
      <c r="C2186" t="s">
        <v>1836</v>
      </c>
      <c r="D2186" t="s">
        <v>1031</v>
      </c>
    </row>
    <row r="2187" spans="1:4" x14ac:dyDescent="0.2">
      <c r="A2187" t="s">
        <v>4063</v>
      </c>
      <c r="B2187" s="2">
        <v>43180</v>
      </c>
      <c r="C2187" t="s">
        <v>2998</v>
      </c>
      <c r="D2187" t="s">
        <v>1810</v>
      </c>
    </row>
    <row r="2188" spans="1:4" x14ac:dyDescent="0.2">
      <c r="A2188" t="s">
        <v>4064</v>
      </c>
      <c r="B2188" s="2">
        <v>43166</v>
      </c>
      <c r="C2188" t="s">
        <v>1993</v>
      </c>
      <c r="D2188" t="s">
        <v>1031</v>
      </c>
    </row>
    <row r="2189" spans="1:4" x14ac:dyDescent="0.2">
      <c r="A2189" t="s">
        <v>4065</v>
      </c>
      <c r="B2189" s="2">
        <v>43239</v>
      </c>
      <c r="C2189" t="s">
        <v>2242</v>
      </c>
      <c r="D2189" t="s">
        <v>1810</v>
      </c>
    </row>
    <row r="2190" spans="1:4" x14ac:dyDescent="0.2">
      <c r="A2190" t="s">
        <v>4066</v>
      </c>
      <c r="B2190" s="2">
        <v>43157</v>
      </c>
      <c r="C2190" t="s">
        <v>2108</v>
      </c>
      <c r="D2190" t="s">
        <v>1813</v>
      </c>
    </row>
    <row r="2191" spans="1:4" x14ac:dyDescent="0.2">
      <c r="A2191" t="s">
        <v>4067</v>
      </c>
      <c r="B2191" s="2">
        <v>42983</v>
      </c>
      <c r="C2191" t="s">
        <v>1880</v>
      </c>
      <c r="D2191" t="s">
        <v>1031</v>
      </c>
    </row>
    <row r="2192" spans="1:4" x14ac:dyDescent="0.2">
      <c r="A2192" t="s">
        <v>4068</v>
      </c>
      <c r="B2192" s="2">
        <v>43220</v>
      </c>
      <c r="C2192" t="s">
        <v>2503</v>
      </c>
      <c r="D2192" t="s">
        <v>1810</v>
      </c>
    </row>
    <row r="2193" spans="1:4" x14ac:dyDescent="0.2">
      <c r="A2193" t="s">
        <v>4069</v>
      </c>
      <c r="B2193" s="2">
        <v>43172</v>
      </c>
      <c r="C2193" t="s">
        <v>1836</v>
      </c>
      <c r="D2193" t="s">
        <v>1031</v>
      </c>
    </row>
    <row r="2194" spans="1:4" x14ac:dyDescent="0.2">
      <c r="A2194" t="s">
        <v>4070</v>
      </c>
      <c r="B2194" s="2">
        <v>43097</v>
      </c>
      <c r="C2194" t="s">
        <v>2033</v>
      </c>
      <c r="D2194" t="s">
        <v>1849</v>
      </c>
    </row>
    <row r="2195" spans="1:4" x14ac:dyDescent="0.2">
      <c r="A2195" t="s">
        <v>4071</v>
      </c>
      <c r="B2195" s="2">
        <v>43118</v>
      </c>
      <c r="C2195" t="s">
        <v>2163</v>
      </c>
      <c r="D2195" t="s">
        <v>1810</v>
      </c>
    </row>
    <row r="2196" spans="1:4" x14ac:dyDescent="0.2">
      <c r="A2196" t="s">
        <v>4072</v>
      </c>
      <c r="B2196" s="2">
        <v>43234</v>
      </c>
      <c r="C2196" t="s">
        <v>1836</v>
      </c>
      <c r="D2196" t="s">
        <v>1807</v>
      </c>
    </row>
    <row r="2197" spans="1:4" x14ac:dyDescent="0.2">
      <c r="A2197" t="s">
        <v>510</v>
      </c>
      <c r="B2197" s="2">
        <v>42976</v>
      </c>
      <c r="C2197" t="s">
        <v>1806</v>
      </c>
      <c r="D2197" t="s">
        <v>1810</v>
      </c>
    </row>
    <row r="2198" spans="1:4" x14ac:dyDescent="0.2">
      <c r="A2198" t="s">
        <v>4073</v>
      </c>
      <c r="B2198" s="2">
        <v>43217</v>
      </c>
      <c r="C2198" t="s">
        <v>2115</v>
      </c>
      <c r="D2198" t="s">
        <v>1804</v>
      </c>
    </row>
    <row r="2199" spans="1:4" x14ac:dyDescent="0.2">
      <c r="A2199" t="s">
        <v>4074</v>
      </c>
      <c r="B2199" s="2">
        <v>43144</v>
      </c>
      <c r="C2199" t="s">
        <v>1836</v>
      </c>
      <c r="D2199" t="s">
        <v>1031</v>
      </c>
    </row>
    <row r="2200" spans="1:4" x14ac:dyDescent="0.2">
      <c r="A2200" t="s">
        <v>512</v>
      </c>
      <c r="B2200" s="2">
        <v>43136</v>
      </c>
      <c r="C2200" t="s">
        <v>1816</v>
      </c>
      <c r="D2200" t="s">
        <v>1810</v>
      </c>
    </row>
    <row r="2201" spans="1:4" x14ac:dyDescent="0.2">
      <c r="A2201" t="s">
        <v>4075</v>
      </c>
      <c r="B2201" s="2">
        <v>43235</v>
      </c>
      <c r="C2201" t="s">
        <v>1827</v>
      </c>
      <c r="D2201" t="s">
        <v>1807</v>
      </c>
    </row>
    <row r="2202" spans="1:4" x14ac:dyDescent="0.2">
      <c r="A2202" t="s">
        <v>4076</v>
      </c>
      <c r="B2202" s="2">
        <v>42948</v>
      </c>
      <c r="C2202" t="s">
        <v>1836</v>
      </c>
      <c r="D2202" t="s">
        <v>1031</v>
      </c>
    </row>
    <row r="2203" spans="1:4" x14ac:dyDescent="0.2">
      <c r="A2203" t="s">
        <v>4077</v>
      </c>
      <c r="B2203" s="2">
        <v>43250</v>
      </c>
      <c r="C2203" t="s">
        <v>1865</v>
      </c>
      <c r="D2203" t="s">
        <v>1807</v>
      </c>
    </row>
    <row r="2204" spans="1:4" x14ac:dyDescent="0.2">
      <c r="A2204" t="s">
        <v>4078</v>
      </c>
      <c r="B2204" s="2">
        <v>43192</v>
      </c>
      <c r="C2204" t="s">
        <v>1816</v>
      </c>
      <c r="D2204" t="s">
        <v>1840</v>
      </c>
    </row>
    <row r="2205" spans="1:4" x14ac:dyDescent="0.2">
      <c r="A2205" t="s">
        <v>4079</v>
      </c>
      <c r="B2205" s="2">
        <v>43110</v>
      </c>
      <c r="C2205" t="s">
        <v>1905</v>
      </c>
      <c r="D2205" t="s">
        <v>1810</v>
      </c>
    </row>
    <row r="2206" spans="1:4" x14ac:dyDescent="0.2">
      <c r="A2206" t="s">
        <v>4080</v>
      </c>
      <c r="B2206" s="2">
        <v>43191</v>
      </c>
      <c r="C2206" t="s">
        <v>1905</v>
      </c>
      <c r="D2206" t="s">
        <v>1849</v>
      </c>
    </row>
    <row r="2207" spans="1:4" x14ac:dyDescent="0.2">
      <c r="A2207" t="s">
        <v>514</v>
      </c>
      <c r="B2207" s="2">
        <v>43150</v>
      </c>
      <c r="C2207" t="s">
        <v>1836</v>
      </c>
      <c r="D2207" t="s">
        <v>1810</v>
      </c>
    </row>
    <row r="2208" spans="1:4" x14ac:dyDescent="0.2">
      <c r="A2208" t="s">
        <v>4081</v>
      </c>
      <c r="B2208" s="2">
        <v>42979</v>
      </c>
      <c r="C2208" t="s">
        <v>1880</v>
      </c>
      <c r="D2208" t="s">
        <v>1810</v>
      </c>
    </row>
    <row r="2209" spans="1:4" x14ac:dyDescent="0.2">
      <c r="A2209" t="s">
        <v>4082</v>
      </c>
      <c r="B2209" s="2">
        <v>43247</v>
      </c>
      <c r="C2209" t="s">
        <v>1809</v>
      </c>
      <c r="D2209" t="s">
        <v>1810</v>
      </c>
    </row>
    <row r="2210" spans="1:4" x14ac:dyDescent="0.2">
      <c r="A2210" t="s">
        <v>4083</v>
      </c>
      <c r="B2210" s="2">
        <v>43182</v>
      </c>
      <c r="C2210" t="s">
        <v>1867</v>
      </c>
      <c r="D2210" t="s">
        <v>1810</v>
      </c>
    </row>
    <row r="2211" spans="1:4" x14ac:dyDescent="0.2">
      <c r="A2211" t="s">
        <v>4084</v>
      </c>
      <c r="B2211" s="2">
        <v>43139</v>
      </c>
      <c r="C2211" t="s">
        <v>4085</v>
      </c>
      <c r="D2211" t="s">
        <v>1813</v>
      </c>
    </row>
    <row r="2212" spans="1:4" x14ac:dyDescent="0.2">
      <c r="A2212" t="s">
        <v>516</v>
      </c>
      <c r="B2212" s="2">
        <v>43187</v>
      </c>
      <c r="C2212" t="s">
        <v>4086</v>
      </c>
      <c r="D2212" t="s">
        <v>1813</v>
      </c>
    </row>
    <row r="2213" spans="1:4" x14ac:dyDescent="0.2">
      <c r="A2213" t="s">
        <v>4087</v>
      </c>
      <c r="B2213" s="2">
        <v>43222</v>
      </c>
      <c r="C2213" t="s">
        <v>1827</v>
      </c>
      <c r="D2213" t="s">
        <v>1807</v>
      </c>
    </row>
    <row r="2214" spans="1:4" x14ac:dyDescent="0.2">
      <c r="A2214" t="s">
        <v>4088</v>
      </c>
      <c r="B2214" s="2">
        <v>43195</v>
      </c>
      <c r="C2214" t="s">
        <v>1836</v>
      </c>
      <c r="D2214" t="s">
        <v>1031</v>
      </c>
    </row>
    <row r="2215" spans="1:4" x14ac:dyDescent="0.2">
      <c r="A2215" t="s">
        <v>4089</v>
      </c>
      <c r="B2215" s="2">
        <v>43225</v>
      </c>
      <c r="C2215" t="s">
        <v>1825</v>
      </c>
      <c r="D2215" t="s">
        <v>1810</v>
      </c>
    </row>
    <row r="2216" spans="1:4" x14ac:dyDescent="0.2">
      <c r="A2216" t="s">
        <v>4090</v>
      </c>
      <c r="B2216" s="2">
        <v>42983</v>
      </c>
      <c r="C2216" t="s">
        <v>2101</v>
      </c>
      <c r="D2216" t="s">
        <v>1840</v>
      </c>
    </row>
    <row r="2217" spans="1:4" x14ac:dyDescent="0.2">
      <c r="A2217" t="s">
        <v>518</v>
      </c>
      <c r="B2217" s="2">
        <v>43131</v>
      </c>
      <c r="C2217" t="s">
        <v>1809</v>
      </c>
      <c r="D2217" t="s">
        <v>1810</v>
      </c>
    </row>
    <row r="2218" spans="1:4" x14ac:dyDescent="0.2">
      <c r="A2218" t="s">
        <v>4091</v>
      </c>
      <c r="B2218" s="2">
        <v>43148</v>
      </c>
      <c r="C2218" t="s">
        <v>4092</v>
      </c>
      <c r="D2218" t="s">
        <v>1810</v>
      </c>
    </row>
    <row r="2219" spans="1:4" x14ac:dyDescent="0.2">
      <c r="A2219" t="s">
        <v>4093</v>
      </c>
      <c r="B2219" s="2">
        <v>43122</v>
      </c>
      <c r="C2219" t="s">
        <v>1812</v>
      </c>
      <c r="D2219" t="s">
        <v>1829</v>
      </c>
    </row>
    <row r="2220" spans="1:4" x14ac:dyDescent="0.2">
      <c r="A2220" t="s">
        <v>520</v>
      </c>
      <c r="B2220" s="2">
        <v>43246</v>
      </c>
      <c r="C2220" t="s">
        <v>1816</v>
      </c>
      <c r="D2220" t="s">
        <v>1810</v>
      </c>
    </row>
    <row r="2221" spans="1:4" x14ac:dyDescent="0.2">
      <c r="A2221" t="s">
        <v>4094</v>
      </c>
      <c r="B2221" s="2">
        <v>43212</v>
      </c>
      <c r="C2221" t="s">
        <v>2078</v>
      </c>
      <c r="D2221" t="s">
        <v>1807</v>
      </c>
    </row>
    <row r="2222" spans="1:4" x14ac:dyDescent="0.2">
      <c r="A2222" t="s">
        <v>4095</v>
      </c>
      <c r="B2222" s="2">
        <v>43215</v>
      </c>
      <c r="C2222" t="s">
        <v>4096</v>
      </c>
      <c r="D2222" t="s">
        <v>1810</v>
      </c>
    </row>
    <row r="2223" spans="1:4" x14ac:dyDescent="0.2">
      <c r="A2223" t="s">
        <v>4097</v>
      </c>
      <c r="B2223" s="2">
        <v>43092</v>
      </c>
      <c r="C2223" t="s">
        <v>1825</v>
      </c>
      <c r="D2223" t="s">
        <v>1829</v>
      </c>
    </row>
    <row r="2224" spans="1:4" x14ac:dyDescent="0.2">
      <c r="A2224" t="s">
        <v>4098</v>
      </c>
      <c r="B2224" s="2">
        <v>42949</v>
      </c>
      <c r="C2224" t="s">
        <v>3419</v>
      </c>
      <c r="D2224" t="s">
        <v>1810</v>
      </c>
    </row>
    <row r="2225" spans="1:4" x14ac:dyDescent="0.2">
      <c r="A2225" t="s">
        <v>4099</v>
      </c>
      <c r="B2225" s="2">
        <v>43224</v>
      </c>
      <c r="C2225" t="s">
        <v>3650</v>
      </c>
      <c r="D2225" t="s">
        <v>1813</v>
      </c>
    </row>
    <row r="2226" spans="1:4" x14ac:dyDescent="0.2">
      <c r="A2226" t="s">
        <v>522</v>
      </c>
      <c r="B2226" s="2">
        <v>43157</v>
      </c>
      <c r="C2226" t="s">
        <v>1885</v>
      </c>
      <c r="D2226" t="s">
        <v>1807</v>
      </c>
    </row>
    <row r="2227" spans="1:4" x14ac:dyDescent="0.2">
      <c r="A2227" t="s">
        <v>4100</v>
      </c>
      <c r="B2227" s="2">
        <v>43186</v>
      </c>
      <c r="C2227" t="s">
        <v>2242</v>
      </c>
      <c r="D2227" t="s">
        <v>1807</v>
      </c>
    </row>
    <row r="2228" spans="1:4" x14ac:dyDescent="0.2">
      <c r="A2228" t="s">
        <v>4101</v>
      </c>
      <c r="B2228" s="2">
        <v>43195</v>
      </c>
      <c r="C2228" t="s">
        <v>1863</v>
      </c>
      <c r="D2228" t="s">
        <v>1804</v>
      </c>
    </row>
    <row r="2229" spans="1:4" x14ac:dyDescent="0.2">
      <c r="A2229" t="s">
        <v>4102</v>
      </c>
      <c r="B2229" s="2">
        <v>43206</v>
      </c>
      <c r="C2229" t="s">
        <v>1905</v>
      </c>
      <c r="D2229" t="s">
        <v>1829</v>
      </c>
    </row>
    <row r="2230" spans="1:4" x14ac:dyDescent="0.2">
      <c r="A2230" t="s">
        <v>4103</v>
      </c>
      <c r="B2230" s="2">
        <v>43117</v>
      </c>
      <c r="C2230" t="s">
        <v>1814</v>
      </c>
      <c r="D2230" t="s">
        <v>1810</v>
      </c>
    </row>
    <row r="2231" spans="1:4" x14ac:dyDescent="0.2">
      <c r="A2231" t="s">
        <v>4104</v>
      </c>
      <c r="B2231" s="2">
        <v>43105</v>
      </c>
      <c r="C2231" t="s">
        <v>1831</v>
      </c>
      <c r="D2231" t="s">
        <v>160</v>
      </c>
    </row>
    <row r="2232" spans="1:4" x14ac:dyDescent="0.2">
      <c r="A2232" t="s">
        <v>4105</v>
      </c>
      <c r="B2232" s="2">
        <v>43145</v>
      </c>
      <c r="C2232" t="s">
        <v>1836</v>
      </c>
      <c r="D2232" t="s">
        <v>1031</v>
      </c>
    </row>
    <row r="2233" spans="1:4" x14ac:dyDescent="0.2">
      <c r="A2233" t="s">
        <v>4106</v>
      </c>
      <c r="B2233" s="2">
        <v>43111</v>
      </c>
      <c r="C2233" t="s">
        <v>1825</v>
      </c>
      <c r="D2233" t="s">
        <v>1810</v>
      </c>
    </row>
    <row r="2234" spans="1:4" x14ac:dyDescent="0.2">
      <c r="A2234" t="s">
        <v>4107</v>
      </c>
      <c r="B2234" s="2">
        <v>43107</v>
      </c>
      <c r="C2234" t="s">
        <v>1987</v>
      </c>
      <c r="D2234" t="s">
        <v>1807</v>
      </c>
    </row>
    <row r="2235" spans="1:4" x14ac:dyDescent="0.2">
      <c r="A2235" t="s">
        <v>4108</v>
      </c>
      <c r="B2235" s="2">
        <v>43224</v>
      </c>
      <c r="C2235" t="s">
        <v>1902</v>
      </c>
      <c r="D2235" t="s">
        <v>1804</v>
      </c>
    </row>
    <row r="2236" spans="1:4" x14ac:dyDescent="0.2">
      <c r="A2236" t="s">
        <v>4109</v>
      </c>
      <c r="B2236" s="2">
        <v>43207</v>
      </c>
      <c r="C2236" t="s">
        <v>4110</v>
      </c>
      <c r="D2236" t="s">
        <v>1796</v>
      </c>
    </row>
    <row r="2237" spans="1:4" x14ac:dyDescent="0.2">
      <c r="A2237" t="s">
        <v>4111</v>
      </c>
      <c r="B2237" s="2">
        <v>43250</v>
      </c>
      <c r="C2237" t="s">
        <v>1905</v>
      </c>
      <c r="D2237" t="s">
        <v>1810</v>
      </c>
    </row>
    <row r="2238" spans="1:4" x14ac:dyDescent="0.2">
      <c r="A2238" t="s">
        <v>4112</v>
      </c>
      <c r="B2238" s="2">
        <v>43218</v>
      </c>
      <c r="C2238" t="s">
        <v>1863</v>
      </c>
      <c r="D2238" t="s">
        <v>1804</v>
      </c>
    </row>
    <row r="2239" spans="1:4" x14ac:dyDescent="0.2">
      <c r="A2239" t="s">
        <v>4113</v>
      </c>
      <c r="B2239" s="2">
        <v>43234</v>
      </c>
      <c r="C2239" t="s">
        <v>1863</v>
      </c>
      <c r="D2239" t="s">
        <v>1804</v>
      </c>
    </row>
    <row r="2240" spans="1:4" x14ac:dyDescent="0.2">
      <c r="A2240" t="s">
        <v>524</v>
      </c>
      <c r="B2240" s="2">
        <v>43138</v>
      </c>
      <c r="C2240" t="s">
        <v>4114</v>
      </c>
      <c r="D2240" t="s">
        <v>1031</v>
      </c>
    </row>
    <row r="2241" spans="1:4" x14ac:dyDescent="0.2">
      <c r="A2241" t="s">
        <v>4115</v>
      </c>
      <c r="B2241" s="2">
        <v>43195</v>
      </c>
      <c r="C2241" t="s">
        <v>2066</v>
      </c>
      <c r="D2241" t="s">
        <v>1031</v>
      </c>
    </row>
    <row r="2242" spans="1:4" x14ac:dyDescent="0.2">
      <c r="A2242" t="s">
        <v>4116</v>
      </c>
      <c r="B2242" s="2">
        <v>43219</v>
      </c>
      <c r="C2242" t="s">
        <v>1863</v>
      </c>
      <c r="D2242" t="s">
        <v>1804</v>
      </c>
    </row>
    <row r="2243" spans="1:4" x14ac:dyDescent="0.2">
      <c r="A2243" t="s">
        <v>4117</v>
      </c>
      <c r="B2243" s="2">
        <v>43046</v>
      </c>
      <c r="C2243" t="s">
        <v>3732</v>
      </c>
      <c r="D2243" t="s">
        <v>1849</v>
      </c>
    </row>
    <row r="2244" spans="1:4" x14ac:dyDescent="0.2">
      <c r="A2244" t="s">
        <v>4118</v>
      </c>
      <c r="B2244" s="2">
        <v>43122</v>
      </c>
      <c r="C2244" t="s">
        <v>1812</v>
      </c>
      <c r="D2244" t="s">
        <v>1813</v>
      </c>
    </row>
    <row r="2245" spans="1:4" x14ac:dyDescent="0.2">
      <c r="A2245" t="s">
        <v>4119</v>
      </c>
      <c r="B2245" s="2">
        <v>43175</v>
      </c>
      <c r="C2245" t="s">
        <v>2019</v>
      </c>
      <c r="D2245" t="s">
        <v>1813</v>
      </c>
    </row>
    <row r="2246" spans="1:4" x14ac:dyDescent="0.2">
      <c r="A2246" t="s">
        <v>526</v>
      </c>
      <c r="B2246" s="2">
        <v>43161</v>
      </c>
      <c r="C2246" t="s">
        <v>1809</v>
      </c>
      <c r="D2246" t="s">
        <v>1810</v>
      </c>
    </row>
    <row r="2247" spans="1:4" x14ac:dyDescent="0.2">
      <c r="A2247" t="s">
        <v>4120</v>
      </c>
      <c r="B2247" s="2">
        <v>43242</v>
      </c>
      <c r="C2247" t="s">
        <v>2283</v>
      </c>
      <c r="D2247" t="s">
        <v>1810</v>
      </c>
    </row>
    <row r="2248" spans="1:4" x14ac:dyDescent="0.2">
      <c r="A2248" t="s">
        <v>4121</v>
      </c>
      <c r="B2248" s="2">
        <v>43205</v>
      </c>
      <c r="C2248" t="s">
        <v>2901</v>
      </c>
      <c r="D2248" t="s">
        <v>1807</v>
      </c>
    </row>
    <row r="2249" spans="1:4" x14ac:dyDescent="0.2">
      <c r="A2249" t="s">
        <v>4122</v>
      </c>
      <c r="B2249" s="2">
        <v>43068</v>
      </c>
      <c r="C2249" t="s">
        <v>1803</v>
      </c>
      <c r="D2249" t="s">
        <v>1804</v>
      </c>
    </row>
    <row r="2250" spans="1:4" x14ac:dyDescent="0.2">
      <c r="A2250" t="s">
        <v>4123</v>
      </c>
      <c r="B2250" s="2">
        <v>43220</v>
      </c>
      <c r="C2250" t="s">
        <v>1857</v>
      </c>
      <c r="D2250" t="s">
        <v>1804</v>
      </c>
    </row>
    <row r="2251" spans="1:4" x14ac:dyDescent="0.2">
      <c r="A2251" t="s">
        <v>4124</v>
      </c>
      <c r="B2251" s="2">
        <v>43213</v>
      </c>
      <c r="C2251" t="s">
        <v>1863</v>
      </c>
      <c r="D2251" t="s">
        <v>1804</v>
      </c>
    </row>
    <row r="2252" spans="1:4" x14ac:dyDescent="0.2">
      <c r="A2252" t="s">
        <v>4125</v>
      </c>
      <c r="B2252" s="2">
        <v>43070</v>
      </c>
      <c r="C2252" t="s">
        <v>2324</v>
      </c>
      <c r="D2252" t="s">
        <v>1840</v>
      </c>
    </row>
    <row r="2253" spans="1:4" x14ac:dyDescent="0.2">
      <c r="A2253" t="s">
        <v>4126</v>
      </c>
      <c r="B2253" s="2">
        <v>42948</v>
      </c>
      <c r="C2253" t="s">
        <v>2318</v>
      </c>
      <c r="D2253" t="s">
        <v>1810</v>
      </c>
    </row>
    <row r="2254" spans="1:4" x14ac:dyDescent="0.2">
      <c r="A2254" t="s">
        <v>4127</v>
      </c>
      <c r="B2254" s="2">
        <v>42969</v>
      </c>
      <c r="C2254" t="s">
        <v>1836</v>
      </c>
      <c r="D2254" t="s">
        <v>1031</v>
      </c>
    </row>
    <row r="2255" spans="1:4" x14ac:dyDescent="0.2">
      <c r="A2255" t="s">
        <v>4128</v>
      </c>
      <c r="B2255" s="2">
        <v>43200</v>
      </c>
      <c r="C2255" t="s">
        <v>1836</v>
      </c>
      <c r="D2255" t="s">
        <v>1031</v>
      </c>
    </row>
    <row r="2256" spans="1:4" x14ac:dyDescent="0.2">
      <c r="A2256" t="s">
        <v>4129</v>
      </c>
      <c r="B2256" s="2">
        <v>43250</v>
      </c>
      <c r="C2256" t="s">
        <v>1836</v>
      </c>
      <c r="D2256" t="s">
        <v>1031</v>
      </c>
    </row>
    <row r="2257" spans="1:4" x14ac:dyDescent="0.2">
      <c r="A2257" t="s">
        <v>4130</v>
      </c>
      <c r="B2257" s="2">
        <v>43213</v>
      </c>
      <c r="C2257" t="s">
        <v>2048</v>
      </c>
      <c r="D2257" t="s">
        <v>1810</v>
      </c>
    </row>
    <row r="2258" spans="1:4" x14ac:dyDescent="0.2">
      <c r="A2258" t="s">
        <v>528</v>
      </c>
      <c r="B2258" s="2">
        <v>43152</v>
      </c>
      <c r="C2258" t="s">
        <v>1930</v>
      </c>
      <c r="D2258" t="s">
        <v>1807</v>
      </c>
    </row>
    <row r="2259" spans="1:4" x14ac:dyDescent="0.2">
      <c r="A2259" t="s">
        <v>4131</v>
      </c>
      <c r="B2259" s="2">
        <v>43108</v>
      </c>
      <c r="C2259" t="s">
        <v>1825</v>
      </c>
      <c r="D2259" t="s">
        <v>1810</v>
      </c>
    </row>
    <row r="2260" spans="1:4" x14ac:dyDescent="0.2">
      <c r="A2260" t="s">
        <v>4132</v>
      </c>
      <c r="B2260" s="2">
        <v>43206</v>
      </c>
      <c r="C2260" t="s">
        <v>1863</v>
      </c>
      <c r="D2260" t="s">
        <v>1804</v>
      </c>
    </row>
    <row r="2261" spans="1:4" x14ac:dyDescent="0.2">
      <c r="A2261" t="s">
        <v>4133</v>
      </c>
      <c r="B2261" s="2">
        <v>43060</v>
      </c>
      <c r="C2261" t="s">
        <v>1838</v>
      </c>
      <c r="D2261" t="s">
        <v>1810</v>
      </c>
    </row>
    <row r="2262" spans="1:4" x14ac:dyDescent="0.2">
      <c r="A2262" t="s">
        <v>4134</v>
      </c>
      <c r="B2262" s="2">
        <v>43039</v>
      </c>
      <c r="C2262" t="s">
        <v>2965</v>
      </c>
      <c r="D2262" t="s">
        <v>1910</v>
      </c>
    </row>
    <row r="2263" spans="1:4" x14ac:dyDescent="0.2">
      <c r="A2263" t="s">
        <v>4135</v>
      </c>
      <c r="B2263" s="2">
        <v>43122</v>
      </c>
      <c r="C2263" t="s">
        <v>1836</v>
      </c>
      <c r="D2263" t="s">
        <v>1031</v>
      </c>
    </row>
    <row r="2264" spans="1:4" x14ac:dyDescent="0.2">
      <c r="A2264" t="s">
        <v>530</v>
      </c>
      <c r="B2264" s="2">
        <v>43167</v>
      </c>
      <c r="C2264" t="s">
        <v>1825</v>
      </c>
      <c r="D2264" t="s">
        <v>1810</v>
      </c>
    </row>
    <row r="2265" spans="1:4" x14ac:dyDescent="0.2">
      <c r="A2265" t="s">
        <v>4136</v>
      </c>
      <c r="B2265" s="2">
        <v>42927</v>
      </c>
      <c r="C2265" t="s">
        <v>1921</v>
      </c>
      <c r="D2265" t="s">
        <v>1813</v>
      </c>
    </row>
    <row r="2266" spans="1:4" x14ac:dyDescent="0.2">
      <c r="A2266" t="s">
        <v>4137</v>
      </c>
      <c r="B2266" s="2">
        <v>43117</v>
      </c>
      <c r="C2266" t="s">
        <v>1905</v>
      </c>
      <c r="D2266" t="s">
        <v>1810</v>
      </c>
    </row>
    <row r="2267" spans="1:4" x14ac:dyDescent="0.2">
      <c r="A2267" t="s">
        <v>4138</v>
      </c>
      <c r="B2267" s="2">
        <v>43175</v>
      </c>
      <c r="C2267" t="s">
        <v>1885</v>
      </c>
      <c r="D2267" t="s">
        <v>1807</v>
      </c>
    </row>
    <row r="2268" spans="1:4" x14ac:dyDescent="0.2">
      <c r="A2268" t="s">
        <v>4139</v>
      </c>
      <c r="B2268" s="2">
        <v>42943</v>
      </c>
      <c r="C2268" t="s">
        <v>1816</v>
      </c>
      <c r="D2268" t="s">
        <v>1840</v>
      </c>
    </row>
    <row r="2269" spans="1:4" x14ac:dyDescent="0.2">
      <c r="A2269" t="s">
        <v>4140</v>
      </c>
      <c r="B2269" s="2">
        <v>43237</v>
      </c>
      <c r="C2269" t="s">
        <v>1816</v>
      </c>
      <c r="D2269" t="s">
        <v>1810</v>
      </c>
    </row>
    <row r="2270" spans="1:4" x14ac:dyDescent="0.2">
      <c r="A2270" t="s">
        <v>4141</v>
      </c>
      <c r="B2270" s="2">
        <v>43056</v>
      </c>
      <c r="C2270" t="s">
        <v>2006</v>
      </c>
      <c r="D2270" t="s">
        <v>1810</v>
      </c>
    </row>
    <row r="2271" spans="1:4" x14ac:dyDescent="0.2">
      <c r="A2271" t="s">
        <v>532</v>
      </c>
      <c r="B2271" s="2">
        <v>43229</v>
      </c>
      <c r="C2271" t="s">
        <v>1816</v>
      </c>
      <c r="D2271" t="s">
        <v>1810</v>
      </c>
    </row>
    <row r="2272" spans="1:4" x14ac:dyDescent="0.2">
      <c r="A2272" t="s">
        <v>4142</v>
      </c>
      <c r="B2272" s="2">
        <v>43115</v>
      </c>
      <c r="C2272" t="s">
        <v>1930</v>
      </c>
      <c r="D2272" t="s">
        <v>1810</v>
      </c>
    </row>
    <row r="2273" spans="1:4" x14ac:dyDescent="0.2">
      <c r="A2273" t="s">
        <v>4143</v>
      </c>
      <c r="B2273" s="2">
        <v>43229</v>
      </c>
      <c r="C2273" t="s">
        <v>1816</v>
      </c>
      <c r="D2273" t="s">
        <v>1810</v>
      </c>
    </row>
    <row r="2274" spans="1:4" x14ac:dyDescent="0.2">
      <c r="A2274" t="s">
        <v>4144</v>
      </c>
      <c r="B2274" s="2">
        <v>43151</v>
      </c>
      <c r="C2274" t="s">
        <v>2187</v>
      </c>
      <c r="D2274" t="s">
        <v>1031</v>
      </c>
    </row>
    <row r="2275" spans="1:4" x14ac:dyDescent="0.2">
      <c r="A2275" t="s">
        <v>4145</v>
      </c>
      <c r="B2275" s="2">
        <v>43199</v>
      </c>
      <c r="C2275" t="s">
        <v>2617</v>
      </c>
      <c r="D2275" t="s">
        <v>1804</v>
      </c>
    </row>
    <row r="2276" spans="1:4" x14ac:dyDescent="0.2">
      <c r="A2276" t="s">
        <v>4146</v>
      </c>
      <c r="B2276" s="2">
        <v>43152</v>
      </c>
      <c r="C2276" t="s">
        <v>1867</v>
      </c>
      <c r="D2276" t="s">
        <v>1813</v>
      </c>
    </row>
    <row r="2277" spans="1:4" x14ac:dyDescent="0.2">
      <c r="A2277" t="s">
        <v>4147</v>
      </c>
      <c r="B2277" s="2">
        <v>42987</v>
      </c>
      <c r="C2277" t="s">
        <v>1836</v>
      </c>
      <c r="D2277" t="s">
        <v>1807</v>
      </c>
    </row>
    <row r="2278" spans="1:4" x14ac:dyDescent="0.2">
      <c r="A2278" t="s">
        <v>4148</v>
      </c>
      <c r="B2278" s="2">
        <v>43131</v>
      </c>
      <c r="C2278" t="s">
        <v>1825</v>
      </c>
      <c r="D2278" t="s">
        <v>1810</v>
      </c>
    </row>
    <row r="2279" spans="1:4" x14ac:dyDescent="0.2">
      <c r="A2279" t="s">
        <v>4149</v>
      </c>
      <c r="B2279" s="2">
        <v>43055</v>
      </c>
      <c r="C2279" t="s">
        <v>2182</v>
      </c>
      <c r="D2279" t="s">
        <v>1813</v>
      </c>
    </row>
    <row r="2280" spans="1:4" x14ac:dyDescent="0.2">
      <c r="A2280" t="s">
        <v>4150</v>
      </c>
      <c r="B2280" s="2">
        <v>43035</v>
      </c>
      <c r="C2280" t="s">
        <v>2576</v>
      </c>
      <c r="D2280" t="s">
        <v>1031</v>
      </c>
    </row>
    <row r="2281" spans="1:4" x14ac:dyDescent="0.2">
      <c r="A2281" t="s">
        <v>4151</v>
      </c>
      <c r="B2281" s="2">
        <v>43114</v>
      </c>
      <c r="C2281" t="s">
        <v>1803</v>
      </c>
      <c r="D2281" t="s">
        <v>1804</v>
      </c>
    </row>
    <row r="2282" spans="1:4" x14ac:dyDescent="0.2">
      <c r="A2282" t="s">
        <v>4152</v>
      </c>
      <c r="B2282" s="2">
        <v>43147</v>
      </c>
      <c r="C2282" t="s">
        <v>2000</v>
      </c>
      <c r="D2282" t="s">
        <v>1807</v>
      </c>
    </row>
    <row r="2283" spans="1:4" x14ac:dyDescent="0.2">
      <c r="A2283" t="s">
        <v>4153</v>
      </c>
      <c r="B2283" s="2">
        <v>42971</v>
      </c>
      <c r="C2283" t="s">
        <v>2096</v>
      </c>
      <c r="D2283" t="s">
        <v>1829</v>
      </c>
    </row>
    <row r="2284" spans="1:4" x14ac:dyDescent="0.2">
      <c r="A2284" t="s">
        <v>4154</v>
      </c>
      <c r="B2284" s="2">
        <v>43154</v>
      </c>
      <c r="C2284" t="s">
        <v>4155</v>
      </c>
      <c r="D2284" t="s">
        <v>1840</v>
      </c>
    </row>
    <row r="2285" spans="1:4" x14ac:dyDescent="0.2">
      <c r="A2285" t="s">
        <v>4156</v>
      </c>
      <c r="B2285" s="2">
        <v>43000</v>
      </c>
      <c r="C2285" t="s">
        <v>3419</v>
      </c>
      <c r="D2285" t="s">
        <v>1804</v>
      </c>
    </row>
    <row r="2286" spans="1:4" x14ac:dyDescent="0.2">
      <c r="A2286" t="s">
        <v>4157</v>
      </c>
      <c r="B2286" s="2">
        <v>43173</v>
      </c>
      <c r="C2286" t="s">
        <v>2019</v>
      </c>
      <c r="D2286" t="s">
        <v>160</v>
      </c>
    </row>
    <row r="2287" spans="1:4" x14ac:dyDescent="0.2">
      <c r="A2287" t="s">
        <v>4158</v>
      </c>
      <c r="B2287" s="2">
        <v>43021</v>
      </c>
      <c r="C2287" t="s">
        <v>1816</v>
      </c>
      <c r="D2287" t="s">
        <v>1810</v>
      </c>
    </row>
    <row r="2288" spans="1:4" x14ac:dyDescent="0.2">
      <c r="A2288" t="s">
        <v>4159</v>
      </c>
      <c r="B2288" s="2">
        <v>43163</v>
      </c>
      <c r="C2288" t="s">
        <v>1803</v>
      </c>
      <c r="D2288" t="s">
        <v>1804</v>
      </c>
    </row>
    <row r="2289" spans="1:4" x14ac:dyDescent="0.2">
      <c r="A2289" t="s">
        <v>4160</v>
      </c>
      <c r="B2289" s="2">
        <v>43249</v>
      </c>
      <c r="C2289" t="s">
        <v>2975</v>
      </c>
      <c r="D2289" t="s">
        <v>1810</v>
      </c>
    </row>
    <row r="2290" spans="1:4" x14ac:dyDescent="0.2">
      <c r="A2290" t="s">
        <v>4161</v>
      </c>
      <c r="B2290" s="2">
        <v>43111</v>
      </c>
      <c r="C2290" t="s">
        <v>2182</v>
      </c>
      <c r="D2290" t="s">
        <v>1840</v>
      </c>
    </row>
    <row r="2291" spans="1:4" x14ac:dyDescent="0.2">
      <c r="A2291" t="s">
        <v>534</v>
      </c>
      <c r="B2291" s="2">
        <v>43196</v>
      </c>
      <c r="C2291" t="s">
        <v>1816</v>
      </c>
      <c r="D2291" t="s">
        <v>1810</v>
      </c>
    </row>
    <row r="2292" spans="1:4" x14ac:dyDescent="0.2">
      <c r="A2292" t="s">
        <v>4162</v>
      </c>
      <c r="B2292" s="2">
        <v>43125</v>
      </c>
      <c r="C2292" t="s">
        <v>1885</v>
      </c>
      <c r="D2292" t="s">
        <v>1807</v>
      </c>
    </row>
    <row r="2293" spans="1:4" x14ac:dyDescent="0.2">
      <c r="A2293" t="s">
        <v>4163</v>
      </c>
      <c r="B2293" s="2">
        <v>43164</v>
      </c>
      <c r="C2293" t="s">
        <v>1825</v>
      </c>
      <c r="D2293" t="s">
        <v>1810</v>
      </c>
    </row>
    <row r="2294" spans="1:4" x14ac:dyDescent="0.2">
      <c r="A2294" t="s">
        <v>4164</v>
      </c>
      <c r="B2294" s="2">
        <v>43117</v>
      </c>
      <c r="C2294" t="s">
        <v>2819</v>
      </c>
      <c r="D2294" t="s">
        <v>1813</v>
      </c>
    </row>
    <row r="2295" spans="1:4" x14ac:dyDescent="0.2">
      <c r="A2295" t="s">
        <v>4165</v>
      </c>
      <c r="B2295" s="2">
        <v>42957</v>
      </c>
      <c r="C2295" t="s">
        <v>2576</v>
      </c>
      <c r="D2295" t="s">
        <v>1810</v>
      </c>
    </row>
    <row r="2296" spans="1:4" x14ac:dyDescent="0.2">
      <c r="A2296" t="s">
        <v>4166</v>
      </c>
      <c r="B2296" s="2">
        <v>43171</v>
      </c>
      <c r="C2296" t="s">
        <v>1865</v>
      </c>
      <c r="D2296" t="s">
        <v>1031</v>
      </c>
    </row>
    <row r="2297" spans="1:4" x14ac:dyDescent="0.2">
      <c r="A2297" t="s">
        <v>4167</v>
      </c>
      <c r="B2297" s="2">
        <v>43200</v>
      </c>
      <c r="C2297" t="s">
        <v>1832</v>
      </c>
      <c r="D2297" t="s">
        <v>1807</v>
      </c>
    </row>
    <row r="2298" spans="1:4" x14ac:dyDescent="0.2">
      <c r="A2298" t="s">
        <v>4168</v>
      </c>
      <c r="B2298" s="2">
        <v>43247</v>
      </c>
      <c r="C2298" t="s">
        <v>1863</v>
      </c>
      <c r="D2298" t="s">
        <v>1804</v>
      </c>
    </row>
    <row r="2299" spans="1:4" x14ac:dyDescent="0.2">
      <c r="A2299" t="s">
        <v>4169</v>
      </c>
      <c r="B2299" s="2">
        <v>43197</v>
      </c>
      <c r="C2299" t="s">
        <v>1809</v>
      </c>
      <c r="D2299" t="s">
        <v>1849</v>
      </c>
    </row>
    <row r="2300" spans="1:4" x14ac:dyDescent="0.2">
      <c r="A2300" t="s">
        <v>4170</v>
      </c>
      <c r="B2300" s="2">
        <v>43110</v>
      </c>
      <c r="C2300" t="s">
        <v>1905</v>
      </c>
      <c r="D2300" t="s">
        <v>1810</v>
      </c>
    </row>
    <row r="2301" spans="1:4" x14ac:dyDescent="0.2">
      <c r="A2301" t="s">
        <v>4171</v>
      </c>
      <c r="B2301" s="2">
        <v>43234</v>
      </c>
      <c r="C2301" t="s">
        <v>1863</v>
      </c>
      <c r="D2301" t="s">
        <v>1804</v>
      </c>
    </row>
    <row r="2302" spans="1:4" x14ac:dyDescent="0.2">
      <c r="A2302" t="s">
        <v>4172</v>
      </c>
      <c r="B2302" s="2">
        <v>43111</v>
      </c>
      <c r="C2302" t="s">
        <v>2058</v>
      </c>
      <c r="D2302" t="s">
        <v>1807</v>
      </c>
    </row>
    <row r="2303" spans="1:4" x14ac:dyDescent="0.2">
      <c r="A2303" t="s">
        <v>4173</v>
      </c>
      <c r="B2303" s="2">
        <v>43115</v>
      </c>
      <c r="C2303" t="s">
        <v>1867</v>
      </c>
      <c r="D2303" t="s">
        <v>1840</v>
      </c>
    </row>
    <row r="2304" spans="1:4" x14ac:dyDescent="0.2">
      <c r="A2304" t="s">
        <v>4174</v>
      </c>
      <c r="B2304" s="2">
        <v>43208</v>
      </c>
      <c r="C2304" t="s">
        <v>1905</v>
      </c>
      <c r="D2304" t="s">
        <v>1829</v>
      </c>
    </row>
    <row r="2305" spans="1:4" x14ac:dyDescent="0.2">
      <c r="A2305" t="s">
        <v>536</v>
      </c>
      <c r="B2305" s="2">
        <v>43159</v>
      </c>
      <c r="C2305" t="s">
        <v>1987</v>
      </c>
      <c r="D2305" t="s">
        <v>1807</v>
      </c>
    </row>
    <row r="2306" spans="1:4" x14ac:dyDescent="0.2">
      <c r="A2306" t="s">
        <v>4175</v>
      </c>
      <c r="B2306" s="2">
        <v>43224</v>
      </c>
      <c r="C2306" t="s">
        <v>1816</v>
      </c>
      <c r="D2306" t="s">
        <v>1031</v>
      </c>
    </row>
    <row r="2307" spans="1:4" x14ac:dyDescent="0.2">
      <c r="A2307" t="s">
        <v>4176</v>
      </c>
      <c r="B2307" s="2">
        <v>43187</v>
      </c>
      <c r="C2307" t="s">
        <v>1836</v>
      </c>
      <c r="D2307" t="s">
        <v>1807</v>
      </c>
    </row>
    <row r="2308" spans="1:4" x14ac:dyDescent="0.2">
      <c r="A2308" t="s">
        <v>4177</v>
      </c>
      <c r="B2308" s="2">
        <v>43159</v>
      </c>
      <c r="C2308" t="s">
        <v>4178</v>
      </c>
      <c r="D2308" t="s">
        <v>1031</v>
      </c>
    </row>
    <row r="2309" spans="1:4" x14ac:dyDescent="0.2">
      <c r="A2309" t="s">
        <v>4179</v>
      </c>
      <c r="B2309" s="2">
        <v>42936</v>
      </c>
      <c r="C2309" t="s">
        <v>3369</v>
      </c>
      <c r="D2309" t="s">
        <v>1810</v>
      </c>
    </row>
    <row r="2310" spans="1:4" x14ac:dyDescent="0.2">
      <c r="A2310" t="s">
        <v>4180</v>
      </c>
      <c r="B2310" s="2">
        <v>43213</v>
      </c>
      <c r="C2310" t="s">
        <v>1836</v>
      </c>
      <c r="D2310" t="s">
        <v>1810</v>
      </c>
    </row>
    <row r="2311" spans="1:4" x14ac:dyDescent="0.2">
      <c r="A2311" t="s">
        <v>4181</v>
      </c>
      <c r="B2311" s="2">
        <v>43026</v>
      </c>
      <c r="C2311" t="s">
        <v>3515</v>
      </c>
      <c r="D2311" t="s">
        <v>1031</v>
      </c>
    </row>
    <row r="2312" spans="1:4" x14ac:dyDescent="0.2">
      <c r="A2312" t="s">
        <v>4182</v>
      </c>
      <c r="B2312" s="2">
        <v>43241</v>
      </c>
      <c r="C2312" t="s">
        <v>1825</v>
      </c>
      <c r="D2312" t="s">
        <v>1810</v>
      </c>
    </row>
    <row r="2313" spans="1:4" x14ac:dyDescent="0.2">
      <c r="A2313" t="s">
        <v>4183</v>
      </c>
      <c r="B2313" s="2">
        <v>43110</v>
      </c>
      <c r="C2313" t="s">
        <v>4061</v>
      </c>
      <c r="D2313" t="s">
        <v>1031</v>
      </c>
    </row>
    <row r="2314" spans="1:4" x14ac:dyDescent="0.2">
      <c r="A2314" t="s">
        <v>4184</v>
      </c>
      <c r="B2314" s="2">
        <v>43024</v>
      </c>
      <c r="C2314" t="s">
        <v>1816</v>
      </c>
      <c r="D2314" t="s">
        <v>1031</v>
      </c>
    </row>
    <row r="2315" spans="1:4" x14ac:dyDescent="0.2">
      <c r="A2315" t="s">
        <v>4185</v>
      </c>
      <c r="B2315" s="2">
        <v>43235</v>
      </c>
      <c r="C2315" t="s">
        <v>1867</v>
      </c>
      <c r="D2315" t="s">
        <v>1807</v>
      </c>
    </row>
    <row r="2316" spans="1:4" x14ac:dyDescent="0.2">
      <c r="A2316" t="s">
        <v>4186</v>
      </c>
      <c r="B2316" s="2">
        <v>43114</v>
      </c>
      <c r="C2316" t="s">
        <v>1803</v>
      </c>
      <c r="D2316" t="s">
        <v>1804</v>
      </c>
    </row>
    <row r="2317" spans="1:4" x14ac:dyDescent="0.2">
      <c r="A2317" t="s">
        <v>4187</v>
      </c>
      <c r="B2317" s="2">
        <v>43052</v>
      </c>
      <c r="C2317" t="s">
        <v>1836</v>
      </c>
      <c r="D2317" t="s">
        <v>1840</v>
      </c>
    </row>
    <row r="2318" spans="1:4" x14ac:dyDescent="0.2">
      <c r="A2318" t="s">
        <v>4188</v>
      </c>
      <c r="B2318" s="2">
        <v>43207</v>
      </c>
      <c r="C2318" t="s">
        <v>2679</v>
      </c>
      <c r="D2318" t="s">
        <v>1810</v>
      </c>
    </row>
    <row r="2319" spans="1:4" x14ac:dyDescent="0.2">
      <c r="A2319" t="s">
        <v>4189</v>
      </c>
      <c r="B2319" s="2">
        <v>43201</v>
      </c>
      <c r="C2319" t="s">
        <v>4190</v>
      </c>
      <c r="D2319" t="s">
        <v>1840</v>
      </c>
    </row>
    <row r="2320" spans="1:4" x14ac:dyDescent="0.2">
      <c r="A2320" t="s">
        <v>4191</v>
      </c>
      <c r="B2320" s="2">
        <v>43218</v>
      </c>
      <c r="C2320" t="s">
        <v>1863</v>
      </c>
      <c r="D2320" t="s">
        <v>1804</v>
      </c>
    </row>
    <row r="2321" spans="1:4" x14ac:dyDescent="0.2">
      <c r="A2321" t="s">
        <v>4192</v>
      </c>
      <c r="B2321" s="2">
        <v>43185</v>
      </c>
      <c r="C2321" t="s">
        <v>1867</v>
      </c>
      <c r="D2321" t="s">
        <v>1829</v>
      </c>
    </row>
    <row r="2322" spans="1:4" x14ac:dyDescent="0.2">
      <c r="A2322" t="s">
        <v>4193</v>
      </c>
      <c r="B2322" s="2">
        <v>43065</v>
      </c>
      <c r="C2322" t="s">
        <v>1816</v>
      </c>
      <c r="D2322" t="s">
        <v>1840</v>
      </c>
    </row>
    <row r="2323" spans="1:4" x14ac:dyDescent="0.2">
      <c r="A2323" t="s">
        <v>538</v>
      </c>
      <c r="B2323" s="2">
        <v>43047</v>
      </c>
      <c r="C2323" t="s">
        <v>1930</v>
      </c>
      <c r="D2323" t="s">
        <v>1807</v>
      </c>
    </row>
    <row r="2324" spans="1:4" x14ac:dyDescent="0.2">
      <c r="A2324" t="s">
        <v>4194</v>
      </c>
      <c r="B2324" s="2">
        <v>43193</v>
      </c>
      <c r="C2324" t="s">
        <v>1905</v>
      </c>
      <c r="D2324" t="s">
        <v>1813</v>
      </c>
    </row>
    <row r="2325" spans="1:4" x14ac:dyDescent="0.2">
      <c r="A2325" t="s">
        <v>4195</v>
      </c>
      <c r="B2325" s="2">
        <v>43192</v>
      </c>
      <c r="C2325" t="s">
        <v>1930</v>
      </c>
      <c r="D2325" t="s">
        <v>1807</v>
      </c>
    </row>
    <row r="2326" spans="1:4" x14ac:dyDescent="0.2">
      <c r="A2326" t="s">
        <v>4196</v>
      </c>
      <c r="B2326" s="2">
        <v>42986</v>
      </c>
      <c r="C2326" t="s">
        <v>1892</v>
      </c>
      <c r="D2326" t="s">
        <v>1810</v>
      </c>
    </row>
    <row r="2327" spans="1:4" x14ac:dyDescent="0.2">
      <c r="A2327" t="s">
        <v>4197</v>
      </c>
      <c r="B2327" s="2">
        <v>43163</v>
      </c>
      <c r="C2327" t="s">
        <v>1803</v>
      </c>
      <c r="D2327" t="s">
        <v>1910</v>
      </c>
    </row>
    <row r="2328" spans="1:4" x14ac:dyDescent="0.2">
      <c r="A2328" t="s">
        <v>4198</v>
      </c>
      <c r="B2328" s="2">
        <v>43133</v>
      </c>
      <c r="C2328" t="s">
        <v>4199</v>
      </c>
      <c r="D2328" t="s">
        <v>1796</v>
      </c>
    </row>
    <row r="2329" spans="1:4" x14ac:dyDescent="0.2">
      <c r="A2329" t="s">
        <v>540</v>
      </c>
      <c r="B2329" s="2">
        <v>42971</v>
      </c>
      <c r="C2329" t="s">
        <v>2143</v>
      </c>
      <c r="D2329" t="s">
        <v>1804</v>
      </c>
    </row>
    <row r="2330" spans="1:4" x14ac:dyDescent="0.2">
      <c r="A2330" t="s">
        <v>4200</v>
      </c>
      <c r="B2330" s="2">
        <v>43187</v>
      </c>
      <c r="C2330" t="s">
        <v>1930</v>
      </c>
      <c r="D2330" t="s">
        <v>1910</v>
      </c>
    </row>
    <row r="2331" spans="1:4" x14ac:dyDescent="0.2">
      <c r="A2331" t="s">
        <v>542</v>
      </c>
      <c r="B2331" s="2">
        <v>43224</v>
      </c>
      <c r="C2331" t="s">
        <v>1816</v>
      </c>
      <c r="D2331" t="s">
        <v>1829</v>
      </c>
    </row>
    <row r="2332" spans="1:4" x14ac:dyDescent="0.2">
      <c r="A2332" t="s">
        <v>4201</v>
      </c>
      <c r="B2332" s="2">
        <v>43137</v>
      </c>
      <c r="C2332" t="s">
        <v>1825</v>
      </c>
      <c r="D2332" t="s">
        <v>1804</v>
      </c>
    </row>
    <row r="2333" spans="1:4" x14ac:dyDescent="0.2">
      <c r="A2333" t="s">
        <v>4202</v>
      </c>
      <c r="B2333" s="2">
        <v>43087</v>
      </c>
      <c r="C2333" t="s">
        <v>1803</v>
      </c>
      <c r="D2333" t="s">
        <v>1804</v>
      </c>
    </row>
    <row r="2334" spans="1:4" x14ac:dyDescent="0.2">
      <c r="A2334" t="s">
        <v>4203</v>
      </c>
      <c r="B2334" s="2">
        <v>43151</v>
      </c>
      <c r="C2334" t="s">
        <v>2669</v>
      </c>
      <c r="D2334" t="s">
        <v>1810</v>
      </c>
    </row>
    <row r="2335" spans="1:4" x14ac:dyDescent="0.2">
      <c r="A2335" t="s">
        <v>4204</v>
      </c>
      <c r="B2335" s="2">
        <v>43199</v>
      </c>
      <c r="C2335" t="s">
        <v>2617</v>
      </c>
      <c r="D2335" t="s">
        <v>1829</v>
      </c>
    </row>
    <row r="2336" spans="1:4" x14ac:dyDescent="0.2">
      <c r="A2336" t="s">
        <v>4205</v>
      </c>
      <c r="B2336" s="2">
        <v>43183</v>
      </c>
      <c r="C2336" t="s">
        <v>2579</v>
      </c>
      <c r="D2336" t="s">
        <v>160</v>
      </c>
    </row>
    <row r="2337" spans="1:4" x14ac:dyDescent="0.2">
      <c r="A2337" t="s">
        <v>4206</v>
      </c>
      <c r="B2337" s="2">
        <v>42952</v>
      </c>
      <c r="C2337" t="s">
        <v>2309</v>
      </c>
      <c r="D2337" t="s">
        <v>1829</v>
      </c>
    </row>
    <row r="2338" spans="1:4" x14ac:dyDescent="0.2">
      <c r="A2338" t="s">
        <v>4207</v>
      </c>
      <c r="B2338" s="2">
        <v>43241</v>
      </c>
      <c r="C2338" t="s">
        <v>2382</v>
      </c>
      <c r="D2338" t="s">
        <v>1813</v>
      </c>
    </row>
    <row r="2339" spans="1:4" x14ac:dyDescent="0.2">
      <c r="A2339" t="s">
        <v>4208</v>
      </c>
      <c r="B2339" s="2">
        <v>43188</v>
      </c>
      <c r="C2339" t="s">
        <v>1836</v>
      </c>
      <c r="D2339" t="s">
        <v>1031</v>
      </c>
    </row>
    <row r="2340" spans="1:4" x14ac:dyDescent="0.2">
      <c r="A2340" t="s">
        <v>4209</v>
      </c>
      <c r="B2340" s="2">
        <v>43194</v>
      </c>
      <c r="C2340" t="s">
        <v>1831</v>
      </c>
      <c r="D2340" t="s">
        <v>160</v>
      </c>
    </row>
    <row r="2341" spans="1:4" x14ac:dyDescent="0.2">
      <c r="A2341" t="s">
        <v>4210</v>
      </c>
      <c r="B2341" s="2">
        <v>43007</v>
      </c>
      <c r="C2341" t="s">
        <v>2303</v>
      </c>
      <c r="D2341" t="s">
        <v>1031</v>
      </c>
    </row>
    <row r="2342" spans="1:4" x14ac:dyDescent="0.2">
      <c r="A2342" t="s">
        <v>4211</v>
      </c>
      <c r="B2342" s="2">
        <v>43202</v>
      </c>
      <c r="C2342" t="s">
        <v>1905</v>
      </c>
      <c r="D2342" t="s">
        <v>1810</v>
      </c>
    </row>
    <row r="2343" spans="1:4" x14ac:dyDescent="0.2">
      <c r="A2343" t="s">
        <v>4212</v>
      </c>
      <c r="B2343" s="2">
        <v>43066</v>
      </c>
      <c r="C2343" t="s">
        <v>4213</v>
      </c>
      <c r="D2343" t="s">
        <v>1804</v>
      </c>
    </row>
    <row r="2344" spans="1:4" x14ac:dyDescent="0.2">
      <c r="A2344" t="s">
        <v>4214</v>
      </c>
      <c r="B2344" s="2">
        <v>43182</v>
      </c>
      <c r="C2344" t="s">
        <v>4215</v>
      </c>
      <c r="D2344" t="s">
        <v>1031</v>
      </c>
    </row>
    <row r="2345" spans="1:4" x14ac:dyDescent="0.2">
      <c r="A2345" t="s">
        <v>4216</v>
      </c>
      <c r="B2345" s="2">
        <v>43068</v>
      </c>
      <c r="C2345" t="s">
        <v>1905</v>
      </c>
      <c r="D2345" t="s">
        <v>1810</v>
      </c>
    </row>
    <row r="2346" spans="1:4" x14ac:dyDescent="0.2">
      <c r="A2346" t="s">
        <v>4217</v>
      </c>
      <c r="B2346" s="2">
        <v>43097</v>
      </c>
      <c r="C2346" t="s">
        <v>1859</v>
      </c>
      <c r="D2346" t="s">
        <v>1810</v>
      </c>
    </row>
    <row r="2347" spans="1:4" x14ac:dyDescent="0.2">
      <c r="A2347" t="s">
        <v>544</v>
      </c>
      <c r="B2347" s="2">
        <v>43181</v>
      </c>
      <c r="C2347" t="s">
        <v>1863</v>
      </c>
      <c r="D2347" t="s">
        <v>1804</v>
      </c>
    </row>
    <row r="2348" spans="1:4" x14ac:dyDescent="0.2">
      <c r="A2348" t="s">
        <v>4218</v>
      </c>
      <c r="B2348" s="2">
        <v>42948</v>
      </c>
      <c r="C2348" t="s">
        <v>3419</v>
      </c>
      <c r="D2348" t="s">
        <v>1810</v>
      </c>
    </row>
    <row r="2349" spans="1:4" x14ac:dyDescent="0.2">
      <c r="A2349" t="s">
        <v>4219</v>
      </c>
      <c r="B2349" s="2">
        <v>43209</v>
      </c>
      <c r="C2349" t="s">
        <v>1816</v>
      </c>
      <c r="D2349" t="s">
        <v>1810</v>
      </c>
    </row>
    <row r="2350" spans="1:4" x14ac:dyDescent="0.2">
      <c r="A2350" t="s">
        <v>4220</v>
      </c>
      <c r="B2350" s="2">
        <v>43160</v>
      </c>
      <c r="C2350" t="s">
        <v>2056</v>
      </c>
      <c r="D2350" t="s">
        <v>1840</v>
      </c>
    </row>
    <row r="2351" spans="1:4" x14ac:dyDescent="0.2">
      <c r="A2351" t="s">
        <v>4221</v>
      </c>
      <c r="B2351" s="2">
        <v>43071</v>
      </c>
      <c r="C2351" t="s">
        <v>1825</v>
      </c>
      <c r="D2351" t="s">
        <v>1810</v>
      </c>
    </row>
    <row r="2352" spans="1:4" x14ac:dyDescent="0.2">
      <c r="A2352" t="s">
        <v>546</v>
      </c>
      <c r="B2352" s="2">
        <v>43001</v>
      </c>
      <c r="C2352" t="s">
        <v>1806</v>
      </c>
      <c r="D2352" t="s">
        <v>1807</v>
      </c>
    </row>
    <row r="2353" spans="1:4" x14ac:dyDescent="0.2">
      <c r="A2353" t="s">
        <v>4222</v>
      </c>
      <c r="B2353" s="2">
        <v>43177</v>
      </c>
      <c r="C2353" t="s">
        <v>4223</v>
      </c>
      <c r="D2353" t="s">
        <v>1807</v>
      </c>
    </row>
    <row r="2354" spans="1:4" x14ac:dyDescent="0.2">
      <c r="A2354" t="s">
        <v>4224</v>
      </c>
      <c r="B2354" s="2">
        <v>42922</v>
      </c>
      <c r="C2354" t="s">
        <v>3501</v>
      </c>
      <c r="D2354" t="s">
        <v>1810</v>
      </c>
    </row>
    <row r="2355" spans="1:4" x14ac:dyDescent="0.2">
      <c r="A2355" t="s">
        <v>4225</v>
      </c>
      <c r="B2355" s="2">
        <v>43192</v>
      </c>
      <c r="C2355" t="s">
        <v>1831</v>
      </c>
      <c r="D2355" t="s">
        <v>1804</v>
      </c>
    </row>
    <row r="2356" spans="1:4" x14ac:dyDescent="0.2">
      <c r="A2356" t="s">
        <v>4226</v>
      </c>
      <c r="B2356" s="2">
        <v>43159</v>
      </c>
      <c r="C2356" t="s">
        <v>4227</v>
      </c>
      <c r="D2356" t="s">
        <v>1810</v>
      </c>
    </row>
    <row r="2357" spans="1:4" x14ac:dyDescent="0.2">
      <c r="A2357" t="s">
        <v>4228</v>
      </c>
      <c r="B2357" s="2">
        <v>42999</v>
      </c>
      <c r="C2357" t="s">
        <v>2033</v>
      </c>
      <c r="D2357" t="s">
        <v>1810</v>
      </c>
    </row>
    <row r="2358" spans="1:4" x14ac:dyDescent="0.2">
      <c r="A2358" t="s">
        <v>4229</v>
      </c>
      <c r="B2358" s="2">
        <v>42991</v>
      </c>
      <c r="C2358" t="s">
        <v>2276</v>
      </c>
      <c r="D2358" t="s">
        <v>1813</v>
      </c>
    </row>
    <row r="2359" spans="1:4" x14ac:dyDescent="0.2">
      <c r="A2359" t="s">
        <v>548</v>
      </c>
      <c r="B2359" s="2">
        <v>43124</v>
      </c>
      <c r="C2359" t="s">
        <v>4230</v>
      </c>
      <c r="D2359" t="s">
        <v>1840</v>
      </c>
    </row>
    <row r="2360" spans="1:4" x14ac:dyDescent="0.2">
      <c r="A2360" t="s">
        <v>4231</v>
      </c>
      <c r="B2360" s="2">
        <v>43147</v>
      </c>
      <c r="C2360" t="s">
        <v>1930</v>
      </c>
      <c r="D2360" t="s">
        <v>1807</v>
      </c>
    </row>
    <row r="2361" spans="1:4" x14ac:dyDescent="0.2">
      <c r="A2361" t="s">
        <v>4232</v>
      </c>
      <c r="B2361" s="2">
        <v>43034</v>
      </c>
      <c r="C2361" t="s">
        <v>4233</v>
      </c>
      <c r="D2361" t="s">
        <v>1804</v>
      </c>
    </row>
    <row r="2362" spans="1:4" x14ac:dyDescent="0.2">
      <c r="A2362" t="s">
        <v>4234</v>
      </c>
      <c r="B2362" s="2">
        <v>43095</v>
      </c>
      <c r="C2362" t="s">
        <v>2417</v>
      </c>
      <c r="D2362" t="s">
        <v>1813</v>
      </c>
    </row>
    <row r="2363" spans="1:4" x14ac:dyDescent="0.2">
      <c r="A2363" t="s">
        <v>550</v>
      </c>
      <c r="B2363" s="2">
        <v>43196</v>
      </c>
      <c r="C2363" t="s">
        <v>1836</v>
      </c>
      <c r="D2363" t="s">
        <v>1031</v>
      </c>
    </row>
    <row r="2364" spans="1:4" x14ac:dyDescent="0.2">
      <c r="A2364" t="s">
        <v>4235</v>
      </c>
      <c r="B2364" s="2">
        <v>43178</v>
      </c>
      <c r="C2364" t="s">
        <v>1825</v>
      </c>
      <c r="D2364" t="s">
        <v>1810</v>
      </c>
    </row>
    <row r="2365" spans="1:4" x14ac:dyDescent="0.2">
      <c r="A2365" t="s">
        <v>4236</v>
      </c>
      <c r="B2365" s="2">
        <v>43069</v>
      </c>
      <c r="C2365" t="s">
        <v>2324</v>
      </c>
      <c r="D2365" t="s">
        <v>1031</v>
      </c>
    </row>
    <row r="2366" spans="1:4" x14ac:dyDescent="0.2">
      <c r="A2366" t="s">
        <v>4237</v>
      </c>
      <c r="B2366" s="2">
        <v>43117</v>
      </c>
      <c r="C2366" t="s">
        <v>1836</v>
      </c>
      <c r="D2366" t="s">
        <v>1031</v>
      </c>
    </row>
    <row r="2367" spans="1:4" x14ac:dyDescent="0.2">
      <c r="A2367" t="s">
        <v>552</v>
      </c>
      <c r="B2367" s="2">
        <v>43225</v>
      </c>
      <c r="C2367" t="s">
        <v>2831</v>
      </c>
      <c r="D2367" t="s">
        <v>1807</v>
      </c>
    </row>
    <row r="2368" spans="1:4" x14ac:dyDescent="0.2">
      <c r="A2368" t="s">
        <v>4238</v>
      </c>
      <c r="B2368" s="2">
        <v>43227</v>
      </c>
      <c r="C2368" t="s">
        <v>1905</v>
      </c>
      <c r="D2368" t="s">
        <v>1840</v>
      </c>
    </row>
    <row r="2369" spans="1:4" x14ac:dyDescent="0.2">
      <c r="A2369" t="s">
        <v>4239</v>
      </c>
      <c r="B2369" s="2">
        <v>43178</v>
      </c>
      <c r="C2369" t="s">
        <v>2023</v>
      </c>
      <c r="D2369" t="s">
        <v>1804</v>
      </c>
    </row>
    <row r="2370" spans="1:4" x14ac:dyDescent="0.2">
      <c r="A2370" t="s">
        <v>4240</v>
      </c>
      <c r="B2370" s="2">
        <v>43165</v>
      </c>
      <c r="C2370" t="s">
        <v>1836</v>
      </c>
      <c r="D2370" t="s">
        <v>1031</v>
      </c>
    </row>
    <row r="2371" spans="1:4" x14ac:dyDescent="0.2">
      <c r="A2371" t="s">
        <v>4241</v>
      </c>
      <c r="B2371" s="2">
        <v>43172</v>
      </c>
      <c r="C2371" t="s">
        <v>2196</v>
      </c>
      <c r="D2371" t="s">
        <v>1829</v>
      </c>
    </row>
    <row r="2372" spans="1:4" x14ac:dyDescent="0.2">
      <c r="A2372" t="s">
        <v>554</v>
      </c>
      <c r="B2372" s="2">
        <v>43243</v>
      </c>
      <c r="C2372" t="s">
        <v>1816</v>
      </c>
      <c r="D2372" t="s">
        <v>1807</v>
      </c>
    </row>
    <row r="2373" spans="1:4" x14ac:dyDescent="0.2">
      <c r="A2373" t="s">
        <v>4242</v>
      </c>
      <c r="B2373" s="2">
        <v>43174</v>
      </c>
      <c r="C2373" t="s">
        <v>1885</v>
      </c>
      <c r="D2373" t="s">
        <v>1807</v>
      </c>
    </row>
    <row r="2374" spans="1:4" x14ac:dyDescent="0.2">
      <c r="A2374" t="s">
        <v>4243</v>
      </c>
      <c r="B2374" s="2">
        <v>43249</v>
      </c>
      <c r="C2374" t="s">
        <v>1915</v>
      </c>
      <c r="D2374" t="s">
        <v>1807</v>
      </c>
    </row>
    <row r="2375" spans="1:4" x14ac:dyDescent="0.2">
      <c r="A2375" t="s">
        <v>4244</v>
      </c>
      <c r="B2375" s="2">
        <v>43046</v>
      </c>
      <c r="C2375" t="s">
        <v>2563</v>
      </c>
      <c r="D2375" t="s">
        <v>1807</v>
      </c>
    </row>
    <row r="2376" spans="1:4" x14ac:dyDescent="0.2">
      <c r="A2376" t="s">
        <v>4245</v>
      </c>
      <c r="B2376" s="2">
        <v>43132</v>
      </c>
      <c r="C2376" t="s">
        <v>3315</v>
      </c>
      <c r="D2376" t="s">
        <v>1807</v>
      </c>
    </row>
    <row r="2377" spans="1:4" x14ac:dyDescent="0.2">
      <c r="A2377" t="s">
        <v>4246</v>
      </c>
      <c r="B2377" s="2">
        <v>43066</v>
      </c>
      <c r="C2377" t="s">
        <v>2324</v>
      </c>
      <c r="D2377" t="s">
        <v>1031</v>
      </c>
    </row>
    <row r="2378" spans="1:4" x14ac:dyDescent="0.2">
      <c r="A2378" t="s">
        <v>4247</v>
      </c>
      <c r="B2378" s="2">
        <v>43125</v>
      </c>
      <c r="C2378" t="s">
        <v>1930</v>
      </c>
      <c r="D2378" t="s">
        <v>1813</v>
      </c>
    </row>
    <row r="2379" spans="1:4" x14ac:dyDescent="0.2">
      <c r="A2379" t="s">
        <v>4248</v>
      </c>
      <c r="B2379" s="2">
        <v>42935</v>
      </c>
      <c r="C2379" t="s">
        <v>1836</v>
      </c>
      <c r="D2379" t="s">
        <v>1031</v>
      </c>
    </row>
    <row r="2380" spans="1:4" x14ac:dyDescent="0.2">
      <c r="A2380" t="s">
        <v>4249</v>
      </c>
      <c r="B2380" s="2">
        <v>43219</v>
      </c>
      <c r="C2380" t="s">
        <v>1816</v>
      </c>
      <c r="D2380" t="s">
        <v>1829</v>
      </c>
    </row>
    <row r="2381" spans="1:4" x14ac:dyDescent="0.2">
      <c r="A2381" t="s">
        <v>4250</v>
      </c>
      <c r="B2381" s="2">
        <v>43138</v>
      </c>
      <c r="C2381" t="s">
        <v>1825</v>
      </c>
      <c r="D2381" t="s">
        <v>1804</v>
      </c>
    </row>
    <row r="2382" spans="1:4" x14ac:dyDescent="0.2">
      <c r="A2382" t="s">
        <v>556</v>
      </c>
      <c r="B2382" s="2">
        <v>43130</v>
      </c>
      <c r="C2382" t="s">
        <v>1836</v>
      </c>
      <c r="D2382" t="s">
        <v>1031</v>
      </c>
    </row>
    <row r="2383" spans="1:4" x14ac:dyDescent="0.2">
      <c r="A2383" t="s">
        <v>4251</v>
      </c>
      <c r="B2383" s="2">
        <v>43236</v>
      </c>
      <c r="C2383" t="s">
        <v>1867</v>
      </c>
      <c r="D2383" t="s">
        <v>1813</v>
      </c>
    </row>
    <row r="2384" spans="1:4" x14ac:dyDescent="0.2">
      <c r="A2384" t="s">
        <v>4252</v>
      </c>
      <c r="B2384" s="2">
        <v>43170</v>
      </c>
      <c r="C2384" t="s">
        <v>1816</v>
      </c>
      <c r="D2384" t="s">
        <v>1807</v>
      </c>
    </row>
    <row r="2385" spans="1:4" x14ac:dyDescent="0.2">
      <c r="A2385" t="s">
        <v>4253</v>
      </c>
      <c r="B2385" s="2">
        <v>43087</v>
      </c>
      <c r="C2385" t="s">
        <v>1836</v>
      </c>
      <c r="D2385" t="s">
        <v>1031</v>
      </c>
    </row>
    <row r="2386" spans="1:4" x14ac:dyDescent="0.2">
      <c r="A2386" t="s">
        <v>4254</v>
      </c>
      <c r="B2386" s="2">
        <v>43220</v>
      </c>
      <c r="C2386" t="s">
        <v>1857</v>
      </c>
      <c r="D2386" t="s">
        <v>1804</v>
      </c>
    </row>
    <row r="2387" spans="1:4" x14ac:dyDescent="0.2">
      <c r="A2387" t="s">
        <v>4255</v>
      </c>
      <c r="B2387" s="2">
        <v>43144</v>
      </c>
      <c r="C2387" t="s">
        <v>1803</v>
      </c>
      <c r="D2387" t="s">
        <v>1804</v>
      </c>
    </row>
    <row r="2388" spans="1:4" x14ac:dyDescent="0.2">
      <c r="A2388" t="s">
        <v>558</v>
      </c>
      <c r="B2388" s="2">
        <v>43244</v>
      </c>
      <c r="C2388" t="s">
        <v>1816</v>
      </c>
      <c r="D2388" t="s">
        <v>1810</v>
      </c>
    </row>
    <row r="2389" spans="1:4" x14ac:dyDescent="0.2">
      <c r="A2389" t="s">
        <v>4256</v>
      </c>
      <c r="B2389" s="2">
        <v>43159</v>
      </c>
      <c r="C2389" t="s">
        <v>1905</v>
      </c>
      <c r="D2389" t="s">
        <v>1810</v>
      </c>
    </row>
    <row r="2390" spans="1:4" x14ac:dyDescent="0.2">
      <c r="A2390" t="s">
        <v>560</v>
      </c>
      <c r="B2390" s="2">
        <v>43131</v>
      </c>
      <c r="C2390" t="s">
        <v>1836</v>
      </c>
      <c r="D2390" t="s">
        <v>1031</v>
      </c>
    </row>
    <row r="2391" spans="1:4" x14ac:dyDescent="0.2">
      <c r="A2391" t="s">
        <v>4257</v>
      </c>
      <c r="B2391" s="2">
        <v>43228</v>
      </c>
      <c r="C2391" t="s">
        <v>2291</v>
      </c>
      <c r="D2391" t="s">
        <v>1807</v>
      </c>
    </row>
    <row r="2392" spans="1:4" x14ac:dyDescent="0.2">
      <c r="A2392" t="s">
        <v>4258</v>
      </c>
      <c r="B2392" s="2">
        <v>42963</v>
      </c>
      <c r="C2392" t="s">
        <v>1825</v>
      </c>
      <c r="D2392" t="s">
        <v>1810</v>
      </c>
    </row>
    <row r="2393" spans="1:4" x14ac:dyDescent="0.2">
      <c r="A2393" t="s">
        <v>4259</v>
      </c>
      <c r="B2393" s="2">
        <v>43209</v>
      </c>
      <c r="C2393" t="s">
        <v>1832</v>
      </c>
      <c r="D2393" t="s">
        <v>1807</v>
      </c>
    </row>
    <row r="2394" spans="1:4" x14ac:dyDescent="0.2">
      <c r="A2394" t="s">
        <v>4260</v>
      </c>
      <c r="B2394" s="2">
        <v>43168</v>
      </c>
      <c r="C2394" t="s">
        <v>2242</v>
      </c>
      <c r="D2394" t="s">
        <v>1810</v>
      </c>
    </row>
    <row r="2395" spans="1:4" x14ac:dyDescent="0.2">
      <c r="A2395" t="s">
        <v>4261</v>
      </c>
      <c r="B2395" s="2">
        <v>43014</v>
      </c>
      <c r="C2395" t="s">
        <v>4262</v>
      </c>
      <c r="D2395" t="s">
        <v>1031</v>
      </c>
    </row>
    <row r="2396" spans="1:4" x14ac:dyDescent="0.2">
      <c r="A2396" t="s">
        <v>4263</v>
      </c>
      <c r="B2396" s="2">
        <v>43165</v>
      </c>
      <c r="C2396" t="s">
        <v>3333</v>
      </c>
      <c r="D2396" t="s">
        <v>1813</v>
      </c>
    </row>
    <row r="2397" spans="1:4" x14ac:dyDescent="0.2">
      <c r="A2397" t="s">
        <v>4264</v>
      </c>
      <c r="B2397" s="2">
        <v>43240</v>
      </c>
      <c r="C2397" t="s">
        <v>1816</v>
      </c>
      <c r="D2397" t="s">
        <v>1807</v>
      </c>
    </row>
    <row r="2398" spans="1:4" x14ac:dyDescent="0.2">
      <c r="A2398" t="s">
        <v>4265</v>
      </c>
      <c r="B2398" s="2">
        <v>43017</v>
      </c>
      <c r="C2398" t="s">
        <v>1889</v>
      </c>
      <c r="D2398" t="s">
        <v>1813</v>
      </c>
    </row>
    <row r="2399" spans="1:4" x14ac:dyDescent="0.2">
      <c r="A2399" t="s">
        <v>4266</v>
      </c>
      <c r="B2399" s="2">
        <v>43235</v>
      </c>
      <c r="C2399" t="s">
        <v>4267</v>
      </c>
      <c r="D2399" t="s">
        <v>1807</v>
      </c>
    </row>
    <row r="2400" spans="1:4" x14ac:dyDescent="0.2">
      <c r="A2400" t="s">
        <v>4268</v>
      </c>
      <c r="B2400" s="2">
        <v>43047</v>
      </c>
      <c r="C2400" t="s">
        <v>1889</v>
      </c>
      <c r="D2400" t="s">
        <v>1810</v>
      </c>
    </row>
    <row r="2401" spans="1:4" x14ac:dyDescent="0.2">
      <c r="A2401" t="s">
        <v>4269</v>
      </c>
      <c r="B2401" s="2">
        <v>43207</v>
      </c>
      <c r="C2401" t="s">
        <v>2115</v>
      </c>
      <c r="D2401" t="s">
        <v>1804</v>
      </c>
    </row>
    <row r="2402" spans="1:4" x14ac:dyDescent="0.2">
      <c r="A2402" t="s">
        <v>4270</v>
      </c>
      <c r="B2402" s="2">
        <v>43182</v>
      </c>
      <c r="C2402" t="s">
        <v>1816</v>
      </c>
      <c r="D2402" t="s">
        <v>1810</v>
      </c>
    </row>
    <row r="2403" spans="1:4" x14ac:dyDescent="0.2">
      <c r="A2403" t="s">
        <v>562</v>
      </c>
      <c r="B2403" s="2">
        <v>43140</v>
      </c>
      <c r="C2403" t="s">
        <v>1930</v>
      </c>
      <c r="D2403" t="s">
        <v>1807</v>
      </c>
    </row>
    <row r="2404" spans="1:4" x14ac:dyDescent="0.2">
      <c r="A2404" t="s">
        <v>564</v>
      </c>
      <c r="B2404" s="2">
        <v>43186</v>
      </c>
      <c r="C2404" t="s">
        <v>1836</v>
      </c>
      <c r="D2404" t="s">
        <v>1031</v>
      </c>
    </row>
    <row r="2405" spans="1:4" x14ac:dyDescent="0.2">
      <c r="A2405" t="s">
        <v>4271</v>
      </c>
      <c r="B2405" s="2">
        <v>43180</v>
      </c>
      <c r="C2405" t="s">
        <v>2062</v>
      </c>
      <c r="D2405" t="s">
        <v>1810</v>
      </c>
    </row>
    <row r="2406" spans="1:4" x14ac:dyDescent="0.2">
      <c r="A2406" t="s">
        <v>4272</v>
      </c>
      <c r="B2406" s="2">
        <v>43146</v>
      </c>
      <c r="C2406" t="s">
        <v>1825</v>
      </c>
      <c r="D2406" t="s">
        <v>1810</v>
      </c>
    </row>
    <row r="2407" spans="1:4" x14ac:dyDescent="0.2">
      <c r="A2407" t="s">
        <v>4273</v>
      </c>
      <c r="B2407" s="2">
        <v>43108</v>
      </c>
      <c r="C2407" t="s">
        <v>1803</v>
      </c>
      <c r="D2407" t="s">
        <v>1810</v>
      </c>
    </row>
    <row r="2408" spans="1:4" x14ac:dyDescent="0.2">
      <c r="A2408" t="s">
        <v>4274</v>
      </c>
      <c r="B2408" s="2">
        <v>43186</v>
      </c>
      <c r="C2408" t="s">
        <v>1816</v>
      </c>
      <c r="D2408" t="s">
        <v>1829</v>
      </c>
    </row>
    <row r="2409" spans="1:4" x14ac:dyDescent="0.2">
      <c r="A2409" t="s">
        <v>4275</v>
      </c>
      <c r="B2409" s="2">
        <v>43131</v>
      </c>
      <c r="C2409" t="s">
        <v>1816</v>
      </c>
      <c r="D2409" t="s">
        <v>1810</v>
      </c>
    </row>
    <row r="2410" spans="1:4" x14ac:dyDescent="0.2">
      <c r="A2410" t="s">
        <v>4276</v>
      </c>
      <c r="B2410" s="2">
        <v>43179</v>
      </c>
      <c r="C2410" t="s">
        <v>1836</v>
      </c>
      <c r="D2410" t="s">
        <v>1031</v>
      </c>
    </row>
    <row r="2411" spans="1:4" x14ac:dyDescent="0.2">
      <c r="A2411" t="s">
        <v>566</v>
      </c>
      <c r="B2411" s="2">
        <v>43118</v>
      </c>
      <c r="C2411" t="s">
        <v>1831</v>
      </c>
      <c r="D2411" t="s">
        <v>160</v>
      </c>
    </row>
    <row r="2412" spans="1:4" x14ac:dyDescent="0.2">
      <c r="A2412" t="s">
        <v>4277</v>
      </c>
      <c r="B2412" s="2">
        <v>43224</v>
      </c>
      <c r="C2412" t="s">
        <v>1854</v>
      </c>
      <c r="D2412" t="s">
        <v>1810</v>
      </c>
    </row>
    <row r="2413" spans="1:4" x14ac:dyDescent="0.2">
      <c r="A2413" t="s">
        <v>4278</v>
      </c>
      <c r="B2413" s="2">
        <v>42949</v>
      </c>
      <c r="C2413" t="s">
        <v>2407</v>
      </c>
      <c r="D2413" t="s">
        <v>1807</v>
      </c>
    </row>
    <row r="2414" spans="1:4" x14ac:dyDescent="0.2">
      <c r="A2414" t="s">
        <v>4279</v>
      </c>
      <c r="B2414" s="2">
        <v>42958</v>
      </c>
      <c r="C2414" t="s">
        <v>2576</v>
      </c>
      <c r="D2414" t="s">
        <v>1813</v>
      </c>
    </row>
    <row r="2415" spans="1:4" x14ac:dyDescent="0.2">
      <c r="A2415" t="s">
        <v>4280</v>
      </c>
      <c r="B2415" s="2">
        <v>42964</v>
      </c>
      <c r="C2415" t="s">
        <v>2569</v>
      </c>
      <c r="D2415" t="s">
        <v>1804</v>
      </c>
    </row>
    <row r="2416" spans="1:4" x14ac:dyDescent="0.2">
      <c r="A2416" t="s">
        <v>568</v>
      </c>
      <c r="B2416" s="2">
        <v>43133</v>
      </c>
      <c r="C2416" t="s">
        <v>1816</v>
      </c>
      <c r="D2416" t="s">
        <v>1807</v>
      </c>
    </row>
    <row r="2417" spans="1:4" x14ac:dyDescent="0.2">
      <c r="A2417" t="s">
        <v>4281</v>
      </c>
      <c r="B2417" s="2">
        <v>43132</v>
      </c>
      <c r="C2417" t="s">
        <v>1825</v>
      </c>
      <c r="D2417" t="s">
        <v>1810</v>
      </c>
    </row>
    <row r="2418" spans="1:4" x14ac:dyDescent="0.2">
      <c r="A2418" t="s">
        <v>4282</v>
      </c>
      <c r="B2418" s="2">
        <v>43146</v>
      </c>
      <c r="C2418" t="s">
        <v>1831</v>
      </c>
      <c r="D2418" t="s">
        <v>1810</v>
      </c>
    </row>
    <row r="2419" spans="1:4" x14ac:dyDescent="0.2">
      <c r="A2419" t="s">
        <v>4283</v>
      </c>
      <c r="B2419" s="2">
        <v>43207</v>
      </c>
      <c r="C2419" t="s">
        <v>1827</v>
      </c>
      <c r="D2419" t="s">
        <v>1810</v>
      </c>
    </row>
    <row r="2420" spans="1:4" x14ac:dyDescent="0.2">
      <c r="A2420" t="s">
        <v>4284</v>
      </c>
      <c r="B2420" s="2">
        <v>42967</v>
      </c>
      <c r="C2420" t="s">
        <v>1806</v>
      </c>
      <c r="D2420" t="s">
        <v>1807</v>
      </c>
    </row>
    <row r="2421" spans="1:4" x14ac:dyDescent="0.2">
      <c r="A2421" t="s">
        <v>570</v>
      </c>
      <c r="B2421" s="2">
        <v>43199</v>
      </c>
      <c r="C2421" t="s">
        <v>1816</v>
      </c>
      <c r="D2421" t="s">
        <v>1810</v>
      </c>
    </row>
    <row r="2422" spans="1:4" x14ac:dyDescent="0.2">
      <c r="A2422" t="s">
        <v>4285</v>
      </c>
      <c r="B2422" s="2">
        <v>43133</v>
      </c>
      <c r="C2422" t="s">
        <v>1836</v>
      </c>
      <c r="D2422" t="s">
        <v>1031</v>
      </c>
    </row>
    <row r="2423" spans="1:4" x14ac:dyDescent="0.2">
      <c r="A2423" t="s">
        <v>4286</v>
      </c>
      <c r="B2423" s="2">
        <v>43157</v>
      </c>
      <c r="C2423" t="s">
        <v>2344</v>
      </c>
      <c r="D2423" t="s">
        <v>1813</v>
      </c>
    </row>
    <row r="2424" spans="1:4" x14ac:dyDescent="0.2">
      <c r="A2424" t="s">
        <v>573</v>
      </c>
      <c r="B2424" s="2">
        <v>43107</v>
      </c>
      <c r="C2424" t="s">
        <v>1930</v>
      </c>
      <c r="D2424" t="s">
        <v>1810</v>
      </c>
    </row>
    <row r="2425" spans="1:4" x14ac:dyDescent="0.2">
      <c r="A2425" t="s">
        <v>575</v>
      </c>
      <c r="B2425" s="2">
        <v>43200</v>
      </c>
      <c r="C2425" t="s">
        <v>1836</v>
      </c>
      <c r="D2425" t="s">
        <v>1807</v>
      </c>
    </row>
    <row r="2426" spans="1:4" x14ac:dyDescent="0.2">
      <c r="A2426" t="s">
        <v>577</v>
      </c>
      <c r="B2426" s="2">
        <v>43230</v>
      </c>
      <c r="C2426" t="s">
        <v>1836</v>
      </c>
      <c r="D2426" t="s">
        <v>1840</v>
      </c>
    </row>
    <row r="2427" spans="1:4" x14ac:dyDescent="0.2">
      <c r="A2427" t="s">
        <v>4287</v>
      </c>
      <c r="B2427" s="2">
        <v>43192</v>
      </c>
      <c r="C2427" t="s">
        <v>3090</v>
      </c>
      <c r="D2427" t="s">
        <v>1807</v>
      </c>
    </row>
    <row r="2428" spans="1:4" x14ac:dyDescent="0.2">
      <c r="A2428" t="s">
        <v>4288</v>
      </c>
      <c r="B2428" s="2">
        <v>43133</v>
      </c>
      <c r="C2428" t="s">
        <v>1836</v>
      </c>
      <c r="D2428" t="s">
        <v>1031</v>
      </c>
    </row>
    <row r="2429" spans="1:4" x14ac:dyDescent="0.2">
      <c r="A2429" t="s">
        <v>4289</v>
      </c>
      <c r="B2429" s="2">
        <v>43221</v>
      </c>
      <c r="C2429" t="s">
        <v>4290</v>
      </c>
      <c r="D2429" t="s">
        <v>1813</v>
      </c>
    </row>
    <row r="2430" spans="1:4" x14ac:dyDescent="0.2">
      <c r="A2430" t="s">
        <v>4291</v>
      </c>
      <c r="B2430" s="2">
        <v>43199</v>
      </c>
      <c r="C2430" t="s">
        <v>2115</v>
      </c>
      <c r="D2430" t="s">
        <v>1804</v>
      </c>
    </row>
    <row r="2431" spans="1:4" x14ac:dyDescent="0.2">
      <c r="A2431" t="s">
        <v>4292</v>
      </c>
      <c r="B2431" s="2">
        <v>43222</v>
      </c>
      <c r="C2431" t="s">
        <v>1832</v>
      </c>
      <c r="D2431" t="s">
        <v>1807</v>
      </c>
    </row>
    <row r="2432" spans="1:4" x14ac:dyDescent="0.2">
      <c r="A2432" t="s">
        <v>4293</v>
      </c>
      <c r="B2432" s="2">
        <v>43031</v>
      </c>
      <c r="C2432" t="s">
        <v>1836</v>
      </c>
      <c r="D2432" t="s">
        <v>1807</v>
      </c>
    </row>
    <row r="2433" spans="1:4" x14ac:dyDescent="0.2">
      <c r="A2433" t="s">
        <v>4294</v>
      </c>
      <c r="B2433" s="2">
        <v>43166</v>
      </c>
      <c r="C2433" t="s">
        <v>1905</v>
      </c>
      <c r="D2433" t="s">
        <v>1810</v>
      </c>
    </row>
    <row r="2434" spans="1:4" x14ac:dyDescent="0.2">
      <c r="A2434" t="s">
        <v>4295</v>
      </c>
      <c r="B2434" s="2">
        <v>43178</v>
      </c>
      <c r="C2434" t="s">
        <v>1928</v>
      </c>
      <c r="D2434" t="s">
        <v>1810</v>
      </c>
    </row>
    <row r="2435" spans="1:4" x14ac:dyDescent="0.2">
      <c r="A2435" t="s">
        <v>4296</v>
      </c>
      <c r="B2435" s="2">
        <v>43223</v>
      </c>
      <c r="C2435" t="s">
        <v>1836</v>
      </c>
      <c r="D2435" t="s">
        <v>1031</v>
      </c>
    </row>
    <row r="2436" spans="1:4" x14ac:dyDescent="0.2">
      <c r="A2436" t="s">
        <v>4297</v>
      </c>
      <c r="B2436" s="2">
        <v>42947</v>
      </c>
      <c r="C2436" t="s">
        <v>1867</v>
      </c>
      <c r="D2436" t="s">
        <v>1804</v>
      </c>
    </row>
    <row r="2437" spans="1:4" x14ac:dyDescent="0.2">
      <c r="A2437" t="s">
        <v>4298</v>
      </c>
      <c r="B2437" s="2">
        <v>43128</v>
      </c>
      <c r="C2437" t="s">
        <v>1803</v>
      </c>
      <c r="D2437" t="s">
        <v>1804</v>
      </c>
    </row>
    <row r="2438" spans="1:4" x14ac:dyDescent="0.2">
      <c r="A2438" t="s">
        <v>4299</v>
      </c>
      <c r="B2438" s="2">
        <v>42940</v>
      </c>
      <c r="C2438" t="s">
        <v>1836</v>
      </c>
      <c r="D2438" t="s">
        <v>1031</v>
      </c>
    </row>
    <row r="2439" spans="1:4" x14ac:dyDescent="0.2">
      <c r="A2439" t="s">
        <v>4300</v>
      </c>
      <c r="B2439" s="2">
        <v>43019</v>
      </c>
      <c r="C2439" t="s">
        <v>1889</v>
      </c>
      <c r="D2439" t="s">
        <v>1810</v>
      </c>
    </row>
    <row r="2440" spans="1:4" x14ac:dyDescent="0.2">
      <c r="A2440" t="s">
        <v>579</v>
      </c>
      <c r="B2440" s="2">
        <v>43171</v>
      </c>
      <c r="C2440" t="s">
        <v>1803</v>
      </c>
      <c r="D2440" t="s">
        <v>1804</v>
      </c>
    </row>
    <row r="2441" spans="1:4" x14ac:dyDescent="0.2">
      <c r="A2441" t="s">
        <v>4301</v>
      </c>
      <c r="B2441" s="2">
        <v>43240</v>
      </c>
      <c r="C2441" t="s">
        <v>1905</v>
      </c>
      <c r="D2441" t="s">
        <v>1810</v>
      </c>
    </row>
    <row r="2442" spans="1:4" x14ac:dyDescent="0.2">
      <c r="A2442" t="s">
        <v>4302</v>
      </c>
      <c r="B2442" s="2">
        <v>43209</v>
      </c>
      <c r="C2442" t="s">
        <v>1836</v>
      </c>
      <c r="D2442" t="s">
        <v>1031</v>
      </c>
    </row>
    <row r="2443" spans="1:4" x14ac:dyDescent="0.2">
      <c r="A2443" t="s">
        <v>4303</v>
      </c>
      <c r="B2443" s="2">
        <v>43238</v>
      </c>
      <c r="C2443" t="s">
        <v>4199</v>
      </c>
      <c r="D2443" t="s">
        <v>1796</v>
      </c>
    </row>
    <row r="2444" spans="1:4" x14ac:dyDescent="0.2">
      <c r="A2444" t="s">
        <v>4304</v>
      </c>
      <c r="B2444" s="2">
        <v>43131</v>
      </c>
      <c r="C2444" t="s">
        <v>1905</v>
      </c>
      <c r="D2444" t="s">
        <v>1810</v>
      </c>
    </row>
    <row r="2445" spans="1:4" x14ac:dyDescent="0.2">
      <c r="A2445" t="s">
        <v>4305</v>
      </c>
      <c r="B2445" s="2">
        <v>43102</v>
      </c>
      <c r="C2445" t="s">
        <v>1930</v>
      </c>
      <c r="D2445" t="s">
        <v>1807</v>
      </c>
    </row>
    <row r="2446" spans="1:4" x14ac:dyDescent="0.2">
      <c r="A2446" t="s">
        <v>4306</v>
      </c>
      <c r="B2446" s="2">
        <v>43062</v>
      </c>
      <c r="C2446" t="s">
        <v>4307</v>
      </c>
      <c r="D2446" t="s">
        <v>1810</v>
      </c>
    </row>
    <row r="2447" spans="1:4" x14ac:dyDescent="0.2">
      <c r="A2447" t="s">
        <v>4308</v>
      </c>
      <c r="B2447" s="2">
        <v>42963</v>
      </c>
      <c r="C2447" t="s">
        <v>2569</v>
      </c>
      <c r="D2447" t="s">
        <v>1813</v>
      </c>
    </row>
    <row r="2448" spans="1:4" x14ac:dyDescent="0.2">
      <c r="A2448" t="s">
        <v>4309</v>
      </c>
      <c r="B2448" s="2">
        <v>43175</v>
      </c>
      <c r="C2448" t="s">
        <v>1836</v>
      </c>
      <c r="D2448" t="s">
        <v>1807</v>
      </c>
    </row>
    <row r="2449" spans="1:4" x14ac:dyDescent="0.2">
      <c r="A2449" t="s">
        <v>4310</v>
      </c>
      <c r="B2449" s="2">
        <v>43167</v>
      </c>
      <c r="C2449" t="s">
        <v>1816</v>
      </c>
      <c r="D2449" t="s">
        <v>1807</v>
      </c>
    </row>
    <row r="2450" spans="1:4" x14ac:dyDescent="0.2">
      <c r="A2450" t="s">
        <v>4311</v>
      </c>
      <c r="B2450" s="2">
        <v>43104</v>
      </c>
      <c r="C2450" t="s">
        <v>1809</v>
      </c>
      <c r="D2450" t="s">
        <v>1849</v>
      </c>
    </row>
    <row r="2451" spans="1:4" x14ac:dyDescent="0.2">
      <c r="A2451" t="s">
        <v>4312</v>
      </c>
      <c r="B2451" s="2">
        <v>43180</v>
      </c>
      <c r="C2451" t="s">
        <v>1836</v>
      </c>
      <c r="D2451" t="s">
        <v>1031</v>
      </c>
    </row>
    <row r="2452" spans="1:4" x14ac:dyDescent="0.2">
      <c r="A2452" t="s">
        <v>4313</v>
      </c>
      <c r="B2452" s="2">
        <v>43060</v>
      </c>
      <c r="C2452" t="s">
        <v>1885</v>
      </c>
      <c r="D2452" t="s">
        <v>1807</v>
      </c>
    </row>
    <row r="2453" spans="1:4" x14ac:dyDescent="0.2">
      <c r="A2453" t="s">
        <v>4314</v>
      </c>
      <c r="B2453" s="2">
        <v>43202</v>
      </c>
      <c r="C2453" t="s">
        <v>1832</v>
      </c>
      <c r="D2453" t="s">
        <v>1807</v>
      </c>
    </row>
    <row r="2454" spans="1:4" x14ac:dyDescent="0.2">
      <c r="A2454" t="s">
        <v>4315</v>
      </c>
      <c r="B2454" s="2">
        <v>42977</v>
      </c>
      <c r="C2454" t="s">
        <v>1816</v>
      </c>
      <c r="D2454" t="s">
        <v>1810</v>
      </c>
    </row>
    <row r="2455" spans="1:4" x14ac:dyDescent="0.2">
      <c r="A2455" t="s">
        <v>581</v>
      </c>
      <c r="B2455" s="2">
        <v>43230</v>
      </c>
      <c r="C2455" t="s">
        <v>1905</v>
      </c>
      <c r="D2455" t="s">
        <v>1810</v>
      </c>
    </row>
    <row r="2456" spans="1:4" x14ac:dyDescent="0.2">
      <c r="A2456" t="s">
        <v>4316</v>
      </c>
      <c r="B2456" s="2">
        <v>43002</v>
      </c>
      <c r="C2456" t="s">
        <v>1894</v>
      </c>
      <c r="D2456" t="s">
        <v>1804</v>
      </c>
    </row>
    <row r="2457" spans="1:4" x14ac:dyDescent="0.2">
      <c r="A2457" t="s">
        <v>4317</v>
      </c>
      <c r="B2457" s="2">
        <v>43116</v>
      </c>
      <c r="C2457" t="s">
        <v>1867</v>
      </c>
      <c r="D2457" t="s">
        <v>1829</v>
      </c>
    </row>
    <row r="2458" spans="1:4" x14ac:dyDescent="0.2">
      <c r="A2458" t="s">
        <v>4318</v>
      </c>
      <c r="B2458" s="2">
        <v>43172</v>
      </c>
      <c r="C2458" t="s">
        <v>4319</v>
      </c>
      <c r="D2458" t="s">
        <v>1796</v>
      </c>
    </row>
    <row r="2459" spans="1:4" x14ac:dyDescent="0.2">
      <c r="A2459" t="s">
        <v>4320</v>
      </c>
      <c r="B2459" s="2">
        <v>43195</v>
      </c>
      <c r="C2459" t="s">
        <v>1834</v>
      </c>
      <c r="D2459" t="s">
        <v>1810</v>
      </c>
    </row>
    <row r="2460" spans="1:4" x14ac:dyDescent="0.2">
      <c r="A2460" t="s">
        <v>4321</v>
      </c>
      <c r="B2460" s="2">
        <v>43157</v>
      </c>
      <c r="C2460" t="s">
        <v>1809</v>
      </c>
      <c r="D2460" t="s">
        <v>1810</v>
      </c>
    </row>
    <row r="2461" spans="1:4" x14ac:dyDescent="0.2">
      <c r="A2461" t="s">
        <v>4322</v>
      </c>
      <c r="B2461" s="2">
        <v>43189</v>
      </c>
      <c r="C2461" t="s">
        <v>1867</v>
      </c>
      <c r="D2461" t="s">
        <v>1810</v>
      </c>
    </row>
    <row r="2462" spans="1:4" x14ac:dyDescent="0.2">
      <c r="A2462" t="s">
        <v>4323</v>
      </c>
      <c r="B2462" s="2">
        <v>43152</v>
      </c>
      <c r="C2462" t="s">
        <v>1889</v>
      </c>
      <c r="D2462" t="s">
        <v>1840</v>
      </c>
    </row>
    <row r="2463" spans="1:4" x14ac:dyDescent="0.2">
      <c r="A2463" t="s">
        <v>4324</v>
      </c>
      <c r="B2463" s="2">
        <v>43178</v>
      </c>
      <c r="C2463" t="s">
        <v>1836</v>
      </c>
      <c r="D2463" t="s">
        <v>1807</v>
      </c>
    </row>
    <row r="2464" spans="1:4" x14ac:dyDescent="0.2">
      <c r="A2464" t="s">
        <v>4325</v>
      </c>
      <c r="B2464" s="2">
        <v>43249</v>
      </c>
      <c r="C2464" t="s">
        <v>1930</v>
      </c>
      <c r="D2464" t="s">
        <v>1807</v>
      </c>
    </row>
    <row r="2465" spans="1:4" x14ac:dyDescent="0.2">
      <c r="A2465" t="s">
        <v>4326</v>
      </c>
      <c r="B2465" s="2">
        <v>43164</v>
      </c>
      <c r="C2465" t="s">
        <v>1803</v>
      </c>
      <c r="D2465" t="s">
        <v>1804</v>
      </c>
    </row>
    <row r="2466" spans="1:4" x14ac:dyDescent="0.2">
      <c r="A2466" t="s">
        <v>4327</v>
      </c>
      <c r="B2466" s="2">
        <v>42969</v>
      </c>
      <c r="C2466" t="s">
        <v>4328</v>
      </c>
      <c r="D2466" t="s">
        <v>1807</v>
      </c>
    </row>
    <row r="2467" spans="1:4" x14ac:dyDescent="0.2">
      <c r="A2467" t="s">
        <v>4329</v>
      </c>
      <c r="B2467" s="2">
        <v>43113</v>
      </c>
      <c r="C2467" t="s">
        <v>1809</v>
      </c>
      <c r="D2467" t="s">
        <v>1804</v>
      </c>
    </row>
    <row r="2468" spans="1:4" x14ac:dyDescent="0.2">
      <c r="A2468" t="s">
        <v>4330</v>
      </c>
      <c r="B2468" s="2">
        <v>43208</v>
      </c>
      <c r="C2468" t="s">
        <v>1836</v>
      </c>
      <c r="D2468" t="s">
        <v>1807</v>
      </c>
    </row>
    <row r="2469" spans="1:4" x14ac:dyDescent="0.2">
      <c r="A2469" t="s">
        <v>4331</v>
      </c>
      <c r="B2469" s="2">
        <v>43239</v>
      </c>
      <c r="C2469" t="s">
        <v>1863</v>
      </c>
      <c r="D2469" t="s">
        <v>1804</v>
      </c>
    </row>
    <row r="2470" spans="1:4" x14ac:dyDescent="0.2">
      <c r="A2470" t="s">
        <v>4332</v>
      </c>
      <c r="B2470" s="2">
        <v>43069</v>
      </c>
      <c r="C2470" t="s">
        <v>2324</v>
      </c>
      <c r="D2470" t="s">
        <v>1840</v>
      </c>
    </row>
    <row r="2471" spans="1:4" x14ac:dyDescent="0.2">
      <c r="A2471" t="s">
        <v>4333</v>
      </c>
      <c r="B2471" s="2">
        <v>43244</v>
      </c>
      <c r="C2471" t="s">
        <v>2051</v>
      </c>
      <c r="D2471" t="s">
        <v>1910</v>
      </c>
    </row>
    <row r="2472" spans="1:4" x14ac:dyDescent="0.2">
      <c r="A2472" t="s">
        <v>583</v>
      </c>
      <c r="B2472" s="2">
        <v>43126</v>
      </c>
      <c r="C2472" t="s">
        <v>1803</v>
      </c>
      <c r="D2472" t="s">
        <v>1804</v>
      </c>
    </row>
    <row r="2473" spans="1:4" x14ac:dyDescent="0.2">
      <c r="A2473" t="s">
        <v>4334</v>
      </c>
      <c r="B2473" s="2">
        <v>43150</v>
      </c>
      <c r="C2473" t="s">
        <v>2115</v>
      </c>
      <c r="D2473" t="s">
        <v>1804</v>
      </c>
    </row>
    <row r="2474" spans="1:4" x14ac:dyDescent="0.2">
      <c r="A2474" t="s">
        <v>4335</v>
      </c>
      <c r="B2474" s="2">
        <v>43174</v>
      </c>
      <c r="C2474" t="s">
        <v>2019</v>
      </c>
      <c r="D2474" t="s">
        <v>1031</v>
      </c>
    </row>
    <row r="2475" spans="1:4" x14ac:dyDescent="0.2">
      <c r="A2475" t="s">
        <v>4336</v>
      </c>
      <c r="B2475" s="2">
        <v>43117</v>
      </c>
      <c r="C2475" t="s">
        <v>1803</v>
      </c>
      <c r="D2475" t="s">
        <v>1804</v>
      </c>
    </row>
    <row r="2476" spans="1:4" x14ac:dyDescent="0.2">
      <c r="A2476" t="s">
        <v>4337</v>
      </c>
      <c r="B2476" s="2">
        <v>43203</v>
      </c>
      <c r="C2476" t="s">
        <v>1831</v>
      </c>
      <c r="D2476" t="s">
        <v>160</v>
      </c>
    </row>
    <row r="2477" spans="1:4" x14ac:dyDescent="0.2">
      <c r="A2477" t="s">
        <v>4338</v>
      </c>
      <c r="B2477" s="2">
        <v>43234</v>
      </c>
      <c r="C2477" t="s">
        <v>2342</v>
      </c>
      <c r="D2477" t="s">
        <v>1807</v>
      </c>
    </row>
    <row r="2478" spans="1:4" x14ac:dyDescent="0.2">
      <c r="A2478" t="s">
        <v>585</v>
      </c>
      <c r="B2478" s="2">
        <v>43187</v>
      </c>
      <c r="C2478" t="s">
        <v>4339</v>
      </c>
      <c r="D2478" t="s">
        <v>1031</v>
      </c>
    </row>
    <row r="2479" spans="1:4" x14ac:dyDescent="0.2">
      <c r="A2479" t="s">
        <v>4340</v>
      </c>
      <c r="B2479" s="2">
        <v>43126</v>
      </c>
      <c r="C2479" t="s">
        <v>1905</v>
      </c>
      <c r="D2479" t="s">
        <v>1810</v>
      </c>
    </row>
    <row r="2480" spans="1:4" x14ac:dyDescent="0.2">
      <c r="A2480" t="s">
        <v>4341</v>
      </c>
      <c r="B2480" s="2">
        <v>43108</v>
      </c>
      <c r="C2480" t="s">
        <v>1831</v>
      </c>
      <c r="D2480" t="s">
        <v>160</v>
      </c>
    </row>
    <row r="2481" spans="1:4" x14ac:dyDescent="0.2">
      <c r="A2481" t="s">
        <v>4342</v>
      </c>
      <c r="B2481" s="2">
        <v>43122</v>
      </c>
      <c r="C2481" t="s">
        <v>1825</v>
      </c>
      <c r="D2481" t="s">
        <v>1810</v>
      </c>
    </row>
    <row r="2482" spans="1:4" x14ac:dyDescent="0.2">
      <c r="A2482" t="s">
        <v>4343</v>
      </c>
      <c r="B2482" s="2">
        <v>43218</v>
      </c>
      <c r="C2482" t="s">
        <v>1909</v>
      </c>
      <c r="D2482" t="s">
        <v>1813</v>
      </c>
    </row>
    <row r="2483" spans="1:4" x14ac:dyDescent="0.2">
      <c r="A2483" t="s">
        <v>4344</v>
      </c>
      <c r="B2483" s="2">
        <v>43117</v>
      </c>
      <c r="C2483" t="s">
        <v>1836</v>
      </c>
      <c r="D2483" t="s">
        <v>160</v>
      </c>
    </row>
    <row r="2484" spans="1:4" x14ac:dyDescent="0.2">
      <c r="A2484" t="s">
        <v>587</v>
      </c>
      <c r="B2484" s="2">
        <v>43186</v>
      </c>
      <c r="C2484" t="s">
        <v>1836</v>
      </c>
      <c r="D2484" t="s">
        <v>1807</v>
      </c>
    </row>
    <row r="2485" spans="1:4" x14ac:dyDescent="0.2">
      <c r="A2485" t="s">
        <v>4345</v>
      </c>
      <c r="B2485" s="2">
        <v>43130</v>
      </c>
      <c r="C2485" t="s">
        <v>2291</v>
      </c>
      <c r="D2485" t="s">
        <v>1031</v>
      </c>
    </row>
    <row r="2486" spans="1:4" x14ac:dyDescent="0.2">
      <c r="A2486" t="s">
        <v>4346</v>
      </c>
      <c r="B2486" s="2">
        <v>43157</v>
      </c>
      <c r="C2486" t="s">
        <v>1836</v>
      </c>
      <c r="D2486" t="s">
        <v>1031</v>
      </c>
    </row>
    <row r="2487" spans="1:4" x14ac:dyDescent="0.2">
      <c r="A2487" t="s">
        <v>4347</v>
      </c>
      <c r="B2487" s="2">
        <v>43137</v>
      </c>
      <c r="C2487" t="s">
        <v>1809</v>
      </c>
      <c r="D2487" t="s">
        <v>1810</v>
      </c>
    </row>
    <row r="2488" spans="1:4" x14ac:dyDescent="0.2">
      <c r="A2488" t="s">
        <v>4348</v>
      </c>
      <c r="B2488" s="2">
        <v>43119</v>
      </c>
      <c r="C2488" t="s">
        <v>1836</v>
      </c>
      <c r="D2488" t="s">
        <v>1031</v>
      </c>
    </row>
    <row r="2489" spans="1:4" x14ac:dyDescent="0.2">
      <c r="A2489" t="s">
        <v>4349</v>
      </c>
      <c r="B2489" s="2">
        <v>43182</v>
      </c>
      <c r="C2489" t="s">
        <v>2579</v>
      </c>
      <c r="D2489" t="s">
        <v>1810</v>
      </c>
    </row>
    <row r="2490" spans="1:4" x14ac:dyDescent="0.2">
      <c r="A2490" t="s">
        <v>4350</v>
      </c>
      <c r="B2490" s="2">
        <v>43174</v>
      </c>
      <c r="C2490" t="s">
        <v>1928</v>
      </c>
      <c r="D2490" t="s">
        <v>1813</v>
      </c>
    </row>
    <row r="2491" spans="1:4" x14ac:dyDescent="0.2">
      <c r="A2491" t="s">
        <v>4351</v>
      </c>
      <c r="B2491" s="2">
        <v>43188</v>
      </c>
      <c r="C2491" t="s">
        <v>2058</v>
      </c>
      <c r="D2491" t="s">
        <v>1807</v>
      </c>
    </row>
    <row r="2492" spans="1:4" x14ac:dyDescent="0.2">
      <c r="A2492" t="s">
        <v>4352</v>
      </c>
      <c r="B2492" s="2">
        <v>43126</v>
      </c>
      <c r="C2492" t="s">
        <v>1836</v>
      </c>
      <c r="D2492" t="s">
        <v>1804</v>
      </c>
    </row>
    <row r="2493" spans="1:4" x14ac:dyDescent="0.2">
      <c r="A2493" t="s">
        <v>4353</v>
      </c>
      <c r="B2493" s="2">
        <v>43065</v>
      </c>
      <c r="C2493" t="s">
        <v>1825</v>
      </c>
      <c r="D2493" t="s">
        <v>1829</v>
      </c>
    </row>
    <row r="2494" spans="1:4" x14ac:dyDescent="0.2">
      <c r="A2494" t="s">
        <v>4354</v>
      </c>
      <c r="B2494" s="2">
        <v>43048</v>
      </c>
      <c r="C2494" t="s">
        <v>3732</v>
      </c>
      <c r="D2494" t="s">
        <v>1849</v>
      </c>
    </row>
    <row r="2495" spans="1:4" x14ac:dyDescent="0.2">
      <c r="A2495" t="s">
        <v>4355</v>
      </c>
      <c r="B2495" s="2">
        <v>43208</v>
      </c>
      <c r="C2495" t="s">
        <v>1836</v>
      </c>
      <c r="D2495" t="s">
        <v>1810</v>
      </c>
    </row>
    <row r="2496" spans="1:4" x14ac:dyDescent="0.2">
      <c r="A2496" t="s">
        <v>589</v>
      </c>
      <c r="B2496" s="2">
        <v>43194</v>
      </c>
      <c r="C2496" t="s">
        <v>1885</v>
      </c>
      <c r="D2496" t="s">
        <v>1807</v>
      </c>
    </row>
    <row r="2497" spans="1:4" x14ac:dyDescent="0.2">
      <c r="A2497" t="s">
        <v>4356</v>
      </c>
      <c r="B2497" s="2">
        <v>43112</v>
      </c>
      <c r="C2497" t="s">
        <v>2242</v>
      </c>
      <c r="D2497" t="s">
        <v>1810</v>
      </c>
    </row>
    <row r="2498" spans="1:4" x14ac:dyDescent="0.2">
      <c r="A2498" t="s">
        <v>4357</v>
      </c>
      <c r="B2498" s="2">
        <v>43160</v>
      </c>
      <c r="C2498" t="s">
        <v>1816</v>
      </c>
      <c r="D2498" t="s">
        <v>1810</v>
      </c>
    </row>
    <row r="2499" spans="1:4" x14ac:dyDescent="0.2">
      <c r="A2499" t="s">
        <v>591</v>
      </c>
      <c r="B2499" s="2">
        <v>43175</v>
      </c>
      <c r="C2499" t="s">
        <v>1987</v>
      </c>
      <c r="D2499" t="s">
        <v>1807</v>
      </c>
    </row>
    <row r="2500" spans="1:4" x14ac:dyDescent="0.2">
      <c r="A2500" t="s">
        <v>593</v>
      </c>
      <c r="B2500" s="2">
        <v>43182</v>
      </c>
      <c r="C2500" t="s">
        <v>1836</v>
      </c>
      <c r="D2500" t="s">
        <v>1031</v>
      </c>
    </row>
    <row r="2501" spans="1:4" x14ac:dyDescent="0.2">
      <c r="A2501" t="s">
        <v>4358</v>
      </c>
      <c r="B2501" s="2">
        <v>42979</v>
      </c>
      <c r="C2501" t="s">
        <v>3019</v>
      </c>
      <c r="D2501" t="s">
        <v>1910</v>
      </c>
    </row>
    <row r="2502" spans="1:4" x14ac:dyDescent="0.2">
      <c r="A2502" t="s">
        <v>4359</v>
      </c>
      <c r="B2502" s="2">
        <v>43207</v>
      </c>
      <c r="C2502" t="s">
        <v>2342</v>
      </c>
      <c r="D2502" t="s">
        <v>1031</v>
      </c>
    </row>
    <row r="2503" spans="1:4" x14ac:dyDescent="0.2">
      <c r="A2503" t="s">
        <v>4360</v>
      </c>
      <c r="B2503" s="2">
        <v>43214</v>
      </c>
      <c r="C2503" t="s">
        <v>1915</v>
      </c>
      <c r="D2503" t="s">
        <v>1810</v>
      </c>
    </row>
    <row r="2504" spans="1:4" x14ac:dyDescent="0.2">
      <c r="A2504" t="s">
        <v>4361</v>
      </c>
      <c r="B2504" s="2">
        <v>43203</v>
      </c>
      <c r="C2504" t="s">
        <v>1863</v>
      </c>
      <c r="D2504" t="s">
        <v>1804</v>
      </c>
    </row>
    <row r="2505" spans="1:4" x14ac:dyDescent="0.2">
      <c r="A2505" t="s">
        <v>4362</v>
      </c>
      <c r="B2505" s="2">
        <v>43057</v>
      </c>
      <c r="C2505" t="s">
        <v>2006</v>
      </c>
      <c r="D2505" t="s">
        <v>1813</v>
      </c>
    </row>
    <row r="2506" spans="1:4" x14ac:dyDescent="0.2">
      <c r="A2506" t="s">
        <v>4363</v>
      </c>
      <c r="B2506" s="2">
        <v>43130</v>
      </c>
      <c r="C2506" t="s">
        <v>1825</v>
      </c>
      <c r="D2506" t="s">
        <v>1810</v>
      </c>
    </row>
    <row r="2507" spans="1:4" x14ac:dyDescent="0.2">
      <c r="A2507" t="s">
        <v>4364</v>
      </c>
      <c r="B2507" s="2">
        <v>43158</v>
      </c>
      <c r="C2507" t="s">
        <v>2108</v>
      </c>
      <c r="D2507" t="s">
        <v>1807</v>
      </c>
    </row>
    <row r="2508" spans="1:4" x14ac:dyDescent="0.2">
      <c r="A2508" t="s">
        <v>4365</v>
      </c>
      <c r="B2508" s="2">
        <v>43213</v>
      </c>
      <c r="C2508" t="s">
        <v>2000</v>
      </c>
      <c r="D2508" t="s">
        <v>1807</v>
      </c>
    </row>
    <row r="2509" spans="1:4" x14ac:dyDescent="0.2">
      <c r="A2509" t="s">
        <v>4366</v>
      </c>
      <c r="B2509" s="2">
        <v>42990</v>
      </c>
      <c r="C2509" t="s">
        <v>1907</v>
      </c>
      <c r="D2509" t="s">
        <v>1807</v>
      </c>
    </row>
    <row r="2510" spans="1:4" x14ac:dyDescent="0.2">
      <c r="A2510" t="s">
        <v>4367</v>
      </c>
      <c r="B2510" s="2">
        <v>43174</v>
      </c>
      <c r="C2510" t="s">
        <v>2318</v>
      </c>
      <c r="D2510" t="s">
        <v>1804</v>
      </c>
    </row>
    <row r="2511" spans="1:4" x14ac:dyDescent="0.2">
      <c r="A2511" t="s">
        <v>4368</v>
      </c>
      <c r="B2511" s="2">
        <v>43110</v>
      </c>
      <c r="C2511" t="s">
        <v>1867</v>
      </c>
      <c r="D2511" t="s">
        <v>1810</v>
      </c>
    </row>
    <row r="2512" spans="1:4" x14ac:dyDescent="0.2">
      <c r="A2512" t="s">
        <v>4369</v>
      </c>
      <c r="B2512" s="2">
        <v>43168</v>
      </c>
      <c r="C2512" t="s">
        <v>1836</v>
      </c>
      <c r="D2512" t="s">
        <v>1031</v>
      </c>
    </row>
    <row r="2513" spans="1:4" x14ac:dyDescent="0.2">
      <c r="A2513" t="s">
        <v>4370</v>
      </c>
      <c r="B2513" s="2">
        <v>43222</v>
      </c>
      <c r="C2513" t="s">
        <v>4371</v>
      </c>
      <c r="D2513" t="s">
        <v>1829</v>
      </c>
    </row>
    <row r="2514" spans="1:4" x14ac:dyDescent="0.2">
      <c r="A2514" t="s">
        <v>4372</v>
      </c>
      <c r="B2514" s="2">
        <v>43040</v>
      </c>
      <c r="C2514" t="s">
        <v>4373</v>
      </c>
      <c r="D2514" t="s">
        <v>1031</v>
      </c>
    </row>
    <row r="2515" spans="1:4" x14ac:dyDescent="0.2">
      <c r="A2515" t="s">
        <v>4374</v>
      </c>
      <c r="B2515" s="2">
        <v>43201</v>
      </c>
      <c r="C2515" t="s">
        <v>1863</v>
      </c>
      <c r="D2515" t="s">
        <v>1804</v>
      </c>
    </row>
    <row r="2516" spans="1:4" x14ac:dyDescent="0.2">
      <c r="A2516" t="s">
        <v>4375</v>
      </c>
      <c r="B2516" s="2">
        <v>43194</v>
      </c>
      <c r="C2516" t="s">
        <v>1825</v>
      </c>
      <c r="D2516" t="s">
        <v>1840</v>
      </c>
    </row>
    <row r="2517" spans="1:4" x14ac:dyDescent="0.2">
      <c r="A2517" t="s">
        <v>4376</v>
      </c>
      <c r="B2517" s="2">
        <v>42954</v>
      </c>
      <c r="C2517" t="s">
        <v>1907</v>
      </c>
      <c r="D2517" t="s">
        <v>1807</v>
      </c>
    </row>
    <row r="2518" spans="1:4" x14ac:dyDescent="0.2">
      <c r="A2518" t="s">
        <v>4377</v>
      </c>
      <c r="B2518" s="2">
        <v>42988</v>
      </c>
      <c r="C2518" t="s">
        <v>1816</v>
      </c>
      <c r="D2518" t="s">
        <v>1810</v>
      </c>
    </row>
    <row r="2519" spans="1:4" x14ac:dyDescent="0.2">
      <c r="A2519" t="s">
        <v>4378</v>
      </c>
      <c r="B2519" s="2">
        <v>43211</v>
      </c>
      <c r="C2519" t="s">
        <v>1863</v>
      </c>
      <c r="D2519" t="s">
        <v>1804</v>
      </c>
    </row>
    <row r="2520" spans="1:4" x14ac:dyDescent="0.2">
      <c r="A2520" t="s">
        <v>4379</v>
      </c>
      <c r="B2520" s="2">
        <v>42999</v>
      </c>
      <c r="C2520" t="s">
        <v>2303</v>
      </c>
      <c r="D2520" t="s">
        <v>1810</v>
      </c>
    </row>
    <row r="2521" spans="1:4" x14ac:dyDescent="0.2">
      <c r="A2521" t="s">
        <v>4380</v>
      </c>
      <c r="B2521" s="2">
        <v>43170</v>
      </c>
      <c r="C2521" t="s">
        <v>1930</v>
      </c>
      <c r="D2521" t="s">
        <v>1031</v>
      </c>
    </row>
    <row r="2522" spans="1:4" x14ac:dyDescent="0.2">
      <c r="A2522" t="s">
        <v>4381</v>
      </c>
      <c r="B2522" s="2">
        <v>43108</v>
      </c>
      <c r="C2522" t="s">
        <v>1803</v>
      </c>
      <c r="D2522" t="s">
        <v>1031</v>
      </c>
    </row>
    <row r="2523" spans="1:4" x14ac:dyDescent="0.2">
      <c r="A2523" t="s">
        <v>596</v>
      </c>
      <c r="B2523" s="2">
        <v>43107</v>
      </c>
      <c r="C2523" t="s">
        <v>1803</v>
      </c>
      <c r="D2523" t="s">
        <v>1804</v>
      </c>
    </row>
    <row r="2524" spans="1:4" x14ac:dyDescent="0.2">
      <c r="A2524" t="s">
        <v>4382</v>
      </c>
      <c r="B2524" s="2">
        <v>43210</v>
      </c>
      <c r="C2524" t="s">
        <v>1836</v>
      </c>
      <c r="D2524" t="s">
        <v>1031</v>
      </c>
    </row>
    <row r="2525" spans="1:4" x14ac:dyDescent="0.2">
      <c r="A2525" t="s">
        <v>4383</v>
      </c>
      <c r="B2525" s="2">
        <v>43166</v>
      </c>
      <c r="C2525" t="s">
        <v>2216</v>
      </c>
      <c r="D2525" t="s">
        <v>1807</v>
      </c>
    </row>
    <row r="2526" spans="1:4" x14ac:dyDescent="0.2">
      <c r="A2526" t="s">
        <v>4384</v>
      </c>
      <c r="B2526" s="2">
        <v>43103</v>
      </c>
      <c r="C2526" t="s">
        <v>1921</v>
      </c>
      <c r="D2526" t="s">
        <v>1810</v>
      </c>
    </row>
    <row r="2527" spans="1:4" x14ac:dyDescent="0.2">
      <c r="A2527" t="s">
        <v>598</v>
      </c>
      <c r="B2527" s="2">
        <v>43110</v>
      </c>
      <c r="C2527" t="s">
        <v>1905</v>
      </c>
      <c r="D2527" t="s">
        <v>1807</v>
      </c>
    </row>
    <row r="2528" spans="1:4" x14ac:dyDescent="0.2">
      <c r="A2528" t="s">
        <v>4385</v>
      </c>
      <c r="B2528" s="2">
        <v>43180</v>
      </c>
      <c r="C2528" t="s">
        <v>1863</v>
      </c>
      <c r="D2528" t="s">
        <v>1804</v>
      </c>
    </row>
    <row r="2529" spans="1:4" x14ac:dyDescent="0.2">
      <c r="A2529" t="s">
        <v>4386</v>
      </c>
      <c r="B2529" s="2">
        <v>43248</v>
      </c>
      <c r="C2529" t="s">
        <v>1930</v>
      </c>
      <c r="D2529" t="s">
        <v>1810</v>
      </c>
    </row>
    <row r="2530" spans="1:4" x14ac:dyDescent="0.2">
      <c r="A2530" t="s">
        <v>4387</v>
      </c>
      <c r="B2530" s="2">
        <v>43158</v>
      </c>
      <c r="C2530" t="s">
        <v>1889</v>
      </c>
      <c r="D2530" t="s">
        <v>1813</v>
      </c>
    </row>
    <row r="2531" spans="1:4" x14ac:dyDescent="0.2">
      <c r="A2531" t="s">
        <v>4388</v>
      </c>
      <c r="B2531" s="2">
        <v>43117</v>
      </c>
      <c r="C2531" t="s">
        <v>1836</v>
      </c>
      <c r="D2531" t="s">
        <v>1031</v>
      </c>
    </row>
    <row r="2532" spans="1:4" x14ac:dyDescent="0.2">
      <c r="A2532" t="s">
        <v>4389</v>
      </c>
      <c r="B2532" s="2">
        <v>43209</v>
      </c>
      <c r="C2532" t="s">
        <v>1889</v>
      </c>
      <c r="D2532" t="s">
        <v>1810</v>
      </c>
    </row>
    <row r="2533" spans="1:4" x14ac:dyDescent="0.2">
      <c r="A2533" t="s">
        <v>4390</v>
      </c>
      <c r="B2533" s="2">
        <v>43204</v>
      </c>
      <c r="C2533" t="s">
        <v>1863</v>
      </c>
      <c r="D2533" t="s">
        <v>1804</v>
      </c>
    </row>
    <row r="2534" spans="1:4" x14ac:dyDescent="0.2">
      <c r="A2534" t="s">
        <v>4391</v>
      </c>
      <c r="B2534" s="2">
        <v>43238</v>
      </c>
      <c r="C2534" t="s">
        <v>1905</v>
      </c>
      <c r="D2534" t="s">
        <v>1810</v>
      </c>
    </row>
    <row r="2535" spans="1:4" x14ac:dyDescent="0.2">
      <c r="A2535" t="s">
        <v>4392</v>
      </c>
      <c r="B2535" s="2">
        <v>43157</v>
      </c>
      <c r="C2535" t="s">
        <v>2344</v>
      </c>
      <c r="D2535" t="s">
        <v>1813</v>
      </c>
    </row>
    <row r="2536" spans="1:4" x14ac:dyDescent="0.2">
      <c r="A2536" t="s">
        <v>4393</v>
      </c>
      <c r="B2536" s="2">
        <v>43251</v>
      </c>
      <c r="C2536" t="s">
        <v>1863</v>
      </c>
      <c r="D2536" t="s">
        <v>1804</v>
      </c>
    </row>
    <row r="2537" spans="1:4" x14ac:dyDescent="0.2">
      <c r="A2537" t="s">
        <v>4394</v>
      </c>
      <c r="B2537" s="2">
        <v>43251</v>
      </c>
      <c r="C2537" t="s">
        <v>1836</v>
      </c>
      <c r="D2537" t="s">
        <v>1810</v>
      </c>
    </row>
    <row r="2538" spans="1:4" x14ac:dyDescent="0.2">
      <c r="A2538" t="s">
        <v>4395</v>
      </c>
      <c r="B2538" s="2">
        <v>43145</v>
      </c>
      <c r="C2538" t="s">
        <v>1878</v>
      </c>
      <c r="D2538" t="s">
        <v>1810</v>
      </c>
    </row>
    <row r="2539" spans="1:4" x14ac:dyDescent="0.2">
      <c r="A2539" t="s">
        <v>4396</v>
      </c>
      <c r="B2539" s="2">
        <v>42936</v>
      </c>
      <c r="C2539" t="s">
        <v>3369</v>
      </c>
      <c r="D2539" t="s">
        <v>1796</v>
      </c>
    </row>
    <row r="2540" spans="1:4" x14ac:dyDescent="0.2">
      <c r="A2540" t="s">
        <v>4397</v>
      </c>
      <c r="B2540" s="2">
        <v>43224</v>
      </c>
      <c r="C2540" t="s">
        <v>4398</v>
      </c>
      <c r="D2540" t="s">
        <v>1810</v>
      </c>
    </row>
    <row r="2541" spans="1:4" x14ac:dyDescent="0.2">
      <c r="A2541" t="s">
        <v>4399</v>
      </c>
      <c r="B2541" s="2">
        <v>43209</v>
      </c>
      <c r="C2541" t="s">
        <v>1816</v>
      </c>
      <c r="D2541" t="s">
        <v>1810</v>
      </c>
    </row>
    <row r="2542" spans="1:4" x14ac:dyDescent="0.2">
      <c r="A2542" t="s">
        <v>4400</v>
      </c>
      <c r="B2542" s="2">
        <v>43118</v>
      </c>
      <c r="C2542" t="s">
        <v>1836</v>
      </c>
      <c r="D2542" t="s">
        <v>1031</v>
      </c>
    </row>
    <row r="2543" spans="1:4" x14ac:dyDescent="0.2">
      <c r="A2543" t="s">
        <v>600</v>
      </c>
      <c r="B2543" s="2">
        <v>43209</v>
      </c>
      <c r="C2543" t="s">
        <v>1930</v>
      </c>
      <c r="D2543" t="s">
        <v>1807</v>
      </c>
    </row>
    <row r="2544" spans="1:4" x14ac:dyDescent="0.2">
      <c r="A2544" t="s">
        <v>4401</v>
      </c>
      <c r="B2544" s="2">
        <v>43035</v>
      </c>
      <c r="C2544" t="s">
        <v>1902</v>
      </c>
      <c r="D2544" t="s">
        <v>1031</v>
      </c>
    </row>
    <row r="2545" spans="1:4" x14ac:dyDescent="0.2">
      <c r="A2545" t="s">
        <v>4402</v>
      </c>
      <c r="B2545" s="2">
        <v>43031</v>
      </c>
      <c r="C2545" t="s">
        <v>1809</v>
      </c>
      <c r="D2545" t="s">
        <v>1840</v>
      </c>
    </row>
    <row r="2546" spans="1:4" x14ac:dyDescent="0.2">
      <c r="A2546" t="s">
        <v>4403</v>
      </c>
      <c r="B2546" s="2">
        <v>43104</v>
      </c>
      <c r="C2546" t="s">
        <v>1816</v>
      </c>
      <c r="D2546" t="s">
        <v>1810</v>
      </c>
    </row>
    <row r="2547" spans="1:4" x14ac:dyDescent="0.2">
      <c r="A2547" t="s">
        <v>4404</v>
      </c>
      <c r="B2547" s="2">
        <v>43100</v>
      </c>
      <c r="C2547" t="s">
        <v>1930</v>
      </c>
      <c r="D2547" t="s">
        <v>1807</v>
      </c>
    </row>
    <row r="2548" spans="1:4" x14ac:dyDescent="0.2">
      <c r="A2548" t="s">
        <v>4405</v>
      </c>
      <c r="B2548" s="2">
        <v>43201</v>
      </c>
      <c r="C2548" t="s">
        <v>1905</v>
      </c>
      <c r="D2548" t="s">
        <v>1810</v>
      </c>
    </row>
    <row r="2549" spans="1:4" x14ac:dyDescent="0.2">
      <c r="A2549" t="s">
        <v>4406</v>
      </c>
      <c r="B2549" s="2">
        <v>42976</v>
      </c>
      <c r="C2549" t="s">
        <v>1836</v>
      </c>
      <c r="D2549" t="s">
        <v>1807</v>
      </c>
    </row>
    <row r="2550" spans="1:4" x14ac:dyDescent="0.2">
      <c r="A2550" t="s">
        <v>4407</v>
      </c>
      <c r="B2550" s="2">
        <v>43131</v>
      </c>
      <c r="C2550" t="s">
        <v>1836</v>
      </c>
      <c r="D2550" t="s">
        <v>1031</v>
      </c>
    </row>
    <row r="2551" spans="1:4" x14ac:dyDescent="0.2">
      <c r="A2551" t="s">
        <v>602</v>
      </c>
      <c r="B2551" s="2">
        <v>43108</v>
      </c>
      <c r="C2551" t="s">
        <v>1930</v>
      </c>
      <c r="D2551" t="s">
        <v>1807</v>
      </c>
    </row>
    <row r="2552" spans="1:4" x14ac:dyDescent="0.2">
      <c r="A2552" t="s">
        <v>4408</v>
      </c>
      <c r="B2552" s="2">
        <v>42972</v>
      </c>
      <c r="C2552" t="s">
        <v>1836</v>
      </c>
      <c r="D2552" t="s">
        <v>1031</v>
      </c>
    </row>
    <row r="2553" spans="1:4" x14ac:dyDescent="0.2">
      <c r="A2553" t="s">
        <v>4409</v>
      </c>
      <c r="B2553" s="2">
        <v>43177</v>
      </c>
      <c r="C2553" t="s">
        <v>2023</v>
      </c>
      <c r="D2553" t="s">
        <v>1804</v>
      </c>
    </row>
    <row r="2554" spans="1:4" x14ac:dyDescent="0.2">
      <c r="A2554" t="s">
        <v>4410</v>
      </c>
      <c r="B2554" s="2">
        <v>43248</v>
      </c>
      <c r="C2554" t="s">
        <v>1816</v>
      </c>
      <c r="D2554" t="s">
        <v>1829</v>
      </c>
    </row>
    <row r="2555" spans="1:4" x14ac:dyDescent="0.2">
      <c r="A2555" t="s">
        <v>4411</v>
      </c>
      <c r="B2555" s="2">
        <v>43131</v>
      </c>
      <c r="C2555" t="s">
        <v>1836</v>
      </c>
      <c r="D2555" t="s">
        <v>1031</v>
      </c>
    </row>
    <row r="2556" spans="1:4" x14ac:dyDescent="0.2">
      <c r="A2556" t="s">
        <v>4412</v>
      </c>
      <c r="B2556" s="2">
        <v>43130</v>
      </c>
      <c r="C2556" t="s">
        <v>1816</v>
      </c>
      <c r="D2556" t="s">
        <v>1807</v>
      </c>
    </row>
    <row r="2557" spans="1:4" x14ac:dyDescent="0.2">
      <c r="A2557" t="s">
        <v>4413</v>
      </c>
      <c r="B2557" s="2">
        <v>43183</v>
      </c>
      <c r="C2557" t="s">
        <v>1816</v>
      </c>
      <c r="D2557" t="s">
        <v>1810</v>
      </c>
    </row>
    <row r="2558" spans="1:4" x14ac:dyDescent="0.2">
      <c r="A2558" t="s">
        <v>4414</v>
      </c>
      <c r="B2558" s="2">
        <v>43126</v>
      </c>
      <c r="C2558" t="s">
        <v>1825</v>
      </c>
      <c r="D2558" t="s">
        <v>1810</v>
      </c>
    </row>
    <row r="2559" spans="1:4" x14ac:dyDescent="0.2">
      <c r="A2559" t="s">
        <v>4415</v>
      </c>
      <c r="B2559" s="2">
        <v>43243</v>
      </c>
      <c r="C2559" t="s">
        <v>2620</v>
      </c>
      <c r="D2559" t="s">
        <v>1810</v>
      </c>
    </row>
    <row r="2560" spans="1:4" x14ac:dyDescent="0.2">
      <c r="A2560" t="s">
        <v>4416</v>
      </c>
      <c r="B2560" s="2">
        <v>43112</v>
      </c>
      <c r="C2560" t="s">
        <v>1867</v>
      </c>
      <c r="D2560" t="s">
        <v>1810</v>
      </c>
    </row>
    <row r="2561" spans="1:4" x14ac:dyDescent="0.2">
      <c r="A2561" t="s">
        <v>4417</v>
      </c>
      <c r="B2561" s="2">
        <v>43188</v>
      </c>
      <c r="C2561" t="s">
        <v>1907</v>
      </c>
      <c r="D2561" t="s">
        <v>1810</v>
      </c>
    </row>
    <row r="2562" spans="1:4" x14ac:dyDescent="0.2">
      <c r="A2562" t="s">
        <v>4418</v>
      </c>
      <c r="B2562" s="2">
        <v>43192</v>
      </c>
      <c r="C2562" t="s">
        <v>2048</v>
      </c>
      <c r="D2562" t="s">
        <v>1810</v>
      </c>
    </row>
    <row r="2563" spans="1:4" x14ac:dyDescent="0.2">
      <c r="A2563" t="s">
        <v>4419</v>
      </c>
      <c r="B2563" s="2">
        <v>42982</v>
      </c>
      <c r="C2563" t="s">
        <v>2101</v>
      </c>
      <c r="D2563" t="s">
        <v>1840</v>
      </c>
    </row>
    <row r="2564" spans="1:4" x14ac:dyDescent="0.2">
      <c r="A2564" t="s">
        <v>4420</v>
      </c>
      <c r="B2564" s="2">
        <v>42948</v>
      </c>
      <c r="C2564" t="s">
        <v>1836</v>
      </c>
      <c r="D2564" t="s">
        <v>1031</v>
      </c>
    </row>
    <row r="2565" spans="1:4" x14ac:dyDescent="0.2">
      <c r="A2565" t="s">
        <v>4421</v>
      </c>
      <c r="B2565" s="2">
        <v>43027</v>
      </c>
      <c r="C2565" t="s">
        <v>1816</v>
      </c>
      <c r="D2565" t="s">
        <v>1810</v>
      </c>
    </row>
    <row r="2566" spans="1:4" x14ac:dyDescent="0.2">
      <c r="A2566" t="s">
        <v>4422</v>
      </c>
      <c r="B2566" s="2">
        <v>42982</v>
      </c>
      <c r="C2566" t="s">
        <v>2101</v>
      </c>
      <c r="D2566" t="s">
        <v>160</v>
      </c>
    </row>
    <row r="2567" spans="1:4" x14ac:dyDescent="0.2">
      <c r="A2567" t="s">
        <v>4423</v>
      </c>
      <c r="B2567" s="2">
        <v>43244</v>
      </c>
      <c r="C2567" t="s">
        <v>1905</v>
      </c>
      <c r="D2567" t="s">
        <v>1810</v>
      </c>
    </row>
    <row r="2568" spans="1:4" x14ac:dyDescent="0.2">
      <c r="A2568" t="s">
        <v>4424</v>
      </c>
      <c r="B2568" s="2">
        <v>43136</v>
      </c>
      <c r="C2568" t="s">
        <v>1816</v>
      </c>
      <c r="D2568" t="s">
        <v>1840</v>
      </c>
    </row>
    <row r="2569" spans="1:4" x14ac:dyDescent="0.2">
      <c r="A2569" t="s">
        <v>4425</v>
      </c>
      <c r="B2569" s="2">
        <v>43218</v>
      </c>
      <c r="C2569" t="s">
        <v>1863</v>
      </c>
      <c r="D2569" t="s">
        <v>1804</v>
      </c>
    </row>
    <row r="2570" spans="1:4" x14ac:dyDescent="0.2">
      <c r="A2570" t="s">
        <v>4426</v>
      </c>
      <c r="B2570" s="2">
        <v>43187</v>
      </c>
      <c r="C2570" t="s">
        <v>4427</v>
      </c>
      <c r="D2570" t="s">
        <v>1031</v>
      </c>
    </row>
    <row r="2571" spans="1:4" x14ac:dyDescent="0.2">
      <c r="A2571" t="s">
        <v>4428</v>
      </c>
      <c r="B2571" s="2">
        <v>43199</v>
      </c>
      <c r="C2571" t="s">
        <v>1930</v>
      </c>
      <c r="D2571" t="s">
        <v>1807</v>
      </c>
    </row>
    <row r="2572" spans="1:4" x14ac:dyDescent="0.2">
      <c r="A2572" t="s">
        <v>4429</v>
      </c>
      <c r="B2572" s="2">
        <v>43242</v>
      </c>
      <c r="C2572" t="s">
        <v>1996</v>
      </c>
      <c r="D2572" t="s">
        <v>1804</v>
      </c>
    </row>
    <row r="2573" spans="1:4" x14ac:dyDescent="0.2">
      <c r="A2573" t="s">
        <v>4430</v>
      </c>
      <c r="B2573" s="2">
        <v>42974</v>
      </c>
      <c r="C2573" t="s">
        <v>1987</v>
      </c>
      <c r="D2573" t="s">
        <v>1807</v>
      </c>
    </row>
    <row r="2574" spans="1:4" x14ac:dyDescent="0.2">
      <c r="A2574" t="s">
        <v>4431</v>
      </c>
      <c r="B2574" s="2">
        <v>42971</v>
      </c>
      <c r="C2574" t="s">
        <v>2096</v>
      </c>
      <c r="D2574" t="s">
        <v>1807</v>
      </c>
    </row>
    <row r="2575" spans="1:4" x14ac:dyDescent="0.2">
      <c r="A2575" t="s">
        <v>4432</v>
      </c>
      <c r="B2575" s="2">
        <v>42956</v>
      </c>
      <c r="C2575" t="s">
        <v>3101</v>
      </c>
      <c r="D2575" t="s">
        <v>1031</v>
      </c>
    </row>
    <row r="2576" spans="1:4" x14ac:dyDescent="0.2">
      <c r="A2576" t="s">
        <v>4433</v>
      </c>
      <c r="B2576" s="2">
        <v>43165</v>
      </c>
      <c r="C2576" t="s">
        <v>3333</v>
      </c>
      <c r="D2576" t="s">
        <v>1813</v>
      </c>
    </row>
    <row r="2577" spans="1:4" x14ac:dyDescent="0.2">
      <c r="A2577" t="s">
        <v>4434</v>
      </c>
      <c r="B2577" s="2">
        <v>43209</v>
      </c>
      <c r="C2577" t="s">
        <v>1930</v>
      </c>
      <c r="D2577" t="s">
        <v>1807</v>
      </c>
    </row>
    <row r="2578" spans="1:4" x14ac:dyDescent="0.2">
      <c r="A2578" t="s">
        <v>4435</v>
      </c>
      <c r="B2578" s="2">
        <v>43227</v>
      </c>
      <c r="C2578" t="s">
        <v>1836</v>
      </c>
      <c r="D2578" t="s">
        <v>1031</v>
      </c>
    </row>
    <row r="2579" spans="1:4" x14ac:dyDescent="0.2">
      <c r="A2579" t="s">
        <v>4436</v>
      </c>
      <c r="B2579" s="2">
        <v>43240</v>
      </c>
      <c r="C2579" t="s">
        <v>1816</v>
      </c>
      <c r="D2579" t="s">
        <v>1804</v>
      </c>
    </row>
    <row r="2580" spans="1:4" x14ac:dyDescent="0.2">
      <c r="A2580" t="s">
        <v>4437</v>
      </c>
      <c r="B2580" s="2">
        <v>43206</v>
      </c>
      <c r="C2580" t="s">
        <v>1863</v>
      </c>
      <c r="D2580" t="s">
        <v>1804</v>
      </c>
    </row>
    <row r="2581" spans="1:4" x14ac:dyDescent="0.2">
      <c r="A2581" t="s">
        <v>4438</v>
      </c>
      <c r="B2581" s="2">
        <v>43240</v>
      </c>
      <c r="C2581" t="s">
        <v>1867</v>
      </c>
      <c r="D2581" t="s">
        <v>1807</v>
      </c>
    </row>
    <row r="2582" spans="1:4" x14ac:dyDescent="0.2">
      <c r="A2582" t="s">
        <v>604</v>
      </c>
      <c r="B2582" s="2">
        <v>43212</v>
      </c>
      <c r="C2582" t="s">
        <v>4439</v>
      </c>
      <c r="D2582" t="s">
        <v>1810</v>
      </c>
    </row>
    <row r="2583" spans="1:4" x14ac:dyDescent="0.2">
      <c r="A2583" t="s">
        <v>4440</v>
      </c>
      <c r="B2583" s="2">
        <v>42928</v>
      </c>
      <c r="C2583" t="s">
        <v>1919</v>
      </c>
      <c r="D2583" t="s">
        <v>1807</v>
      </c>
    </row>
    <row r="2584" spans="1:4" x14ac:dyDescent="0.2">
      <c r="A2584" t="s">
        <v>606</v>
      </c>
      <c r="B2584" s="2">
        <v>43165</v>
      </c>
      <c r="C2584" t="s">
        <v>1905</v>
      </c>
      <c r="D2584" t="s">
        <v>1807</v>
      </c>
    </row>
    <row r="2585" spans="1:4" x14ac:dyDescent="0.2">
      <c r="A2585" t="s">
        <v>4441</v>
      </c>
      <c r="B2585" s="2">
        <v>42951</v>
      </c>
      <c r="C2585" t="s">
        <v>1843</v>
      </c>
      <c r="D2585" t="s">
        <v>1807</v>
      </c>
    </row>
    <row r="2586" spans="1:4" x14ac:dyDescent="0.2">
      <c r="A2586" t="s">
        <v>4442</v>
      </c>
      <c r="B2586" s="2">
        <v>43035</v>
      </c>
      <c r="C2586" t="s">
        <v>1803</v>
      </c>
      <c r="D2586" t="s">
        <v>1804</v>
      </c>
    </row>
    <row r="2587" spans="1:4" x14ac:dyDescent="0.2">
      <c r="A2587" t="s">
        <v>4443</v>
      </c>
      <c r="B2587" s="2">
        <v>42958</v>
      </c>
      <c r="C2587" t="s">
        <v>2576</v>
      </c>
      <c r="D2587" t="s">
        <v>1829</v>
      </c>
    </row>
    <row r="2588" spans="1:4" x14ac:dyDescent="0.2">
      <c r="A2588" t="s">
        <v>4444</v>
      </c>
      <c r="B2588" s="2">
        <v>43215</v>
      </c>
      <c r="C2588" t="s">
        <v>1998</v>
      </c>
      <c r="D2588" t="s">
        <v>1810</v>
      </c>
    </row>
    <row r="2589" spans="1:4" x14ac:dyDescent="0.2">
      <c r="A2589" t="s">
        <v>4445</v>
      </c>
      <c r="B2589" s="2">
        <v>43223</v>
      </c>
      <c r="C2589" t="s">
        <v>1832</v>
      </c>
      <c r="D2589" t="s">
        <v>1807</v>
      </c>
    </row>
    <row r="2590" spans="1:4" x14ac:dyDescent="0.2">
      <c r="A2590" t="s">
        <v>4446</v>
      </c>
      <c r="B2590" s="2">
        <v>43122</v>
      </c>
      <c r="C2590" t="s">
        <v>2014</v>
      </c>
      <c r="D2590" t="s">
        <v>1829</v>
      </c>
    </row>
    <row r="2591" spans="1:4" x14ac:dyDescent="0.2">
      <c r="A2591" t="s">
        <v>608</v>
      </c>
      <c r="B2591" s="2">
        <v>43107</v>
      </c>
      <c r="C2591" t="s">
        <v>1816</v>
      </c>
      <c r="D2591" t="s">
        <v>1810</v>
      </c>
    </row>
    <row r="2592" spans="1:4" x14ac:dyDescent="0.2">
      <c r="A2592" t="s">
        <v>4447</v>
      </c>
      <c r="B2592" s="2">
        <v>43167</v>
      </c>
      <c r="C2592" t="s">
        <v>1996</v>
      </c>
      <c r="D2592" t="s">
        <v>1804</v>
      </c>
    </row>
    <row r="2593" spans="1:4" x14ac:dyDescent="0.2">
      <c r="A2593" t="s">
        <v>4448</v>
      </c>
      <c r="B2593" s="2">
        <v>43130</v>
      </c>
      <c r="C2593" t="s">
        <v>1905</v>
      </c>
      <c r="D2593" t="s">
        <v>1807</v>
      </c>
    </row>
    <row r="2594" spans="1:4" x14ac:dyDescent="0.2">
      <c r="A2594" t="s">
        <v>4449</v>
      </c>
      <c r="B2594" s="2">
        <v>43104</v>
      </c>
      <c r="C2594" t="s">
        <v>2101</v>
      </c>
      <c r="D2594" t="s">
        <v>1804</v>
      </c>
    </row>
    <row r="2595" spans="1:4" x14ac:dyDescent="0.2">
      <c r="A2595" t="s">
        <v>610</v>
      </c>
      <c r="B2595" s="2">
        <v>43115</v>
      </c>
      <c r="C2595" t="s">
        <v>1816</v>
      </c>
      <c r="D2595" t="s">
        <v>1031</v>
      </c>
    </row>
    <row r="2596" spans="1:4" x14ac:dyDescent="0.2">
      <c r="A2596" t="s">
        <v>4450</v>
      </c>
      <c r="B2596" s="2">
        <v>43207</v>
      </c>
      <c r="C2596" t="s">
        <v>1834</v>
      </c>
      <c r="D2596" t="s">
        <v>1810</v>
      </c>
    </row>
    <row r="2597" spans="1:4" x14ac:dyDescent="0.2">
      <c r="A2597" t="s">
        <v>4451</v>
      </c>
      <c r="B2597" s="2">
        <v>43168</v>
      </c>
      <c r="C2597" t="s">
        <v>1867</v>
      </c>
      <c r="D2597" t="s">
        <v>1813</v>
      </c>
    </row>
    <row r="2598" spans="1:4" x14ac:dyDescent="0.2">
      <c r="A2598" t="s">
        <v>4452</v>
      </c>
      <c r="B2598" s="2">
        <v>43209</v>
      </c>
      <c r="C2598" t="s">
        <v>2158</v>
      </c>
      <c r="D2598" t="s">
        <v>1804</v>
      </c>
    </row>
    <row r="2599" spans="1:4" x14ac:dyDescent="0.2">
      <c r="A2599" t="s">
        <v>4453</v>
      </c>
      <c r="B2599" s="2">
        <v>43132</v>
      </c>
      <c r="C2599" t="s">
        <v>1930</v>
      </c>
      <c r="D2599" t="s">
        <v>1807</v>
      </c>
    </row>
    <row r="2600" spans="1:4" x14ac:dyDescent="0.2">
      <c r="A2600" t="s">
        <v>4454</v>
      </c>
      <c r="B2600" s="2">
        <v>43242</v>
      </c>
      <c r="C2600" t="s">
        <v>1836</v>
      </c>
      <c r="D2600" t="s">
        <v>1807</v>
      </c>
    </row>
    <row r="2601" spans="1:4" x14ac:dyDescent="0.2">
      <c r="A2601" t="s">
        <v>4455</v>
      </c>
      <c r="B2601" s="2">
        <v>43208</v>
      </c>
      <c r="C2601" t="s">
        <v>1867</v>
      </c>
      <c r="D2601" t="s">
        <v>1804</v>
      </c>
    </row>
    <row r="2602" spans="1:4" x14ac:dyDescent="0.2">
      <c r="A2602" t="s">
        <v>4456</v>
      </c>
      <c r="B2602" s="2">
        <v>43132</v>
      </c>
      <c r="C2602" t="s">
        <v>1867</v>
      </c>
      <c r="D2602" t="s">
        <v>160</v>
      </c>
    </row>
    <row r="2603" spans="1:4" x14ac:dyDescent="0.2">
      <c r="A2603" t="s">
        <v>4457</v>
      </c>
      <c r="B2603" s="2">
        <v>43236</v>
      </c>
      <c r="C2603" t="s">
        <v>3390</v>
      </c>
      <c r="D2603" t="s">
        <v>1840</v>
      </c>
    </row>
    <row r="2604" spans="1:4" x14ac:dyDescent="0.2">
      <c r="A2604" t="s">
        <v>4458</v>
      </c>
      <c r="B2604" s="2">
        <v>42941</v>
      </c>
      <c r="C2604" t="s">
        <v>1836</v>
      </c>
      <c r="D2604" t="s">
        <v>1910</v>
      </c>
    </row>
    <row r="2605" spans="1:4" x14ac:dyDescent="0.2">
      <c r="A2605" t="s">
        <v>4459</v>
      </c>
      <c r="B2605" s="2">
        <v>42957</v>
      </c>
      <c r="C2605" t="s">
        <v>2576</v>
      </c>
      <c r="D2605" t="s">
        <v>1031</v>
      </c>
    </row>
    <row r="2606" spans="1:4" x14ac:dyDescent="0.2">
      <c r="A2606" t="s">
        <v>4460</v>
      </c>
      <c r="B2606" s="2">
        <v>43216</v>
      </c>
      <c r="C2606" t="s">
        <v>3092</v>
      </c>
      <c r="D2606" t="s">
        <v>1807</v>
      </c>
    </row>
    <row r="2607" spans="1:4" x14ac:dyDescent="0.2">
      <c r="A2607" t="s">
        <v>4461</v>
      </c>
      <c r="B2607" s="2">
        <v>43220</v>
      </c>
      <c r="C2607" t="s">
        <v>1857</v>
      </c>
      <c r="D2607" t="s">
        <v>1804</v>
      </c>
    </row>
    <row r="2608" spans="1:4" x14ac:dyDescent="0.2">
      <c r="A2608" t="s">
        <v>4462</v>
      </c>
      <c r="B2608" s="2">
        <v>42998</v>
      </c>
      <c r="C2608" t="s">
        <v>4463</v>
      </c>
      <c r="D2608" t="s">
        <v>1810</v>
      </c>
    </row>
    <row r="2609" spans="1:4" x14ac:dyDescent="0.2">
      <c r="A2609" t="s">
        <v>4464</v>
      </c>
      <c r="B2609" s="2">
        <v>43121</v>
      </c>
      <c r="C2609" t="s">
        <v>1822</v>
      </c>
      <c r="D2609" t="s">
        <v>1810</v>
      </c>
    </row>
    <row r="2610" spans="1:4" x14ac:dyDescent="0.2">
      <c r="A2610" t="s">
        <v>4465</v>
      </c>
      <c r="B2610" s="2">
        <v>43209</v>
      </c>
      <c r="C2610" t="s">
        <v>1825</v>
      </c>
      <c r="D2610" t="s">
        <v>1810</v>
      </c>
    </row>
    <row r="2611" spans="1:4" x14ac:dyDescent="0.2">
      <c r="A2611" t="s">
        <v>4466</v>
      </c>
      <c r="B2611" s="2">
        <v>43137</v>
      </c>
      <c r="C2611" t="s">
        <v>1930</v>
      </c>
      <c r="D2611" t="s">
        <v>1810</v>
      </c>
    </row>
    <row r="2612" spans="1:4" x14ac:dyDescent="0.2">
      <c r="A2612" t="s">
        <v>4467</v>
      </c>
      <c r="B2612" s="2">
        <v>43060</v>
      </c>
      <c r="C2612" t="s">
        <v>1878</v>
      </c>
      <c r="D2612" t="s">
        <v>1810</v>
      </c>
    </row>
    <row r="2613" spans="1:4" x14ac:dyDescent="0.2">
      <c r="A2613" t="s">
        <v>4468</v>
      </c>
      <c r="B2613" s="2">
        <v>42974</v>
      </c>
      <c r="C2613" t="s">
        <v>1894</v>
      </c>
      <c r="D2613" t="s">
        <v>1804</v>
      </c>
    </row>
    <row r="2614" spans="1:4" x14ac:dyDescent="0.2">
      <c r="A2614" t="s">
        <v>612</v>
      </c>
      <c r="B2614" s="2">
        <v>43206</v>
      </c>
      <c r="C2614" t="s">
        <v>1816</v>
      </c>
      <c r="D2614" t="s">
        <v>1810</v>
      </c>
    </row>
    <row r="2615" spans="1:4" x14ac:dyDescent="0.2">
      <c r="A2615" t="s">
        <v>4469</v>
      </c>
      <c r="B2615" s="2">
        <v>43237</v>
      </c>
      <c r="C2615" t="s">
        <v>1836</v>
      </c>
      <c r="D2615" t="s">
        <v>1031</v>
      </c>
    </row>
    <row r="2616" spans="1:4" x14ac:dyDescent="0.2">
      <c r="A2616" t="s">
        <v>614</v>
      </c>
      <c r="B2616" s="2">
        <v>43210</v>
      </c>
      <c r="C2616" t="s">
        <v>2342</v>
      </c>
      <c r="D2616" t="s">
        <v>1810</v>
      </c>
    </row>
    <row r="2617" spans="1:4" x14ac:dyDescent="0.2">
      <c r="A2617" t="s">
        <v>4470</v>
      </c>
      <c r="B2617" s="2">
        <v>43173</v>
      </c>
      <c r="C2617" t="s">
        <v>1930</v>
      </c>
      <c r="D2617" t="s">
        <v>1807</v>
      </c>
    </row>
    <row r="2618" spans="1:4" x14ac:dyDescent="0.2">
      <c r="A2618" t="s">
        <v>4471</v>
      </c>
      <c r="B2618" s="2">
        <v>43179</v>
      </c>
      <c r="C2618" t="s">
        <v>3430</v>
      </c>
      <c r="D2618" t="s">
        <v>1810</v>
      </c>
    </row>
    <row r="2619" spans="1:4" x14ac:dyDescent="0.2">
      <c r="A2619" t="s">
        <v>4472</v>
      </c>
      <c r="B2619" s="2">
        <v>43209</v>
      </c>
      <c r="C2619" t="s">
        <v>2033</v>
      </c>
      <c r="D2619" t="s">
        <v>1810</v>
      </c>
    </row>
    <row r="2620" spans="1:4" x14ac:dyDescent="0.2">
      <c r="A2620" t="s">
        <v>4473</v>
      </c>
      <c r="B2620" s="2">
        <v>43238</v>
      </c>
      <c r="C2620" t="s">
        <v>1836</v>
      </c>
      <c r="D2620" t="s">
        <v>1031</v>
      </c>
    </row>
    <row r="2621" spans="1:4" x14ac:dyDescent="0.2">
      <c r="A2621" t="s">
        <v>4474</v>
      </c>
      <c r="B2621" s="2">
        <v>43108</v>
      </c>
      <c r="C2621" t="s">
        <v>1816</v>
      </c>
      <c r="D2621" t="s">
        <v>1810</v>
      </c>
    </row>
    <row r="2622" spans="1:4" x14ac:dyDescent="0.2">
      <c r="A2622" t="s">
        <v>4475</v>
      </c>
      <c r="B2622" s="2">
        <v>43139</v>
      </c>
      <c r="C2622" t="s">
        <v>1836</v>
      </c>
      <c r="D2622" t="s">
        <v>1031</v>
      </c>
    </row>
    <row r="2623" spans="1:4" x14ac:dyDescent="0.2">
      <c r="A2623" t="s">
        <v>4476</v>
      </c>
      <c r="B2623" s="2">
        <v>43103</v>
      </c>
      <c r="C2623" t="s">
        <v>1836</v>
      </c>
      <c r="D2623" t="s">
        <v>1810</v>
      </c>
    </row>
    <row r="2624" spans="1:4" x14ac:dyDescent="0.2">
      <c r="A2624" t="s">
        <v>616</v>
      </c>
      <c r="B2624" s="2">
        <v>43110</v>
      </c>
      <c r="C2624" t="s">
        <v>1836</v>
      </c>
      <c r="D2624" t="s">
        <v>1840</v>
      </c>
    </row>
    <row r="2625" spans="1:4" x14ac:dyDescent="0.2">
      <c r="A2625" t="s">
        <v>4477</v>
      </c>
      <c r="B2625" s="2">
        <v>43153</v>
      </c>
      <c r="C2625" t="s">
        <v>1836</v>
      </c>
      <c r="D2625" t="s">
        <v>1810</v>
      </c>
    </row>
    <row r="2626" spans="1:4" x14ac:dyDescent="0.2">
      <c r="A2626" t="s">
        <v>4478</v>
      </c>
      <c r="B2626" s="2">
        <v>42969</v>
      </c>
      <c r="C2626" t="s">
        <v>1894</v>
      </c>
      <c r="D2626" t="s">
        <v>1804</v>
      </c>
    </row>
    <row r="2627" spans="1:4" x14ac:dyDescent="0.2">
      <c r="A2627" t="s">
        <v>4479</v>
      </c>
      <c r="B2627" s="2">
        <v>42993</v>
      </c>
      <c r="C2627" t="s">
        <v>1825</v>
      </c>
      <c r="D2627" t="s">
        <v>1810</v>
      </c>
    </row>
    <row r="2628" spans="1:4" x14ac:dyDescent="0.2">
      <c r="A2628" t="s">
        <v>4480</v>
      </c>
      <c r="B2628" s="2">
        <v>43138</v>
      </c>
      <c r="C2628" t="s">
        <v>1816</v>
      </c>
      <c r="D2628" t="s">
        <v>1810</v>
      </c>
    </row>
    <row r="2629" spans="1:4" x14ac:dyDescent="0.2">
      <c r="A2629" t="s">
        <v>4481</v>
      </c>
      <c r="B2629" s="2">
        <v>43117</v>
      </c>
      <c r="C2629" t="s">
        <v>1803</v>
      </c>
      <c r="D2629" t="s">
        <v>1804</v>
      </c>
    </row>
    <row r="2630" spans="1:4" x14ac:dyDescent="0.2">
      <c r="A2630" t="s">
        <v>4482</v>
      </c>
      <c r="B2630" s="2">
        <v>43214</v>
      </c>
      <c r="C2630" t="s">
        <v>1863</v>
      </c>
      <c r="D2630" t="s">
        <v>1804</v>
      </c>
    </row>
    <row r="2631" spans="1:4" x14ac:dyDescent="0.2">
      <c r="A2631" t="s">
        <v>4483</v>
      </c>
      <c r="B2631" s="2">
        <v>43193</v>
      </c>
      <c r="C2631" t="s">
        <v>1836</v>
      </c>
      <c r="D2631" t="s">
        <v>1031</v>
      </c>
    </row>
    <row r="2632" spans="1:4" x14ac:dyDescent="0.2">
      <c r="A2632" t="s">
        <v>618</v>
      </c>
      <c r="B2632" s="2">
        <v>43108</v>
      </c>
      <c r="C2632" t="s">
        <v>1885</v>
      </c>
      <c r="D2632" t="s">
        <v>1840</v>
      </c>
    </row>
    <row r="2633" spans="1:4" x14ac:dyDescent="0.2">
      <c r="A2633" t="s">
        <v>4484</v>
      </c>
      <c r="B2633" s="2">
        <v>43130</v>
      </c>
      <c r="C2633" t="s">
        <v>3234</v>
      </c>
      <c r="D2633" t="s">
        <v>1804</v>
      </c>
    </row>
    <row r="2634" spans="1:4" x14ac:dyDescent="0.2">
      <c r="A2634" t="s">
        <v>620</v>
      </c>
      <c r="B2634" s="2">
        <v>43112</v>
      </c>
      <c r="C2634" t="s">
        <v>1836</v>
      </c>
      <c r="D2634" t="s">
        <v>1031</v>
      </c>
    </row>
    <row r="2635" spans="1:4" x14ac:dyDescent="0.2">
      <c r="A2635" t="s">
        <v>4485</v>
      </c>
      <c r="B2635" s="2">
        <v>43216</v>
      </c>
      <c r="C2635" t="s">
        <v>1867</v>
      </c>
      <c r="D2635" t="s">
        <v>1810</v>
      </c>
    </row>
    <row r="2636" spans="1:4" x14ac:dyDescent="0.2">
      <c r="A2636" t="s">
        <v>4486</v>
      </c>
      <c r="B2636" s="2">
        <v>43171</v>
      </c>
      <c r="C2636" t="s">
        <v>1885</v>
      </c>
      <c r="D2636" t="s">
        <v>1807</v>
      </c>
    </row>
    <row r="2637" spans="1:4" x14ac:dyDescent="0.2">
      <c r="A2637" t="s">
        <v>622</v>
      </c>
      <c r="B2637" s="2">
        <v>43171</v>
      </c>
      <c r="C2637" t="s">
        <v>1816</v>
      </c>
      <c r="D2637" t="s">
        <v>1810</v>
      </c>
    </row>
    <row r="2638" spans="1:4" x14ac:dyDescent="0.2">
      <c r="A2638" t="s">
        <v>4487</v>
      </c>
      <c r="B2638" s="2">
        <v>43194</v>
      </c>
      <c r="C2638" t="s">
        <v>1816</v>
      </c>
      <c r="D2638" t="s">
        <v>1810</v>
      </c>
    </row>
    <row r="2639" spans="1:4" x14ac:dyDescent="0.2">
      <c r="A2639" t="s">
        <v>4488</v>
      </c>
      <c r="B2639" s="2">
        <v>43018</v>
      </c>
      <c r="C2639" t="s">
        <v>1907</v>
      </c>
      <c r="D2639" t="s">
        <v>1807</v>
      </c>
    </row>
    <row r="2640" spans="1:4" x14ac:dyDescent="0.2">
      <c r="A2640" t="s">
        <v>4489</v>
      </c>
      <c r="B2640" s="2">
        <v>43158</v>
      </c>
      <c r="C2640" t="s">
        <v>1836</v>
      </c>
      <c r="D2640" t="s">
        <v>1840</v>
      </c>
    </row>
    <row r="2641" spans="1:4" x14ac:dyDescent="0.2">
      <c r="A2641" t="s">
        <v>4490</v>
      </c>
      <c r="B2641" s="2">
        <v>43235</v>
      </c>
      <c r="C2641" t="s">
        <v>1827</v>
      </c>
      <c r="D2641" t="s">
        <v>1807</v>
      </c>
    </row>
    <row r="2642" spans="1:4" x14ac:dyDescent="0.2">
      <c r="A2642" t="s">
        <v>4491</v>
      </c>
      <c r="B2642" s="2">
        <v>42991</v>
      </c>
      <c r="C2642" t="s">
        <v>1836</v>
      </c>
      <c r="D2642" t="s">
        <v>1031</v>
      </c>
    </row>
    <row r="2643" spans="1:4" x14ac:dyDescent="0.2">
      <c r="A2643" t="s">
        <v>4492</v>
      </c>
      <c r="B2643" s="2">
        <v>43130</v>
      </c>
      <c r="C2643" t="s">
        <v>2303</v>
      </c>
      <c r="D2643" t="s">
        <v>1810</v>
      </c>
    </row>
    <row r="2644" spans="1:4" x14ac:dyDescent="0.2">
      <c r="A2644" t="s">
        <v>4493</v>
      </c>
      <c r="B2644" s="2">
        <v>43053</v>
      </c>
      <c r="C2644" t="s">
        <v>2563</v>
      </c>
      <c r="D2644" t="s">
        <v>1910</v>
      </c>
    </row>
    <row r="2645" spans="1:4" x14ac:dyDescent="0.2">
      <c r="A2645" t="s">
        <v>4494</v>
      </c>
      <c r="B2645" s="2">
        <v>43172</v>
      </c>
      <c r="C2645" t="s">
        <v>2019</v>
      </c>
      <c r="D2645" t="s">
        <v>1813</v>
      </c>
    </row>
    <row r="2646" spans="1:4" x14ac:dyDescent="0.2">
      <c r="A2646" t="s">
        <v>4495</v>
      </c>
      <c r="B2646" s="2">
        <v>43222</v>
      </c>
      <c r="C2646" t="s">
        <v>1863</v>
      </c>
      <c r="D2646" t="s">
        <v>1804</v>
      </c>
    </row>
    <row r="2647" spans="1:4" x14ac:dyDescent="0.2">
      <c r="A2647" t="s">
        <v>4496</v>
      </c>
      <c r="B2647" s="2">
        <v>43202</v>
      </c>
      <c r="C2647" t="s">
        <v>1996</v>
      </c>
      <c r="D2647" t="s">
        <v>1804</v>
      </c>
    </row>
    <row r="2648" spans="1:4" x14ac:dyDescent="0.2">
      <c r="A2648" t="s">
        <v>624</v>
      </c>
      <c r="B2648" s="2">
        <v>43164</v>
      </c>
      <c r="C2648" t="s">
        <v>1816</v>
      </c>
      <c r="D2648" t="s">
        <v>1810</v>
      </c>
    </row>
    <row r="2649" spans="1:4" x14ac:dyDescent="0.2">
      <c r="A2649" t="s">
        <v>4497</v>
      </c>
      <c r="B2649" s="2">
        <v>43060</v>
      </c>
      <c r="C2649" t="s">
        <v>1939</v>
      </c>
      <c r="D2649" t="s">
        <v>1031</v>
      </c>
    </row>
    <row r="2650" spans="1:4" x14ac:dyDescent="0.2">
      <c r="A2650" t="s">
        <v>4498</v>
      </c>
      <c r="B2650" s="2">
        <v>43153</v>
      </c>
      <c r="C2650" t="s">
        <v>1939</v>
      </c>
      <c r="D2650" t="s">
        <v>1810</v>
      </c>
    </row>
    <row r="2651" spans="1:4" x14ac:dyDescent="0.2">
      <c r="A2651" t="s">
        <v>4499</v>
      </c>
      <c r="B2651" s="2">
        <v>42948</v>
      </c>
      <c r="C2651" t="s">
        <v>2407</v>
      </c>
      <c r="D2651" t="s">
        <v>1813</v>
      </c>
    </row>
    <row r="2652" spans="1:4" x14ac:dyDescent="0.2">
      <c r="A2652" t="s">
        <v>4500</v>
      </c>
      <c r="B2652" s="2">
        <v>43003</v>
      </c>
      <c r="C2652" t="s">
        <v>1894</v>
      </c>
      <c r="D2652" t="s">
        <v>1804</v>
      </c>
    </row>
    <row r="2653" spans="1:4" x14ac:dyDescent="0.2">
      <c r="A2653" t="s">
        <v>4501</v>
      </c>
      <c r="B2653" s="2">
        <v>43096</v>
      </c>
      <c r="C2653" t="s">
        <v>1816</v>
      </c>
      <c r="D2653" t="s">
        <v>1810</v>
      </c>
    </row>
    <row r="2654" spans="1:4" x14ac:dyDescent="0.2">
      <c r="A2654" t="s">
        <v>4502</v>
      </c>
      <c r="B2654" s="2">
        <v>43209</v>
      </c>
      <c r="C2654" t="s">
        <v>1863</v>
      </c>
      <c r="D2654" t="s">
        <v>1804</v>
      </c>
    </row>
    <row r="2655" spans="1:4" x14ac:dyDescent="0.2">
      <c r="A2655" t="s">
        <v>4503</v>
      </c>
      <c r="B2655" s="2">
        <v>43151</v>
      </c>
      <c r="C2655" t="s">
        <v>1878</v>
      </c>
      <c r="D2655" t="s">
        <v>1810</v>
      </c>
    </row>
    <row r="2656" spans="1:4" x14ac:dyDescent="0.2">
      <c r="A2656" t="s">
        <v>4504</v>
      </c>
      <c r="B2656" s="2">
        <v>43182</v>
      </c>
      <c r="C2656" t="s">
        <v>2579</v>
      </c>
      <c r="D2656" t="s">
        <v>1840</v>
      </c>
    </row>
    <row r="2657" spans="1:4" x14ac:dyDescent="0.2">
      <c r="A2657" t="s">
        <v>4505</v>
      </c>
      <c r="B2657" s="2">
        <v>43154</v>
      </c>
      <c r="C2657" t="s">
        <v>4506</v>
      </c>
      <c r="D2657" t="s">
        <v>1840</v>
      </c>
    </row>
    <row r="2658" spans="1:4" x14ac:dyDescent="0.2">
      <c r="A2658" t="s">
        <v>4507</v>
      </c>
      <c r="B2658" s="2">
        <v>43235</v>
      </c>
      <c r="C2658" t="s">
        <v>1863</v>
      </c>
      <c r="D2658" t="s">
        <v>1804</v>
      </c>
    </row>
    <row r="2659" spans="1:4" x14ac:dyDescent="0.2">
      <c r="A2659" t="s">
        <v>4508</v>
      </c>
      <c r="B2659" s="2">
        <v>43159</v>
      </c>
      <c r="C2659" t="s">
        <v>1836</v>
      </c>
      <c r="D2659" t="s">
        <v>1031</v>
      </c>
    </row>
    <row r="2660" spans="1:4" x14ac:dyDescent="0.2">
      <c r="A2660" t="s">
        <v>4509</v>
      </c>
      <c r="B2660" s="2">
        <v>43067</v>
      </c>
      <c r="C2660" t="s">
        <v>1859</v>
      </c>
      <c r="D2660" t="s">
        <v>1031</v>
      </c>
    </row>
    <row r="2661" spans="1:4" x14ac:dyDescent="0.2">
      <c r="A2661" t="s">
        <v>4510</v>
      </c>
      <c r="B2661" s="2">
        <v>43132</v>
      </c>
      <c r="C2661" t="s">
        <v>1836</v>
      </c>
      <c r="D2661" t="s">
        <v>1810</v>
      </c>
    </row>
    <row r="2662" spans="1:4" x14ac:dyDescent="0.2">
      <c r="A2662" t="s">
        <v>4511</v>
      </c>
      <c r="B2662" s="2">
        <v>43152</v>
      </c>
      <c r="C2662" t="s">
        <v>1907</v>
      </c>
      <c r="D2662" t="s">
        <v>1031</v>
      </c>
    </row>
    <row r="2663" spans="1:4" x14ac:dyDescent="0.2">
      <c r="A2663" t="s">
        <v>4512</v>
      </c>
      <c r="B2663" s="2">
        <v>42975</v>
      </c>
      <c r="C2663" t="s">
        <v>1825</v>
      </c>
      <c r="D2663" t="s">
        <v>1810</v>
      </c>
    </row>
    <row r="2664" spans="1:4" x14ac:dyDescent="0.2">
      <c r="A2664" t="s">
        <v>4513</v>
      </c>
      <c r="B2664" s="2">
        <v>43150</v>
      </c>
      <c r="C2664" t="s">
        <v>1889</v>
      </c>
      <c r="D2664" t="s">
        <v>1840</v>
      </c>
    </row>
    <row r="2665" spans="1:4" x14ac:dyDescent="0.2">
      <c r="A2665" t="s">
        <v>4514</v>
      </c>
      <c r="B2665" s="2">
        <v>43224</v>
      </c>
      <c r="C2665" t="s">
        <v>1863</v>
      </c>
      <c r="D2665" t="s">
        <v>1804</v>
      </c>
    </row>
    <row r="2666" spans="1:4" x14ac:dyDescent="0.2">
      <c r="A2666" t="s">
        <v>626</v>
      </c>
      <c r="B2666" s="2">
        <v>43161</v>
      </c>
      <c r="C2666" t="s">
        <v>1836</v>
      </c>
      <c r="D2666" t="s">
        <v>1031</v>
      </c>
    </row>
    <row r="2667" spans="1:4" x14ac:dyDescent="0.2">
      <c r="A2667" t="s">
        <v>4515</v>
      </c>
      <c r="B2667" s="2">
        <v>43232</v>
      </c>
      <c r="C2667" t="s">
        <v>1863</v>
      </c>
      <c r="D2667" t="s">
        <v>1804</v>
      </c>
    </row>
    <row r="2668" spans="1:4" x14ac:dyDescent="0.2">
      <c r="A2668" t="s">
        <v>4516</v>
      </c>
      <c r="B2668" s="2">
        <v>42930</v>
      </c>
      <c r="C2668" t="s">
        <v>4373</v>
      </c>
      <c r="D2668" t="s">
        <v>1031</v>
      </c>
    </row>
    <row r="2669" spans="1:4" x14ac:dyDescent="0.2">
      <c r="A2669" t="s">
        <v>4517</v>
      </c>
      <c r="B2669" s="2">
        <v>43144</v>
      </c>
      <c r="C2669" t="s">
        <v>1905</v>
      </c>
      <c r="D2669" t="s">
        <v>1840</v>
      </c>
    </row>
    <row r="2670" spans="1:4" x14ac:dyDescent="0.2">
      <c r="A2670" t="s">
        <v>4518</v>
      </c>
      <c r="B2670" s="2">
        <v>43063</v>
      </c>
      <c r="C2670" t="s">
        <v>4519</v>
      </c>
      <c r="D2670" t="s">
        <v>1807</v>
      </c>
    </row>
    <row r="2671" spans="1:4" x14ac:dyDescent="0.2">
      <c r="A2671" t="s">
        <v>4520</v>
      </c>
      <c r="B2671" s="2">
        <v>43031</v>
      </c>
      <c r="C2671" t="s">
        <v>1939</v>
      </c>
      <c r="D2671" t="s">
        <v>1031</v>
      </c>
    </row>
    <row r="2672" spans="1:4" x14ac:dyDescent="0.2">
      <c r="A2672" t="s">
        <v>4521</v>
      </c>
      <c r="B2672" s="2">
        <v>43139</v>
      </c>
      <c r="C2672" t="s">
        <v>1905</v>
      </c>
      <c r="D2672" t="s">
        <v>1810</v>
      </c>
    </row>
    <row r="2673" spans="1:4" x14ac:dyDescent="0.2">
      <c r="A2673" t="s">
        <v>4522</v>
      </c>
      <c r="B2673" s="2">
        <v>43208</v>
      </c>
      <c r="C2673" t="s">
        <v>1930</v>
      </c>
      <c r="D2673" t="s">
        <v>1807</v>
      </c>
    </row>
    <row r="2674" spans="1:4" x14ac:dyDescent="0.2">
      <c r="A2674" t="s">
        <v>4523</v>
      </c>
      <c r="B2674" s="2">
        <v>43229</v>
      </c>
      <c r="C2674" t="s">
        <v>2242</v>
      </c>
      <c r="D2674" t="s">
        <v>1807</v>
      </c>
    </row>
    <row r="2675" spans="1:4" x14ac:dyDescent="0.2">
      <c r="A2675" t="s">
        <v>4524</v>
      </c>
      <c r="B2675" s="2">
        <v>43028</v>
      </c>
      <c r="C2675" t="s">
        <v>1836</v>
      </c>
      <c r="D2675" t="s">
        <v>1031</v>
      </c>
    </row>
    <row r="2676" spans="1:4" x14ac:dyDescent="0.2">
      <c r="A2676" t="s">
        <v>4525</v>
      </c>
      <c r="B2676" s="2">
        <v>42927</v>
      </c>
      <c r="C2676" t="s">
        <v>1919</v>
      </c>
      <c r="D2676" t="s">
        <v>160</v>
      </c>
    </row>
    <row r="2677" spans="1:4" x14ac:dyDescent="0.2">
      <c r="A2677" t="s">
        <v>4526</v>
      </c>
      <c r="B2677" s="2">
        <v>43175</v>
      </c>
      <c r="C2677" t="s">
        <v>1905</v>
      </c>
      <c r="D2677" t="s">
        <v>1810</v>
      </c>
    </row>
    <row r="2678" spans="1:4" x14ac:dyDescent="0.2">
      <c r="A2678" t="s">
        <v>4527</v>
      </c>
      <c r="B2678" s="2">
        <v>42906</v>
      </c>
      <c r="C2678" t="s">
        <v>2163</v>
      </c>
      <c r="D2678" t="s">
        <v>1813</v>
      </c>
    </row>
    <row r="2679" spans="1:4" x14ac:dyDescent="0.2">
      <c r="A2679" t="s">
        <v>4528</v>
      </c>
      <c r="B2679" s="2">
        <v>43042</v>
      </c>
      <c r="C2679" t="s">
        <v>1803</v>
      </c>
      <c r="D2679" t="s">
        <v>1829</v>
      </c>
    </row>
    <row r="2680" spans="1:4" x14ac:dyDescent="0.2">
      <c r="A2680" t="s">
        <v>4529</v>
      </c>
      <c r="B2680" s="2">
        <v>43102</v>
      </c>
      <c r="C2680" t="s">
        <v>1831</v>
      </c>
      <c r="D2680" t="s">
        <v>1813</v>
      </c>
    </row>
    <row r="2681" spans="1:4" x14ac:dyDescent="0.2">
      <c r="A2681" t="s">
        <v>4530</v>
      </c>
      <c r="B2681" s="2">
        <v>42964</v>
      </c>
      <c r="C2681" t="s">
        <v>1894</v>
      </c>
      <c r="D2681" t="s">
        <v>1807</v>
      </c>
    </row>
    <row r="2682" spans="1:4" x14ac:dyDescent="0.2">
      <c r="A2682" t="s">
        <v>4531</v>
      </c>
      <c r="B2682" s="2">
        <v>42991</v>
      </c>
      <c r="C2682" t="s">
        <v>1894</v>
      </c>
      <c r="D2682" t="s">
        <v>1804</v>
      </c>
    </row>
    <row r="2683" spans="1:4" x14ac:dyDescent="0.2">
      <c r="A2683" t="s">
        <v>4532</v>
      </c>
      <c r="B2683" s="2">
        <v>43111</v>
      </c>
      <c r="C2683" t="s">
        <v>2012</v>
      </c>
      <c r="D2683" t="s">
        <v>1807</v>
      </c>
    </row>
    <row r="2684" spans="1:4" x14ac:dyDescent="0.2">
      <c r="A2684" t="s">
        <v>4533</v>
      </c>
      <c r="B2684" s="2">
        <v>42958</v>
      </c>
      <c r="C2684" t="s">
        <v>1859</v>
      </c>
      <c r="D2684" t="s">
        <v>1840</v>
      </c>
    </row>
    <row r="2685" spans="1:4" x14ac:dyDescent="0.2">
      <c r="A2685" t="s">
        <v>4534</v>
      </c>
      <c r="B2685" s="2">
        <v>42934</v>
      </c>
      <c r="C2685" t="s">
        <v>1814</v>
      </c>
      <c r="D2685" t="s">
        <v>1810</v>
      </c>
    </row>
    <row r="2686" spans="1:4" x14ac:dyDescent="0.2">
      <c r="A2686" t="s">
        <v>4535</v>
      </c>
      <c r="B2686" s="2">
        <v>43042</v>
      </c>
      <c r="C2686" t="s">
        <v>1867</v>
      </c>
      <c r="D2686" t="s">
        <v>1829</v>
      </c>
    </row>
    <row r="2687" spans="1:4" x14ac:dyDescent="0.2">
      <c r="A2687" t="s">
        <v>4536</v>
      </c>
      <c r="B2687" s="2">
        <v>42995</v>
      </c>
      <c r="C2687" t="s">
        <v>1894</v>
      </c>
      <c r="D2687" t="s">
        <v>1804</v>
      </c>
    </row>
    <row r="2688" spans="1:4" x14ac:dyDescent="0.2">
      <c r="A2688" t="s">
        <v>4537</v>
      </c>
      <c r="B2688" s="2">
        <v>43192</v>
      </c>
      <c r="C2688" t="s">
        <v>1863</v>
      </c>
      <c r="D2688" t="s">
        <v>1804</v>
      </c>
    </row>
    <row r="2689" spans="1:4" x14ac:dyDescent="0.2">
      <c r="A2689" t="s">
        <v>4538</v>
      </c>
      <c r="B2689" s="2">
        <v>43175</v>
      </c>
      <c r="C2689" t="s">
        <v>1930</v>
      </c>
      <c r="D2689" t="s">
        <v>1807</v>
      </c>
    </row>
    <row r="2690" spans="1:4" x14ac:dyDescent="0.2">
      <c r="A2690" t="s">
        <v>4539</v>
      </c>
      <c r="B2690" s="2">
        <v>42978</v>
      </c>
      <c r="C2690" t="s">
        <v>3440</v>
      </c>
      <c r="D2690" t="s">
        <v>1031</v>
      </c>
    </row>
    <row r="2691" spans="1:4" x14ac:dyDescent="0.2">
      <c r="A2691" t="s">
        <v>4540</v>
      </c>
      <c r="B2691" s="2">
        <v>42998</v>
      </c>
      <c r="C2691" t="s">
        <v>1806</v>
      </c>
      <c r="D2691" t="s">
        <v>1807</v>
      </c>
    </row>
    <row r="2692" spans="1:4" x14ac:dyDescent="0.2">
      <c r="A2692" t="s">
        <v>4541</v>
      </c>
      <c r="B2692" s="2">
        <v>43117</v>
      </c>
      <c r="C2692" t="s">
        <v>1930</v>
      </c>
      <c r="D2692" t="s">
        <v>1807</v>
      </c>
    </row>
    <row r="2693" spans="1:4" x14ac:dyDescent="0.2">
      <c r="A2693" t="s">
        <v>4542</v>
      </c>
      <c r="B2693" s="2">
        <v>43106</v>
      </c>
      <c r="C2693" t="s">
        <v>1816</v>
      </c>
      <c r="D2693" t="s">
        <v>1810</v>
      </c>
    </row>
    <row r="2694" spans="1:4" x14ac:dyDescent="0.2">
      <c r="A2694" t="s">
        <v>4543</v>
      </c>
      <c r="B2694" s="2">
        <v>43158</v>
      </c>
      <c r="C2694" t="s">
        <v>2819</v>
      </c>
      <c r="D2694" t="s">
        <v>1813</v>
      </c>
    </row>
    <row r="2695" spans="1:4" x14ac:dyDescent="0.2">
      <c r="A2695" t="s">
        <v>4544</v>
      </c>
      <c r="B2695" s="2">
        <v>43026</v>
      </c>
      <c r="C2695" t="s">
        <v>1887</v>
      </c>
      <c r="D2695" t="s">
        <v>1031</v>
      </c>
    </row>
    <row r="2696" spans="1:4" x14ac:dyDescent="0.2">
      <c r="A2696" t="s">
        <v>4545</v>
      </c>
      <c r="B2696" s="2">
        <v>42982</v>
      </c>
      <c r="C2696" t="s">
        <v>2066</v>
      </c>
      <c r="D2696" t="s">
        <v>1031</v>
      </c>
    </row>
    <row r="2697" spans="1:4" x14ac:dyDescent="0.2">
      <c r="A2697" t="s">
        <v>4546</v>
      </c>
      <c r="B2697" s="2">
        <v>43130</v>
      </c>
      <c r="C2697" t="s">
        <v>2058</v>
      </c>
      <c r="D2697" t="s">
        <v>1810</v>
      </c>
    </row>
    <row r="2698" spans="1:4" x14ac:dyDescent="0.2">
      <c r="A2698" t="s">
        <v>4547</v>
      </c>
      <c r="B2698" s="2">
        <v>43145</v>
      </c>
      <c r="C2698" t="s">
        <v>1816</v>
      </c>
      <c r="D2698" t="s">
        <v>1810</v>
      </c>
    </row>
    <row r="2699" spans="1:4" x14ac:dyDescent="0.2">
      <c r="A2699" t="s">
        <v>628</v>
      </c>
      <c r="B2699" s="2">
        <v>43195</v>
      </c>
      <c r="C2699" t="s">
        <v>1816</v>
      </c>
      <c r="D2699" t="s">
        <v>1849</v>
      </c>
    </row>
    <row r="2700" spans="1:4" x14ac:dyDescent="0.2">
      <c r="A2700" t="s">
        <v>4548</v>
      </c>
      <c r="B2700" s="2">
        <v>43182</v>
      </c>
      <c r="C2700" t="s">
        <v>1816</v>
      </c>
      <c r="D2700" t="s">
        <v>1810</v>
      </c>
    </row>
    <row r="2701" spans="1:4" x14ac:dyDescent="0.2">
      <c r="A2701" t="s">
        <v>4549</v>
      </c>
      <c r="B2701" s="2">
        <v>43229</v>
      </c>
      <c r="C2701" t="s">
        <v>1827</v>
      </c>
      <c r="D2701" t="s">
        <v>1807</v>
      </c>
    </row>
    <row r="2702" spans="1:4" x14ac:dyDescent="0.2">
      <c r="A2702" t="s">
        <v>630</v>
      </c>
      <c r="B2702" s="2">
        <v>43181</v>
      </c>
      <c r="C2702" t="s">
        <v>1836</v>
      </c>
      <c r="D2702" t="s">
        <v>1031</v>
      </c>
    </row>
    <row r="2703" spans="1:4" x14ac:dyDescent="0.2">
      <c r="A2703" t="s">
        <v>4550</v>
      </c>
      <c r="B2703" s="2">
        <v>42985</v>
      </c>
      <c r="C2703" t="s">
        <v>2066</v>
      </c>
      <c r="D2703" t="s">
        <v>1813</v>
      </c>
    </row>
    <row r="2704" spans="1:4" x14ac:dyDescent="0.2">
      <c r="A2704" t="s">
        <v>4551</v>
      </c>
      <c r="B2704" s="2">
        <v>43179</v>
      </c>
      <c r="C2704" t="s">
        <v>2062</v>
      </c>
      <c r="D2704" t="s">
        <v>1807</v>
      </c>
    </row>
    <row r="2705" spans="1:4" x14ac:dyDescent="0.2">
      <c r="A2705" t="s">
        <v>4552</v>
      </c>
      <c r="B2705" s="2">
        <v>43009</v>
      </c>
      <c r="C2705" t="s">
        <v>1897</v>
      </c>
      <c r="D2705" t="s">
        <v>1810</v>
      </c>
    </row>
    <row r="2706" spans="1:4" x14ac:dyDescent="0.2">
      <c r="A2706" t="s">
        <v>4553</v>
      </c>
      <c r="B2706" s="2">
        <v>42998</v>
      </c>
      <c r="C2706" t="s">
        <v>2206</v>
      </c>
      <c r="D2706" t="s">
        <v>1840</v>
      </c>
    </row>
    <row r="2707" spans="1:4" x14ac:dyDescent="0.2">
      <c r="A2707" t="s">
        <v>4554</v>
      </c>
      <c r="B2707" s="2">
        <v>43204</v>
      </c>
      <c r="C2707" t="s">
        <v>2158</v>
      </c>
      <c r="D2707" t="s">
        <v>1810</v>
      </c>
    </row>
    <row r="2708" spans="1:4" x14ac:dyDescent="0.2">
      <c r="A2708" t="s">
        <v>4555</v>
      </c>
      <c r="B2708" s="2">
        <v>43151</v>
      </c>
      <c r="C2708" t="s">
        <v>1831</v>
      </c>
      <c r="D2708" t="s">
        <v>160</v>
      </c>
    </row>
    <row r="2709" spans="1:4" x14ac:dyDescent="0.2">
      <c r="A2709" t="s">
        <v>4556</v>
      </c>
      <c r="B2709" s="2">
        <v>43049</v>
      </c>
      <c r="C2709" t="s">
        <v>2650</v>
      </c>
      <c r="D2709" t="s">
        <v>1810</v>
      </c>
    </row>
    <row r="2710" spans="1:4" x14ac:dyDescent="0.2">
      <c r="A2710" t="s">
        <v>4557</v>
      </c>
      <c r="B2710" s="2">
        <v>43201</v>
      </c>
      <c r="C2710" t="s">
        <v>1836</v>
      </c>
      <c r="D2710" t="s">
        <v>1031</v>
      </c>
    </row>
    <row r="2711" spans="1:4" x14ac:dyDescent="0.2">
      <c r="A2711" t="s">
        <v>4558</v>
      </c>
      <c r="B2711" s="2">
        <v>43220</v>
      </c>
      <c r="C2711" t="s">
        <v>1825</v>
      </c>
      <c r="D2711" t="s">
        <v>1829</v>
      </c>
    </row>
    <row r="2712" spans="1:4" x14ac:dyDescent="0.2">
      <c r="A2712" t="s">
        <v>4559</v>
      </c>
      <c r="B2712" s="2">
        <v>43242</v>
      </c>
      <c r="C2712" t="s">
        <v>1816</v>
      </c>
      <c r="D2712" t="s">
        <v>1807</v>
      </c>
    </row>
    <row r="2713" spans="1:4" x14ac:dyDescent="0.2">
      <c r="A2713" t="s">
        <v>632</v>
      </c>
      <c r="B2713" s="2">
        <v>43229</v>
      </c>
      <c r="C2713" t="s">
        <v>1816</v>
      </c>
      <c r="D2713" t="s">
        <v>1810</v>
      </c>
    </row>
    <row r="2714" spans="1:4" x14ac:dyDescent="0.2">
      <c r="A2714" t="s">
        <v>4560</v>
      </c>
      <c r="B2714" s="2">
        <v>42998</v>
      </c>
      <c r="C2714" t="s">
        <v>1905</v>
      </c>
      <c r="D2714" t="s">
        <v>1807</v>
      </c>
    </row>
    <row r="2715" spans="1:4" x14ac:dyDescent="0.2">
      <c r="A2715" t="s">
        <v>4561</v>
      </c>
      <c r="B2715" s="2">
        <v>42997</v>
      </c>
      <c r="C2715" t="s">
        <v>2535</v>
      </c>
      <c r="D2715" t="s">
        <v>1807</v>
      </c>
    </row>
    <row r="2716" spans="1:4" x14ac:dyDescent="0.2">
      <c r="A2716" t="s">
        <v>4562</v>
      </c>
      <c r="B2716" s="2">
        <v>43067</v>
      </c>
      <c r="C2716" t="s">
        <v>1836</v>
      </c>
      <c r="D2716" t="s">
        <v>1031</v>
      </c>
    </row>
    <row r="2717" spans="1:4" x14ac:dyDescent="0.2">
      <c r="A2717" t="s">
        <v>4563</v>
      </c>
      <c r="B2717" s="2">
        <v>43152</v>
      </c>
      <c r="C2717" t="s">
        <v>4564</v>
      </c>
      <c r="D2717" t="s">
        <v>1031</v>
      </c>
    </row>
    <row r="2718" spans="1:4" x14ac:dyDescent="0.2">
      <c r="A2718" t="s">
        <v>4565</v>
      </c>
      <c r="B2718" s="2">
        <v>43244</v>
      </c>
      <c r="C2718" t="s">
        <v>1816</v>
      </c>
      <c r="D2718" t="s">
        <v>1810</v>
      </c>
    </row>
    <row r="2719" spans="1:4" x14ac:dyDescent="0.2">
      <c r="A2719" t="s">
        <v>4566</v>
      </c>
      <c r="B2719" s="2">
        <v>43125</v>
      </c>
      <c r="C2719" t="s">
        <v>1993</v>
      </c>
      <c r="D2719" t="s">
        <v>1810</v>
      </c>
    </row>
    <row r="2720" spans="1:4" x14ac:dyDescent="0.2">
      <c r="A2720" t="s">
        <v>4567</v>
      </c>
      <c r="B2720" s="2">
        <v>43164</v>
      </c>
      <c r="C2720" t="s">
        <v>2242</v>
      </c>
      <c r="D2720" t="s">
        <v>1840</v>
      </c>
    </row>
    <row r="2721" spans="1:4" x14ac:dyDescent="0.2">
      <c r="A2721" t="s">
        <v>4568</v>
      </c>
      <c r="B2721" s="2">
        <v>43059</v>
      </c>
      <c r="C2721" t="s">
        <v>2108</v>
      </c>
      <c r="D2721" t="s">
        <v>1031</v>
      </c>
    </row>
    <row r="2722" spans="1:4" x14ac:dyDescent="0.2">
      <c r="A2722" t="s">
        <v>4569</v>
      </c>
      <c r="B2722" s="2">
        <v>43188</v>
      </c>
      <c r="C2722" t="s">
        <v>2591</v>
      </c>
      <c r="D2722" t="s">
        <v>1849</v>
      </c>
    </row>
    <row r="2723" spans="1:4" x14ac:dyDescent="0.2">
      <c r="A2723" t="s">
        <v>4570</v>
      </c>
      <c r="B2723" s="2">
        <v>43244</v>
      </c>
      <c r="C2723" t="s">
        <v>1863</v>
      </c>
      <c r="D2723" t="s">
        <v>1804</v>
      </c>
    </row>
    <row r="2724" spans="1:4" x14ac:dyDescent="0.2">
      <c r="A2724" t="s">
        <v>4571</v>
      </c>
      <c r="B2724" s="2">
        <v>43242</v>
      </c>
      <c r="C2724" t="s">
        <v>1827</v>
      </c>
      <c r="D2724" t="s">
        <v>1807</v>
      </c>
    </row>
    <row r="2725" spans="1:4" x14ac:dyDescent="0.2">
      <c r="A2725" t="s">
        <v>4572</v>
      </c>
      <c r="B2725" s="2">
        <v>43222</v>
      </c>
      <c r="C2725" t="s">
        <v>2070</v>
      </c>
      <c r="D2725" t="s">
        <v>1813</v>
      </c>
    </row>
    <row r="2726" spans="1:4" x14ac:dyDescent="0.2">
      <c r="A2726" t="s">
        <v>4573</v>
      </c>
      <c r="B2726" s="2">
        <v>43146</v>
      </c>
      <c r="C2726" t="s">
        <v>4092</v>
      </c>
      <c r="D2726" t="s">
        <v>1804</v>
      </c>
    </row>
    <row r="2727" spans="1:4" x14ac:dyDescent="0.2">
      <c r="A2727" t="s">
        <v>4574</v>
      </c>
      <c r="B2727" s="2">
        <v>43217</v>
      </c>
      <c r="C2727" t="s">
        <v>1867</v>
      </c>
      <c r="D2727" t="s">
        <v>1840</v>
      </c>
    </row>
    <row r="2728" spans="1:4" x14ac:dyDescent="0.2">
      <c r="A2728" t="s">
        <v>4575</v>
      </c>
      <c r="B2728" s="2">
        <v>42947</v>
      </c>
      <c r="C2728" t="s">
        <v>2433</v>
      </c>
      <c r="D2728" t="s">
        <v>1804</v>
      </c>
    </row>
    <row r="2729" spans="1:4" x14ac:dyDescent="0.2">
      <c r="A2729" t="s">
        <v>4576</v>
      </c>
      <c r="B2729" s="2">
        <v>43218</v>
      </c>
      <c r="C2729" t="s">
        <v>1905</v>
      </c>
      <c r="D2729" t="s">
        <v>1810</v>
      </c>
    </row>
    <row r="2730" spans="1:4" x14ac:dyDescent="0.2">
      <c r="A2730" t="s">
        <v>4577</v>
      </c>
      <c r="B2730" s="2">
        <v>43248</v>
      </c>
      <c r="C2730" t="s">
        <v>1863</v>
      </c>
      <c r="D2730" t="s">
        <v>1804</v>
      </c>
    </row>
    <row r="2731" spans="1:4" x14ac:dyDescent="0.2">
      <c r="A2731" t="s">
        <v>4578</v>
      </c>
      <c r="B2731" s="2">
        <v>43146</v>
      </c>
      <c r="C2731" t="s">
        <v>1905</v>
      </c>
      <c r="D2731" t="s">
        <v>1810</v>
      </c>
    </row>
    <row r="2732" spans="1:4" x14ac:dyDescent="0.2">
      <c r="A2732" t="s">
        <v>4579</v>
      </c>
      <c r="B2732" s="2">
        <v>43065</v>
      </c>
      <c r="C2732" t="s">
        <v>1930</v>
      </c>
      <c r="D2732" t="s">
        <v>1807</v>
      </c>
    </row>
    <row r="2733" spans="1:4" x14ac:dyDescent="0.2">
      <c r="A2733" t="s">
        <v>4580</v>
      </c>
      <c r="B2733" s="2">
        <v>43068</v>
      </c>
      <c r="C2733" t="s">
        <v>1816</v>
      </c>
      <c r="D2733" t="s">
        <v>1810</v>
      </c>
    </row>
    <row r="2734" spans="1:4" x14ac:dyDescent="0.2">
      <c r="A2734" t="s">
        <v>4581</v>
      </c>
      <c r="B2734" s="2">
        <v>43070</v>
      </c>
      <c r="C2734" t="s">
        <v>1921</v>
      </c>
      <c r="D2734" t="s">
        <v>1910</v>
      </c>
    </row>
    <row r="2735" spans="1:4" x14ac:dyDescent="0.2">
      <c r="A2735" t="s">
        <v>4582</v>
      </c>
      <c r="B2735" s="2">
        <v>43158</v>
      </c>
      <c r="C2735" t="s">
        <v>2108</v>
      </c>
      <c r="D2735" t="s">
        <v>1813</v>
      </c>
    </row>
    <row r="2736" spans="1:4" x14ac:dyDescent="0.2">
      <c r="A2736" t="s">
        <v>4583</v>
      </c>
      <c r="B2736" s="2">
        <v>43208</v>
      </c>
      <c r="C2736" t="s">
        <v>1863</v>
      </c>
      <c r="D2736" t="s">
        <v>1804</v>
      </c>
    </row>
    <row r="2737" spans="1:4" x14ac:dyDescent="0.2">
      <c r="A2737" t="s">
        <v>4584</v>
      </c>
      <c r="B2737" s="2">
        <v>43134</v>
      </c>
      <c r="C2737" t="s">
        <v>1905</v>
      </c>
      <c r="D2737" t="s">
        <v>1810</v>
      </c>
    </row>
    <row r="2738" spans="1:4" x14ac:dyDescent="0.2">
      <c r="A2738" t="s">
        <v>4585</v>
      </c>
      <c r="B2738" s="2">
        <v>43111</v>
      </c>
      <c r="C2738" t="s">
        <v>1959</v>
      </c>
      <c r="D2738" t="s">
        <v>1840</v>
      </c>
    </row>
    <row r="2739" spans="1:4" x14ac:dyDescent="0.2">
      <c r="A2739" t="s">
        <v>4586</v>
      </c>
      <c r="B2739" s="2">
        <v>43222</v>
      </c>
      <c r="C2739" t="s">
        <v>2070</v>
      </c>
      <c r="D2739" t="s">
        <v>1810</v>
      </c>
    </row>
    <row r="2740" spans="1:4" x14ac:dyDescent="0.2">
      <c r="A2740" t="s">
        <v>4587</v>
      </c>
      <c r="B2740" s="2">
        <v>42950</v>
      </c>
      <c r="C2740" t="s">
        <v>1836</v>
      </c>
      <c r="D2740" t="s">
        <v>1031</v>
      </c>
    </row>
    <row r="2741" spans="1:4" x14ac:dyDescent="0.2">
      <c r="A2741" t="s">
        <v>4588</v>
      </c>
      <c r="B2741" s="2">
        <v>43222</v>
      </c>
      <c r="C2741" t="s">
        <v>2066</v>
      </c>
      <c r="D2741" t="s">
        <v>1813</v>
      </c>
    </row>
    <row r="2742" spans="1:4" x14ac:dyDescent="0.2">
      <c r="A2742" t="s">
        <v>4589</v>
      </c>
      <c r="B2742" s="2">
        <v>43193</v>
      </c>
      <c r="C2742" t="s">
        <v>1863</v>
      </c>
      <c r="D2742" t="s">
        <v>1804</v>
      </c>
    </row>
    <row r="2743" spans="1:4" x14ac:dyDescent="0.2">
      <c r="A2743" t="s">
        <v>634</v>
      </c>
      <c r="B2743" s="2">
        <v>43105</v>
      </c>
      <c r="C2743" t="s">
        <v>2216</v>
      </c>
      <c r="D2743" t="s">
        <v>1807</v>
      </c>
    </row>
    <row r="2744" spans="1:4" x14ac:dyDescent="0.2">
      <c r="A2744" t="s">
        <v>4590</v>
      </c>
      <c r="B2744" s="2">
        <v>43150</v>
      </c>
      <c r="C2744" t="s">
        <v>1825</v>
      </c>
      <c r="D2744" t="s">
        <v>1031</v>
      </c>
    </row>
    <row r="2745" spans="1:4" x14ac:dyDescent="0.2">
      <c r="A2745" t="s">
        <v>636</v>
      </c>
      <c r="B2745" s="2">
        <v>43235</v>
      </c>
      <c r="C2745" t="s">
        <v>1816</v>
      </c>
      <c r="D2745" t="s">
        <v>1807</v>
      </c>
    </row>
    <row r="2746" spans="1:4" x14ac:dyDescent="0.2">
      <c r="A2746" t="s">
        <v>638</v>
      </c>
      <c r="B2746" s="2">
        <v>43227</v>
      </c>
      <c r="C2746" t="s">
        <v>1809</v>
      </c>
      <c r="D2746" t="s">
        <v>1849</v>
      </c>
    </row>
    <row r="2747" spans="1:4" x14ac:dyDescent="0.2">
      <c r="A2747" t="s">
        <v>4591</v>
      </c>
      <c r="B2747" s="2">
        <v>43171</v>
      </c>
      <c r="C2747" t="s">
        <v>1867</v>
      </c>
      <c r="D2747" t="s">
        <v>1810</v>
      </c>
    </row>
    <row r="2748" spans="1:4" x14ac:dyDescent="0.2">
      <c r="A2748" t="s">
        <v>4592</v>
      </c>
      <c r="B2748" s="2">
        <v>43211</v>
      </c>
      <c r="C2748" t="s">
        <v>2115</v>
      </c>
      <c r="D2748" t="s">
        <v>1804</v>
      </c>
    </row>
    <row r="2749" spans="1:4" x14ac:dyDescent="0.2">
      <c r="A2749" t="s">
        <v>4593</v>
      </c>
      <c r="B2749" s="2">
        <v>43150</v>
      </c>
      <c r="C2749" t="s">
        <v>2349</v>
      </c>
      <c r="D2749" t="s">
        <v>1796</v>
      </c>
    </row>
    <row r="2750" spans="1:4" x14ac:dyDescent="0.2">
      <c r="A2750" t="s">
        <v>4594</v>
      </c>
      <c r="B2750" s="2">
        <v>43012</v>
      </c>
      <c r="C2750" t="s">
        <v>3732</v>
      </c>
      <c r="D2750" t="s">
        <v>1810</v>
      </c>
    </row>
    <row r="2751" spans="1:4" x14ac:dyDescent="0.2">
      <c r="A2751" t="s">
        <v>4595</v>
      </c>
      <c r="B2751" s="2">
        <v>43114</v>
      </c>
      <c r="C2751" t="s">
        <v>1867</v>
      </c>
      <c r="D2751" t="s">
        <v>1810</v>
      </c>
    </row>
    <row r="2752" spans="1:4" x14ac:dyDescent="0.2">
      <c r="A2752" t="s">
        <v>4596</v>
      </c>
      <c r="B2752" s="2">
        <v>43223</v>
      </c>
      <c r="C2752" t="s">
        <v>1863</v>
      </c>
      <c r="D2752" t="s">
        <v>1804</v>
      </c>
    </row>
    <row r="2753" spans="1:4" x14ac:dyDescent="0.2">
      <c r="A2753" t="s">
        <v>4597</v>
      </c>
      <c r="B2753" s="2">
        <v>43215</v>
      </c>
      <c r="C2753" t="s">
        <v>1909</v>
      </c>
      <c r="D2753" t="s">
        <v>1810</v>
      </c>
    </row>
    <row r="2754" spans="1:4" x14ac:dyDescent="0.2">
      <c r="A2754" t="s">
        <v>4598</v>
      </c>
      <c r="B2754" s="2">
        <v>43197</v>
      </c>
      <c r="C2754" t="s">
        <v>1863</v>
      </c>
      <c r="D2754" t="s">
        <v>1810</v>
      </c>
    </row>
    <row r="2755" spans="1:4" x14ac:dyDescent="0.2">
      <c r="A2755" t="s">
        <v>4599</v>
      </c>
      <c r="B2755" s="2">
        <v>43138</v>
      </c>
      <c r="C2755" t="s">
        <v>1987</v>
      </c>
      <c r="D2755" t="s">
        <v>1810</v>
      </c>
    </row>
    <row r="2756" spans="1:4" x14ac:dyDescent="0.2">
      <c r="A2756" t="s">
        <v>4600</v>
      </c>
      <c r="B2756" s="2">
        <v>43200</v>
      </c>
      <c r="C2756" t="s">
        <v>1863</v>
      </c>
      <c r="D2756" t="s">
        <v>1804</v>
      </c>
    </row>
    <row r="2757" spans="1:4" x14ac:dyDescent="0.2">
      <c r="A2757" t="s">
        <v>4601</v>
      </c>
      <c r="B2757" s="2">
        <v>43241</v>
      </c>
      <c r="C2757" t="s">
        <v>1836</v>
      </c>
      <c r="D2757" t="s">
        <v>1031</v>
      </c>
    </row>
    <row r="2758" spans="1:4" x14ac:dyDescent="0.2">
      <c r="A2758" t="s">
        <v>4602</v>
      </c>
      <c r="B2758" s="2">
        <v>43108</v>
      </c>
      <c r="C2758" t="s">
        <v>1803</v>
      </c>
      <c r="D2758" t="s">
        <v>1804</v>
      </c>
    </row>
    <row r="2759" spans="1:4" x14ac:dyDescent="0.2">
      <c r="A2759" t="s">
        <v>4603</v>
      </c>
      <c r="B2759" s="2">
        <v>43028</v>
      </c>
      <c r="C2759" t="s">
        <v>1836</v>
      </c>
      <c r="D2759" t="s">
        <v>1910</v>
      </c>
    </row>
    <row r="2760" spans="1:4" x14ac:dyDescent="0.2">
      <c r="A2760" t="s">
        <v>640</v>
      </c>
      <c r="B2760" s="2">
        <v>43163</v>
      </c>
      <c r="C2760" t="s">
        <v>1930</v>
      </c>
      <c r="D2760" t="s">
        <v>1807</v>
      </c>
    </row>
    <row r="2761" spans="1:4" x14ac:dyDescent="0.2">
      <c r="A2761" t="s">
        <v>4604</v>
      </c>
      <c r="B2761" s="2">
        <v>43118</v>
      </c>
      <c r="C2761" t="s">
        <v>2216</v>
      </c>
      <c r="D2761" t="s">
        <v>1810</v>
      </c>
    </row>
    <row r="2762" spans="1:4" x14ac:dyDescent="0.2">
      <c r="A2762" t="s">
        <v>4605</v>
      </c>
      <c r="B2762" s="2">
        <v>43193</v>
      </c>
      <c r="C2762" t="s">
        <v>1863</v>
      </c>
      <c r="D2762" t="s">
        <v>1804</v>
      </c>
    </row>
    <row r="2763" spans="1:4" x14ac:dyDescent="0.2">
      <c r="A2763" t="s">
        <v>4606</v>
      </c>
      <c r="B2763" s="2">
        <v>43105</v>
      </c>
      <c r="C2763" t="s">
        <v>1816</v>
      </c>
      <c r="D2763" t="s">
        <v>1807</v>
      </c>
    </row>
    <row r="2764" spans="1:4" x14ac:dyDescent="0.2">
      <c r="A2764" t="s">
        <v>642</v>
      </c>
      <c r="B2764" s="2">
        <v>43193</v>
      </c>
      <c r="C2764" t="s">
        <v>1863</v>
      </c>
      <c r="D2764" t="s">
        <v>1804</v>
      </c>
    </row>
    <row r="2765" spans="1:4" x14ac:dyDescent="0.2">
      <c r="A2765" t="s">
        <v>4607</v>
      </c>
      <c r="B2765" s="2">
        <v>42929</v>
      </c>
      <c r="C2765" t="s">
        <v>1900</v>
      </c>
      <c r="D2765" t="s">
        <v>1810</v>
      </c>
    </row>
    <row r="2766" spans="1:4" x14ac:dyDescent="0.2">
      <c r="A2766" t="s">
        <v>4608</v>
      </c>
      <c r="B2766" s="2">
        <v>43210</v>
      </c>
      <c r="C2766" t="s">
        <v>1836</v>
      </c>
      <c r="D2766" t="s">
        <v>1031</v>
      </c>
    </row>
    <row r="2767" spans="1:4" x14ac:dyDescent="0.2">
      <c r="A2767" t="s">
        <v>4609</v>
      </c>
      <c r="B2767" s="2">
        <v>43094</v>
      </c>
      <c r="C2767" t="s">
        <v>1803</v>
      </c>
      <c r="D2767" t="s">
        <v>1804</v>
      </c>
    </row>
    <row r="2768" spans="1:4" x14ac:dyDescent="0.2">
      <c r="A2768" t="s">
        <v>4610</v>
      </c>
      <c r="B2768" s="2">
        <v>43060</v>
      </c>
      <c r="C2768" t="s">
        <v>1803</v>
      </c>
      <c r="D2768" t="s">
        <v>1804</v>
      </c>
    </row>
    <row r="2769" spans="1:4" x14ac:dyDescent="0.2">
      <c r="A2769" t="s">
        <v>644</v>
      </c>
      <c r="B2769" s="2">
        <v>43137</v>
      </c>
      <c r="C2769" t="s">
        <v>1831</v>
      </c>
      <c r="D2769" t="s">
        <v>1810</v>
      </c>
    </row>
    <row r="2770" spans="1:4" x14ac:dyDescent="0.2">
      <c r="A2770" t="s">
        <v>4611</v>
      </c>
      <c r="B2770" s="2">
        <v>43183</v>
      </c>
      <c r="C2770" t="s">
        <v>1863</v>
      </c>
      <c r="D2770" t="s">
        <v>1804</v>
      </c>
    </row>
    <row r="2771" spans="1:4" x14ac:dyDescent="0.2">
      <c r="A2771" t="s">
        <v>4612</v>
      </c>
      <c r="B2771" s="2">
        <v>42960</v>
      </c>
      <c r="C2771" t="s">
        <v>1894</v>
      </c>
      <c r="D2771" t="s">
        <v>1804</v>
      </c>
    </row>
    <row r="2772" spans="1:4" x14ac:dyDescent="0.2">
      <c r="A2772" t="s">
        <v>4613</v>
      </c>
      <c r="B2772" s="2">
        <v>43127</v>
      </c>
      <c r="C2772" t="s">
        <v>2357</v>
      </c>
      <c r="D2772" t="s">
        <v>1840</v>
      </c>
    </row>
    <row r="2773" spans="1:4" x14ac:dyDescent="0.2">
      <c r="A2773" t="s">
        <v>4614</v>
      </c>
      <c r="B2773" s="2">
        <v>43160</v>
      </c>
      <c r="C2773" t="s">
        <v>1831</v>
      </c>
      <c r="D2773" t="s">
        <v>160</v>
      </c>
    </row>
    <row r="2774" spans="1:4" x14ac:dyDescent="0.2">
      <c r="A2774" t="s">
        <v>4615</v>
      </c>
      <c r="B2774" s="2">
        <v>43024</v>
      </c>
      <c r="C2774" t="s">
        <v>1816</v>
      </c>
      <c r="D2774" t="s">
        <v>1810</v>
      </c>
    </row>
    <row r="2775" spans="1:4" x14ac:dyDescent="0.2">
      <c r="A2775" t="s">
        <v>4616</v>
      </c>
      <c r="B2775" s="2">
        <v>43108</v>
      </c>
      <c r="C2775" t="s">
        <v>1816</v>
      </c>
      <c r="D2775" t="s">
        <v>1810</v>
      </c>
    </row>
    <row r="2776" spans="1:4" x14ac:dyDescent="0.2">
      <c r="A2776" t="s">
        <v>4617</v>
      </c>
      <c r="B2776" s="2">
        <v>43031</v>
      </c>
      <c r="C2776" t="s">
        <v>1885</v>
      </c>
      <c r="D2776" t="s">
        <v>1810</v>
      </c>
    </row>
    <row r="2777" spans="1:4" x14ac:dyDescent="0.2">
      <c r="A2777" t="s">
        <v>646</v>
      </c>
      <c r="B2777" s="2">
        <v>43060</v>
      </c>
      <c r="C2777" t="s">
        <v>1836</v>
      </c>
      <c r="D2777" t="s">
        <v>1031</v>
      </c>
    </row>
    <row r="2778" spans="1:4" x14ac:dyDescent="0.2">
      <c r="A2778" t="s">
        <v>4618</v>
      </c>
      <c r="B2778" s="2">
        <v>43230</v>
      </c>
      <c r="C2778" t="s">
        <v>1905</v>
      </c>
      <c r="D2778" t="s">
        <v>1840</v>
      </c>
    </row>
    <row r="2779" spans="1:4" x14ac:dyDescent="0.2">
      <c r="A2779" t="s">
        <v>4619</v>
      </c>
      <c r="B2779" s="2">
        <v>43125</v>
      </c>
      <c r="C2779" t="s">
        <v>1993</v>
      </c>
      <c r="D2779" t="s">
        <v>1813</v>
      </c>
    </row>
    <row r="2780" spans="1:4" x14ac:dyDescent="0.2">
      <c r="A2780" t="s">
        <v>4620</v>
      </c>
      <c r="B2780" s="2">
        <v>43245</v>
      </c>
      <c r="C2780" t="s">
        <v>2342</v>
      </c>
      <c r="D2780" t="s">
        <v>1840</v>
      </c>
    </row>
    <row r="2781" spans="1:4" x14ac:dyDescent="0.2">
      <c r="A2781" t="s">
        <v>4621</v>
      </c>
      <c r="B2781" s="2">
        <v>43138</v>
      </c>
      <c r="C2781" t="s">
        <v>1816</v>
      </c>
      <c r="D2781" t="s">
        <v>1810</v>
      </c>
    </row>
    <row r="2782" spans="1:4" x14ac:dyDescent="0.2">
      <c r="A2782" t="s">
        <v>4622</v>
      </c>
      <c r="B2782" s="2">
        <v>42972</v>
      </c>
      <c r="C2782" t="s">
        <v>1816</v>
      </c>
      <c r="D2782" t="s">
        <v>1810</v>
      </c>
    </row>
    <row r="2783" spans="1:4" x14ac:dyDescent="0.2">
      <c r="A2783" t="s">
        <v>4623</v>
      </c>
      <c r="B2783" s="2">
        <v>43220</v>
      </c>
      <c r="C2783" t="s">
        <v>2078</v>
      </c>
      <c r="D2783" t="s">
        <v>1807</v>
      </c>
    </row>
    <row r="2784" spans="1:4" x14ac:dyDescent="0.2">
      <c r="A2784" t="s">
        <v>648</v>
      </c>
      <c r="B2784" s="2">
        <v>43200</v>
      </c>
      <c r="C2784" t="s">
        <v>1816</v>
      </c>
      <c r="D2784" t="s">
        <v>1810</v>
      </c>
    </row>
    <row r="2785" spans="1:4" x14ac:dyDescent="0.2">
      <c r="A2785" t="s">
        <v>4624</v>
      </c>
      <c r="B2785" s="2">
        <v>43015</v>
      </c>
      <c r="C2785" t="s">
        <v>2318</v>
      </c>
      <c r="D2785" t="s">
        <v>1810</v>
      </c>
    </row>
    <row r="2786" spans="1:4" x14ac:dyDescent="0.2">
      <c r="A2786" t="s">
        <v>4625</v>
      </c>
      <c r="B2786" s="2">
        <v>43108</v>
      </c>
      <c r="C2786" t="s">
        <v>1816</v>
      </c>
      <c r="D2786" t="s">
        <v>1807</v>
      </c>
    </row>
    <row r="2787" spans="1:4" x14ac:dyDescent="0.2">
      <c r="A2787" t="s">
        <v>4626</v>
      </c>
      <c r="B2787" s="2">
        <v>43107</v>
      </c>
      <c r="C2787" t="s">
        <v>1803</v>
      </c>
      <c r="D2787" t="s">
        <v>1804</v>
      </c>
    </row>
    <row r="2788" spans="1:4" x14ac:dyDescent="0.2">
      <c r="A2788" t="s">
        <v>650</v>
      </c>
      <c r="B2788" s="2">
        <v>43122</v>
      </c>
      <c r="C2788" t="s">
        <v>1816</v>
      </c>
      <c r="D2788" t="s">
        <v>1810</v>
      </c>
    </row>
    <row r="2789" spans="1:4" x14ac:dyDescent="0.2">
      <c r="A2789" t="s">
        <v>652</v>
      </c>
      <c r="B2789" s="2">
        <v>43198</v>
      </c>
      <c r="C2789" t="s">
        <v>1816</v>
      </c>
      <c r="D2789" t="s">
        <v>1840</v>
      </c>
    </row>
    <row r="2790" spans="1:4" x14ac:dyDescent="0.2">
      <c r="A2790" t="s">
        <v>4627</v>
      </c>
      <c r="B2790" s="2">
        <v>42985</v>
      </c>
      <c r="C2790" t="s">
        <v>1894</v>
      </c>
      <c r="D2790" t="s">
        <v>1804</v>
      </c>
    </row>
    <row r="2791" spans="1:4" x14ac:dyDescent="0.2">
      <c r="A2791" t="s">
        <v>4628</v>
      </c>
      <c r="B2791" s="2">
        <v>43110</v>
      </c>
      <c r="C2791" t="s">
        <v>1959</v>
      </c>
      <c r="D2791" t="s">
        <v>1840</v>
      </c>
    </row>
    <row r="2792" spans="1:4" x14ac:dyDescent="0.2">
      <c r="A2792" t="s">
        <v>4629</v>
      </c>
      <c r="B2792" s="2">
        <v>43209</v>
      </c>
      <c r="C2792" t="s">
        <v>1900</v>
      </c>
      <c r="D2792" t="s">
        <v>1840</v>
      </c>
    </row>
    <row r="2793" spans="1:4" x14ac:dyDescent="0.2">
      <c r="A2793" t="s">
        <v>4630</v>
      </c>
      <c r="B2793" s="2">
        <v>43204</v>
      </c>
      <c r="C2793" t="s">
        <v>1816</v>
      </c>
      <c r="D2793" t="s">
        <v>1810</v>
      </c>
    </row>
    <row r="2794" spans="1:4" x14ac:dyDescent="0.2">
      <c r="A2794" t="s">
        <v>4631</v>
      </c>
      <c r="B2794" s="2">
        <v>43217</v>
      </c>
      <c r="C2794" t="s">
        <v>1909</v>
      </c>
      <c r="D2794" t="s">
        <v>1829</v>
      </c>
    </row>
    <row r="2795" spans="1:4" x14ac:dyDescent="0.2">
      <c r="A2795" t="s">
        <v>4632</v>
      </c>
      <c r="B2795" s="2">
        <v>43191</v>
      </c>
      <c r="C2795" t="s">
        <v>1863</v>
      </c>
      <c r="D2795" t="s">
        <v>1804</v>
      </c>
    </row>
    <row r="2796" spans="1:4" x14ac:dyDescent="0.2">
      <c r="A2796" t="s">
        <v>4633</v>
      </c>
      <c r="B2796" s="2">
        <v>43216</v>
      </c>
      <c r="C2796" t="s">
        <v>1836</v>
      </c>
      <c r="D2796" t="s">
        <v>1031</v>
      </c>
    </row>
    <row r="2797" spans="1:4" x14ac:dyDescent="0.2">
      <c r="A2797" t="s">
        <v>4634</v>
      </c>
      <c r="B2797" s="2">
        <v>43138</v>
      </c>
      <c r="C2797" t="s">
        <v>1878</v>
      </c>
      <c r="D2797" t="s">
        <v>1810</v>
      </c>
    </row>
    <row r="2798" spans="1:4" x14ac:dyDescent="0.2">
      <c r="A2798" t="s">
        <v>4635</v>
      </c>
      <c r="B2798" s="2">
        <v>43143</v>
      </c>
      <c r="C2798" t="s">
        <v>1803</v>
      </c>
      <c r="D2798" t="s">
        <v>1804</v>
      </c>
    </row>
    <row r="2799" spans="1:4" x14ac:dyDescent="0.2">
      <c r="A2799" t="s">
        <v>4636</v>
      </c>
      <c r="B2799" s="2">
        <v>43146</v>
      </c>
      <c r="C2799" t="s">
        <v>1803</v>
      </c>
      <c r="D2799" t="s">
        <v>1804</v>
      </c>
    </row>
    <row r="2800" spans="1:4" x14ac:dyDescent="0.2">
      <c r="A2800" t="s">
        <v>4637</v>
      </c>
      <c r="B2800" s="2">
        <v>43222</v>
      </c>
      <c r="C2800" t="s">
        <v>1863</v>
      </c>
      <c r="D2800" t="s">
        <v>1804</v>
      </c>
    </row>
    <row r="2801" spans="1:4" x14ac:dyDescent="0.2">
      <c r="A2801" t="s">
        <v>4638</v>
      </c>
      <c r="B2801" s="2">
        <v>43186</v>
      </c>
      <c r="C2801" t="s">
        <v>2000</v>
      </c>
      <c r="D2801" t="s">
        <v>1807</v>
      </c>
    </row>
    <row r="2802" spans="1:4" x14ac:dyDescent="0.2">
      <c r="A2802" t="s">
        <v>654</v>
      </c>
      <c r="B2802" s="2">
        <v>43234</v>
      </c>
      <c r="C2802" t="s">
        <v>1905</v>
      </c>
      <c r="D2802" t="s">
        <v>1810</v>
      </c>
    </row>
    <row r="2803" spans="1:4" x14ac:dyDescent="0.2">
      <c r="A2803" t="s">
        <v>656</v>
      </c>
      <c r="B2803" s="2">
        <v>43237</v>
      </c>
      <c r="C2803" t="s">
        <v>1836</v>
      </c>
      <c r="D2803" t="s">
        <v>1031</v>
      </c>
    </row>
    <row r="2804" spans="1:4" x14ac:dyDescent="0.2">
      <c r="A2804" t="s">
        <v>4639</v>
      </c>
      <c r="B2804" s="2">
        <v>43117</v>
      </c>
      <c r="C2804" t="s">
        <v>1915</v>
      </c>
      <c r="D2804" t="s">
        <v>1807</v>
      </c>
    </row>
    <row r="2805" spans="1:4" x14ac:dyDescent="0.2">
      <c r="A2805" t="s">
        <v>4640</v>
      </c>
      <c r="B2805" s="2">
        <v>42923</v>
      </c>
      <c r="C2805" t="s">
        <v>2143</v>
      </c>
      <c r="D2805" t="s">
        <v>1810</v>
      </c>
    </row>
    <row r="2806" spans="1:4" x14ac:dyDescent="0.2">
      <c r="A2806" t="s">
        <v>4641</v>
      </c>
      <c r="B2806" s="2">
        <v>43152</v>
      </c>
      <c r="C2806" t="s">
        <v>1803</v>
      </c>
      <c r="D2806" t="s">
        <v>1804</v>
      </c>
    </row>
    <row r="2807" spans="1:4" x14ac:dyDescent="0.2">
      <c r="A2807" t="s">
        <v>658</v>
      </c>
      <c r="B2807" s="2">
        <v>43187</v>
      </c>
      <c r="C2807" t="s">
        <v>1836</v>
      </c>
      <c r="D2807" t="s">
        <v>1031</v>
      </c>
    </row>
    <row r="2808" spans="1:4" x14ac:dyDescent="0.2">
      <c r="A2808" t="s">
        <v>4642</v>
      </c>
      <c r="B2808" s="2">
        <v>43150</v>
      </c>
      <c r="C2808" t="s">
        <v>1836</v>
      </c>
      <c r="D2808" t="s">
        <v>1031</v>
      </c>
    </row>
    <row r="2809" spans="1:4" x14ac:dyDescent="0.2">
      <c r="A2809" t="s">
        <v>4643</v>
      </c>
      <c r="B2809" s="2">
        <v>43116</v>
      </c>
      <c r="C2809" t="s">
        <v>1915</v>
      </c>
      <c r="D2809" t="s">
        <v>1807</v>
      </c>
    </row>
    <row r="2810" spans="1:4" x14ac:dyDescent="0.2">
      <c r="A2810" t="s">
        <v>4644</v>
      </c>
      <c r="B2810" s="2">
        <v>43227</v>
      </c>
      <c r="C2810" t="s">
        <v>2831</v>
      </c>
      <c r="D2810" t="s">
        <v>1807</v>
      </c>
    </row>
    <row r="2811" spans="1:4" x14ac:dyDescent="0.2">
      <c r="A2811" t="s">
        <v>4645</v>
      </c>
      <c r="B2811" s="2">
        <v>43113</v>
      </c>
      <c r="C2811" t="s">
        <v>4646</v>
      </c>
      <c r="D2811" t="s">
        <v>1804</v>
      </c>
    </row>
    <row r="2812" spans="1:4" x14ac:dyDescent="0.2">
      <c r="A2812" t="s">
        <v>4647</v>
      </c>
      <c r="B2812" s="2">
        <v>43180</v>
      </c>
      <c r="C2812" t="s">
        <v>1836</v>
      </c>
      <c r="D2812" t="s">
        <v>1031</v>
      </c>
    </row>
    <row r="2813" spans="1:4" x14ac:dyDescent="0.2">
      <c r="A2813" t="s">
        <v>4648</v>
      </c>
      <c r="B2813" s="2">
        <v>43116</v>
      </c>
      <c r="C2813" t="s">
        <v>1816</v>
      </c>
      <c r="D2813" t="s">
        <v>1829</v>
      </c>
    </row>
    <row r="2814" spans="1:4" x14ac:dyDescent="0.2">
      <c r="A2814" t="s">
        <v>4649</v>
      </c>
      <c r="B2814" s="2">
        <v>43199</v>
      </c>
      <c r="C2814" t="s">
        <v>1834</v>
      </c>
      <c r="D2814" t="s">
        <v>1840</v>
      </c>
    </row>
    <row r="2815" spans="1:4" x14ac:dyDescent="0.2">
      <c r="A2815" t="s">
        <v>4650</v>
      </c>
      <c r="B2815" s="2">
        <v>43132</v>
      </c>
      <c r="C2815" t="s">
        <v>1854</v>
      </c>
      <c r="D2815" t="s">
        <v>1810</v>
      </c>
    </row>
    <row r="2816" spans="1:4" x14ac:dyDescent="0.2">
      <c r="A2816" t="s">
        <v>4651</v>
      </c>
      <c r="B2816" s="2">
        <v>43107</v>
      </c>
      <c r="C2816" t="s">
        <v>1803</v>
      </c>
      <c r="D2816" t="s">
        <v>1804</v>
      </c>
    </row>
    <row r="2817" spans="1:4" x14ac:dyDescent="0.2">
      <c r="A2817" t="s">
        <v>4652</v>
      </c>
      <c r="B2817" s="2">
        <v>43049</v>
      </c>
      <c r="C2817" t="s">
        <v>2152</v>
      </c>
      <c r="D2817" t="s">
        <v>1813</v>
      </c>
    </row>
    <row r="2818" spans="1:4" x14ac:dyDescent="0.2">
      <c r="A2818" t="s">
        <v>4653</v>
      </c>
      <c r="B2818" s="2">
        <v>43210</v>
      </c>
      <c r="C2818" t="s">
        <v>1825</v>
      </c>
      <c r="D2818" t="s">
        <v>1810</v>
      </c>
    </row>
    <row r="2819" spans="1:4" x14ac:dyDescent="0.2">
      <c r="A2819" t="s">
        <v>4654</v>
      </c>
      <c r="B2819" s="2">
        <v>43120</v>
      </c>
      <c r="C2819" t="s">
        <v>2074</v>
      </c>
      <c r="D2819" t="s">
        <v>1810</v>
      </c>
    </row>
    <row r="2820" spans="1:4" x14ac:dyDescent="0.2">
      <c r="A2820" t="s">
        <v>4655</v>
      </c>
      <c r="B2820" s="2">
        <v>43115</v>
      </c>
      <c r="C2820" t="s">
        <v>1816</v>
      </c>
      <c r="D2820" t="s">
        <v>1810</v>
      </c>
    </row>
    <row r="2821" spans="1:4" x14ac:dyDescent="0.2">
      <c r="A2821" t="s">
        <v>4656</v>
      </c>
      <c r="B2821" s="2">
        <v>43215</v>
      </c>
      <c r="C2821" t="s">
        <v>2620</v>
      </c>
      <c r="D2821" t="s">
        <v>1807</v>
      </c>
    </row>
    <row r="2822" spans="1:4" x14ac:dyDescent="0.2">
      <c r="A2822" t="s">
        <v>660</v>
      </c>
      <c r="B2822" s="2">
        <v>43195</v>
      </c>
      <c r="C2822" t="s">
        <v>1865</v>
      </c>
      <c r="D2822" t="s">
        <v>1810</v>
      </c>
    </row>
    <row r="2823" spans="1:4" x14ac:dyDescent="0.2">
      <c r="A2823" t="s">
        <v>4657</v>
      </c>
      <c r="B2823" s="2">
        <v>43155</v>
      </c>
      <c r="C2823" t="s">
        <v>1816</v>
      </c>
      <c r="D2823" t="s">
        <v>1804</v>
      </c>
    </row>
    <row r="2824" spans="1:4" x14ac:dyDescent="0.2">
      <c r="A2824" t="s">
        <v>4658</v>
      </c>
      <c r="B2824" s="2">
        <v>43201</v>
      </c>
      <c r="C2824" t="s">
        <v>1836</v>
      </c>
      <c r="D2824" t="s">
        <v>1031</v>
      </c>
    </row>
    <row r="2825" spans="1:4" x14ac:dyDescent="0.2">
      <c r="A2825" t="s">
        <v>4659</v>
      </c>
      <c r="B2825" s="2">
        <v>43229</v>
      </c>
      <c r="C2825" t="s">
        <v>2521</v>
      </c>
      <c r="D2825" t="s">
        <v>1813</v>
      </c>
    </row>
    <row r="2826" spans="1:4" x14ac:dyDescent="0.2">
      <c r="A2826" t="s">
        <v>4660</v>
      </c>
      <c r="B2826" s="2">
        <v>43235</v>
      </c>
      <c r="C2826" t="s">
        <v>1863</v>
      </c>
      <c r="D2826" t="s">
        <v>1804</v>
      </c>
    </row>
    <row r="2827" spans="1:4" x14ac:dyDescent="0.2">
      <c r="A2827" t="s">
        <v>4661</v>
      </c>
      <c r="B2827" s="2">
        <v>43235</v>
      </c>
      <c r="C2827" t="s">
        <v>2108</v>
      </c>
      <c r="D2827" t="s">
        <v>1813</v>
      </c>
    </row>
    <row r="2828" spans="1:4" x14ac:dyDescent="0.2">
      <c r="A2828" t="s">
        <v>4662</v>
      </c>
      <c r="B2828" s="2">
        <v>43136</v>
      </c>
      <c r="C2828" t="s">
        <v>1930</v>
      </c>
      <c r="D2828" t="s">
        <v>1807</v>
      </c>
    </row>
    <row r="2829" spans="1:4" x14ac:dyDescent="0.2">
      <c r="A2829" t="s">
        <v>4663</v>
      </c>
      <c r="B2829" s="2">
        <v>43223</v>
      </c>
      <c r="C2829" t="s">
        <v>2901</v>
      </c>
      <c r="D2829" t="s">
        <v>1807</v>
      </c>
    </row>
    <row r="2830" spans="1:4" x14ac:dyDescent="0.2">
      <c r="A2830" t="s">
        <v>4664</v>
      </c>
      <c r="B2830" s="2">
        <v>43065</v>
      </c>
      <c r="C2830" t="s">
        <v>1816</v>
      </c>
      <c r="D2830" t="s">
        <v>1804</v>
      </c>
    </row>
    <row r="2831" spans="1:4" x14ac:dyDescent="0.2">
      <c r="A2831" t="s">
        <v>4665</v>
      </c>
      <c r="B2831" s="2">
        <v>43236</v>
      </c>
      <c r="C2831" t="s">
        <v>1816</v>
      </c>
      <c r="D2831" t="s">
        <v>1810</v>
      </c>
    </row>
    <row r="2832" spans="1:4" x14ac:dyDescent="0.2">
      <c r="A2832" t="s">
        <v>4666</v>
      </c>
      <c r="B2832" s="2">
        <v>42991</v>
      </c>
      <c r="C2832" t="s">
        <v>2329</v>
      </c>
      <c r="D2832" t="s">
        <v>160</v>
      </c>
    </row>
    <row r="2833" spans="1:4" x14ac:dyDescent="0.2">
      <c r="A2833" t="s">
        <v>4667</v>
      </c>
      <c r="B2833" s="2">
        <v>42955</v>
      </c>
      <c r="C2833" t="s">
        <v>2318</v>
      </c>
      <c r="D2833" t="s">
        <v>1807</v>
      </c>
    </row>
    <row r="2834" spans="1:4" x14ac:dyDescent="0.2">
      <c r="A2834" t="s">
        <v>4668</v>
      </c>
      <c r="B2834" s="2">
        <v>43157</v>
      </c>
      <c r="C2834" t="s">
        <v>2344</v>
      </c>
      <c r="D2834" t="s">
        <v>1813</v>
      </c>
    </row>
    <row r="2835" spans="1:4" x14ac:dyDescent="0.2">
      <c r="A2835" t="s">
        <v>4669</v>
      </c>
      <c r="B2835" s="2">
        <v>43135</v>
      </c>
      <c r="C2835" t="s">
        <v>1803</v>
      </c>
      <c r="D2835" t="s">
        <v>1804</v>
      </c>
    </row>
    <row r="2836" spans="1:4" x14ac:dyDescent="0.2">
      <c r="A2836" t="s">
        <v>4670</v>
      </c>
      <c r="B2836" s="2">
        <v>43185</v>
      </c>
      <c r="C2836" t="s">
        <v>1930</v>
      </c>
      <c r="D2836" t="s">
        <v>1807</v>
      </c>
    </row>
    <row r="2837" spans="1:4" x14ac:dyDescent="0.2">
      <c r="A2837" t="s">
        <v>4671</v>
      </c>
      <c r="B2837" s="2">
        <v>43131</v>
      </c>
      <c r="C2837" t="s">
        <v>1836</v>
      </c>
      <c r="D2837" t="s">
        <v>1807</v>
      </c>
    </row>
    <row r="2838" spans="1:4" x14ac:dyDescent="0.2">
      <c r="A2838" t="s">
        <v>4672</v>
      </c>
      <c r="B2838" s="2">
        <v>43215</v>
      </c>
      <c r="C2838" t="s">
        <v>1998</v>
      </c>
      <c r="D2838" t="s">
        <v>1796</v>
      </c>
    </row>
    <row r="2839" spans="1:4" x14ac:dyDescent="0.2">
      <c r="A2839" t="s">
        <v>4673</v>
      </c>
      <c r="B2839" s="2">
        <v>43250</v>
      </c>
      <c r="C2839" t="s">
        <v>1867</v>
      </c>
      <c r="D2839" t="s">
        <v>1810</v>
      </c>
    </row>
    <row r="2840" spans="1:4" x14ac:dyDescent="0.2">
      <c r="A2840" t="s">
        <v>4674</v>
      </c>
      <c r="B2840" s="2">
        <v>43216</v>
      </c>
      <c r="C2840" t="s">
        <v>3333</v>
      </c>
      <c r="D2840" t="s">
        <v>1829</v>
      </c>
    </row>
    <row r="2841" spans="1:4" x14ac:dyDescent="0.2">
      <c r="A2841" t="s">
        <v>4675</v>
      </c>
      <c r="B2841" s="2">
        <v>43214</v>
      </c>
      <c r="C2841" t="s">
        <v>1828</v>
      </c>
      <c r="D2841" t="s">
        <v>1810</v>
      </c>
    </row>
    <row r="2842" spans="1:4" x14ac:dyDescent="0.2">
      <c r="A2842" t="s">
        <v>4676</v>
      </c>
      <c r="B2842" s="2">
        <v>43216</v>
      </c>
      <c r="C2842" t="s">
        <v>4290</v>
      </c>
      <c r="D2842" t="s">
        <v>1840</v>
      </c>
    </row>
    <row r="2843" spans="1:4" x14ac:dyDescent="0.2">
      <c r="A2843" t="s">
        <v>4677</v>
      </c>
      <c r="B2843" s="2">
        <v>43068</v>
      </c>
      <c r="C2843" t="s">
        <v>1930</v>
      </c>
      <c r="D2843" t="s">
        <v>1807</v>
      </c>
    </row>
    <row r="2844" spans="1:4" x14ac:dyDescent="0.2">
      <c r="A2844" t="s">
        <v>4678</v>
      </c>
      <c r="B2844" s="2">
        <v>43095</v>
      </c>
      <c r="C2844" t="s">
        <v>1803</v>
      </c>
      <c r="D2844" t="s">
        <v>1031</v>
      </c>
    </row>
    <row r="2845" spans="1:4" x14ac:dyDescent="0.2">
      <c r="A2845" t="s">
        <v>4679</v>
      </c>
      <c r="B2845" s="2">
        <v>43220</v>
      </c>
      <c r="C2845" t="s">
        <v>1863</v>
      </c>
      <c r="D2845" t="s">
        <v>1804</v>
      </c>
    </row>
    <row r="2846" spans="1:4" x14ac:dyDescent="0.2">
      <c r="A2846" t="s">
        <v>4680</v>
      </c>
      <c r="B2846" s="2">
        <v>43129</v>
      </c>
      <c r="C2846" t="s">
        <v>1825</v>
      </c>
      <c r="D2846" t="s">
        <v>1849</v>
      </c>
    </row>
    <row r="2847" spans="1:4" x14ac:dyDescent="0.2">
      <c r="A2847" t="s">
        <v>4681</v>
      </c>
      <c r="B2847" s="2">
        <v>43148</v>
      </c>
      <c r="C2847" t="s">
        <v>1921</v>
      </c>
      <c r="D2847" t="s">
        <v>1840</v>
      </c>
    </row>
    <row r="2848" spans="1:4" x14ac:dyDescent="0.2">
      <c r="A2848" t="s">
        <v>4682</v>
      </c>
      <c r="B2848" s="2">
        <v>43172</v>
      </c>
      <c r="C2848" t="s">
        <v>2019</v>
      </c>
      <c r="D2848" t="s">
        <v>1813</v>
      </c>
    </row>
    <row r="2849" spans="1:4" x14ac:dyDescent="0.2">
      <c r="A2849" t="s">
        <v>4683</v>
      </c>
      <c r="B2849" s="2">
        <v>43236</v>
      </c>
      <c r="C2849" t="s">
        <v>1863</v>
      </c>
      <c r="D2849" t="s">
        <v>1804</v>
      </c>
    </row>
    <row r="2850" spans="1:4" x14ac:dyDescent="0.2">
      <c r="A2850" t="s">
        <v>4684</v>
      </c>
      <c r="B2850" s="2">
        <v>43217</v>
      </c>
      <c r="C2850" t="s">
        <v>1902</v>
      </c>
      <c r="D2850" t="s">
        <v>1829</v>
      </c>
    </row>
    <row r="2851" spans="1:4" x14ac:dyDescent="0.2">
      <c r="A2851" t="s">
        <v>4685</v>
      </c>
      <c r="B2851" s="2">
        <v>43180</v>
      </c>
      <c r="C2851" t="s">
        <v>1836</v>
      </c>
      <c r="D2851" t="s">
        <v>1810</v>
      </c>
    </row>
    <row r="2852" spans="1:4" x14ac:dyDescent="0.2">
      <c r="A2852" t="s">
        <v>4686</v>
      </c>
      <c r="B2852" s="2">
        <v>43126</v>
      </c>
      <c r="C2852" t="s">
        <v>1836</v>
      </c>
      <c r="D2852" t="s">
        <v>1840</v>
      </c>
    </row>
    <row r="2853" spans="1:4" x14ac:dyDescent="0.2">
      <c r="A2853" t="s">
        <v>4687</v>
      </c>
      <c r="B2853" s="2">
        <v>43228</v>
      </c>
      <c r="C2853" t="s">
        <v>1836</v>
      </c>
      <c r="D2853" t="s">
        <v>1840</v>
      </c>
    </row>
    <row r="2854" spans="1:4" x14ac:dyDescent="0.2">
      <c r="A2854" t="s">
        <v>4688</v>
      </c>
      <c r="B2854" s="2">
        <v>43217</v>
      </c>
      <c r="C2854" t="s">
        <v>2115</v>
      </c>
      <c r="D2854" t="s">
        <v>1804</v>
      </c>
    </row>
    <row r="2855" spans="1:4" x14ac:dyDescent="0.2">
      <c r="A2855" t="s">
        <v>4689</v>
      </c>
      <c r="B2855" s="2">
        <v>43198</v>
      </c>
      <c r="C2855" t="s">
        <v>1863</v>
      </c>
      <c r="D2855" t="s">
        <v>1804</v>
      </c>
    </row>
    <row r="2856" spans="1:4" x14ac:dyDescent="0.2">
      <c r="A2856" t="s">
        <v>4690</v>
      </c>
      <c r="B2856" s="2">
        <v>43193</v>
      </c>
      <c r="C2856" t="s">
        <v>2196</v>
      </c>
      <c r="D2856" t="s">
        <v>1810</v>
      </c>
    </row>
    <row r="2857" spans="1:4" x14ac:dyDescent="0.2">
      <c r="A2857" t="s">
        <v>4691</v>
      </c>
      <c r="B2857" s="2">
        <v>43033</v>
      </c>
      <c r="C2857" t="s">
        <v>4692</v>
      </c>
      <c r="D2857" t="s">
        <v>1804</v>
      </c>
    </row>
    <row r="2858" spans="1:4" x14ac:dyDescent="0.2">
      <c r="A2858" t="s">
        <v>4693</v>
      </c>
      <c r="B2858" s="2">
        <v>43155</v>
      </c>
      <c r="C2858" t="s">
        <v>1825</v>
      </c>
      <c r="D2858" t="s">
        <v>1810</v>
      </c>
    </row>
    <row r="2859" spans="1:4" x14ac:dyDescent="0.2">
      <c r="A2859" t="s">
        <v>4694</v>
      </c>
      <c r="B2859" s="2">
        <v>42947</v>
      </c>
      <c r="C2859" t="s">
        <v>1836</v>
      </c>
      <c r="D2859" t="s">
        <v>1031</v>
      </c>
    </row>
    <row r="2860" spans="1:4" x14ac:dyDescent="0.2">
      <c r="A2860" t="s">
        <v>4695</v>
      </c>
      <c r="B2860" s="2">
        <v>43210</v>
      </c>
      <c r="C2860" t="s">
        <v>1832</v>
      </c>
      <c r="D2860" t="s">
        <v>1807</v>
      </c>
    </row>
    <row r="2861" spans="1:4" x14ac:dyDescent="0.2">
      <c r="A2861" t="s">
        <v>4696</v>
      </c>
      <c r="B2861" s="2">
        <v>42993</v>
      </c>
      <c r="C2861" t="s">
        <v>1894</v>
      </c>
      <c r="D2861" t="s">
        <v>1804</v>
      </c>
    </row>
    <row r="2862" spans="1:4" x14ac:dyDescent="0.2">
      <c r="A2862" t="s">
        <v>4697</v>
      </c>
      <c r="B2862" s="2">
        <v>42935</v>
      </c>
      <c r="C2862" t="s">
        <v>3369</v>
      </c>
      <c r="D2862" t="s">
        <v>1813</v>
      </c>
    </row>
    <row r="2863" spans="1:4" x14ac:dyDescent="0.2">
      <c r="A2863" t="s">
        <v>662</v>
      </c>
      <c r="B2863" s="2">
        <v>43245</v>
      </c>
      <c r="C2863" t="s">
        <v>1836</v>
      </c>
      <c r="D2863" t="s">
        <v>1031</v>
      </c>
    </row>
    <row r="2864" spans="1:4" x14ac:dyDescent="0.2">
      <c r="A2864" t="s">
        <v>4698</v>
      </c>
      <c r="B2864" s="2">
        <v>43171</v>
      </c>
      <c r="C2864" t="s">
        <v>1907</v>
      </c>
      <c r="D2864" t="s">
        <v>1031</v>
      </c>
    </row>
    <row r="2865" spans="1:4" x14ac:dyDescent="0.2">
      <c r="A2865" t="s">
        <v>4699</v>
      </c>
      <c r="B2865" s="2">
        <v>43201</v>
      </c>
      <c r="C2865" t="s">
        <v>1878</v>
      </c>
      <c r="D2865" t="s">
        <v>1810</v>
      </c>
    </row>
    <row r="2866" spans="1:4" x14ac:dyDescent="0.2">
      <c r="A2866" t="s">
        <v>4700</v>
      </c>
      <c r="B2866" s="2">
        <v>43117</v>
      </c>
      <c r="C2866" t="s">
        <v>1816</v>
      </c>
      <c r="D2866" t="s">
        <v>1810</v>
      </c>
    </row>
    <row r="2867" spans="1:4" x14ac:dyDescent="0.2">
      <c r="A2867" t="s">
        <v>4701</v>
      </c>
      <c r="B2867" s="2">
        <v>42929</v>
      </c>
      <c r="C2867" t="s">
        <v>1900</v>
      </c>
      <c r="D2867" t="s">
        <v>1807</v>
      </c>
    </row>
    <row r="2868" spans="1:4" x14ac:dyDescent="0.2">
      <c r="A2868" t="s">
        <v>4702</v>
      </c>
      <c r="B2868" s="2">
        <v>43196</v>
      </c>
      <c r="C2868" t="s">
        <v>1831</v>
      </c>
      <c r="D2868" t="s">
        <v>160</v>
      </c>
    </row>
    <row r="2869" spans="1:4" x14ac:dyDescent="0.2">
      <c r="A2869" t="s">
        <v>4703</v>
      </c>
      <c r="B2869" s="2">
        <v>43106</v>
      </c>
      <c r="C2869" t="s">
        <v>1905</v>
      </c>
      <c r="D2869" t="s">
        <v>1810</v>
      </c>
    </row>
    <row r="2870" spans="1:4" x14ac:dyDescent="0.2">
      <c r="A2870" t="s">
        <v>4704</v>
      </c>
      <c r="B2870" s="2">
        <v>43063</v>
      </c>
      <c r="C2870" t="s">
        <v>1803</v>
      </c>
      <c r="D2870" t="s">
        <v>1804</v>
      </c>
    </row>
    <row r="2871" spans="1:4" x14ac:dyDescent="0.2">
      <c r="A2871" t="s">
        <v>4705</v>
      </c>
      <c r="B2871" s="2">
        <v>43207</v>
      </c>
      <c r="C2871" t="s">
        <v>1816</v>
      </c>
      <c r="D2871" t="s">
        <v>1810</v>
      </c>
    </row>
    <row r="2872" spans="1:4" x14ac:dyDescent="0.2">
      <c r="A2872" t="s">
        <v>4706</v>
      </c>
      <c r="B2872" s="2">
        <v>43029</v>
      </c>
      <c r="C2872" t="s">
        <v>1809</v>
      </c>
      <c r="D2872" t="s">
        <v>1849</v>
      </c>
    </row>
    <row r="2873" spans="1:4" x14ac:dyDescent="0.2">
      <c r="A2873" t="s">
        <v>4707</v>
      </c>
      <c r="B2873" s="2">
        <v>43109</v>
      </c>
      <c r="C2873" t="s">
        <v>1803</v>
      </c>
      <c r="D2873" t="s">
        <v>1804</v>
      </c>
    </row>
    <row r="2874" spans="1:4" x14ac:dyDescent="0.2">
      <c r="A2874" t="s">
        <v>4708</v>
      </c>
      <c r="B2874" s="2">
        <v>43244</v>
      </c>
      <c r="C2874" t="s">
        <v>1905</v>
      </c>
      <c r="D2874" t="s">
        <v>1807</v>
      </c>
    </row>
    <row r="2875" spans="1:4" x14ac:dyDescent="0.2">
      <c r="A2875" t="s">
        <v>4709</v>
      </c>
      <c r="B2875" s="2">
        <v>42962</v>
      </c>
      <c r="C2875" t="s">
        <v>1825</v>
      </c>
      <c r="D2875" t="s">
        <v>1810</v>
      </c>
    </row>
    <row r="2876" spans="1:4" x14ac:dyDescent="0.2">
      <c r="A2876" t="s">
        <v>4710</v>
      </c>
      <c r="B2876" s="2">
        <v>43061</v>
      </c>
      <c r="C2876" t="s">
        <v>1854</v>
      </c>
      <c r="D2876" t="s">
        <v>1829</v>
      </c>
    </row>
    <row r="2877" spans="1:4" x14ac:dyDescent="0.2">
      <c r="A2877" t="s">
        <v>4711</v>
      </c>
      <c r="B2877" s="2">
        <v>43159</v>
      </c>
      <c r="C2877" t="s">
        <v>1867</v>
      </c>
      <c r="D2877" t="s">
        <v>1829</v>
      </c>
    </row>
    <row r="2878" spans="1:4" x14ac:dyDescent="0.2">
      <c r="A2878" t="s">
        <v>4712</v>
      </c>
      <c r="B2878" s="2">
        <v>43162</v>
      </c>
      <c r="C2878" t="s">
        <v>1803</v>
      </c>
      <c r="D2878" t="s">
        <v>1804</v>
      </c>
    </row>
    <row r="2879" spans="1:4" x14ac:dyDescent="0.2">
      <c r="A2879" t="s">
        <v>4713</v>
      </c>
      <c r="B2879" s="2">
        <v>42966</v>
      </c>
      <c r="C2879" t="s">
        <v>1894</v>
      </c>
      <c r="D2879" t="s">
        <v>1804</v>
      </c>
    </row>
    <row r="2880" spans="1:4" x14ac:dyDescent="0.2">
      <c r="A2880" t="s">
        <v>4714</v>
      </c>
      <c r="B2880" s="2">
        <v>43104</v>
      </c>
      <c r="C2880" t="s">
        <v>1831</v>
      </c>
      <c r="D2880" t="s">
        <v>1031</v>
      </c>
    </row>
    <row r="2881" spans="1:4" x14ac:dyDescent="0.2">
      <c r="A2881" t="s">
        <v>664</v>
      </c>
      <c r="B2881" s="2">
        <v>43203</v>
      </c>
      <c r="C2881" t="s">
        <v>1827</v>
      </c>
      <c r="D2881" t="s">
        <v>1807</v>
      </c>
    </row>
    <row r="2882" spans="1:4" x14ac:dyDescent="0.2">
      <c r="A2882" t="s">
        <v>4715</v>
      </c>
      <c r="B2882" s="2">
        <v>43166</v>
      </c>
      <c r="C2882" t="s">
        <v>1885</v>
      </c>
      <c r="D2882" t="s">
        <v>1807</v>
      </c>
    </row>
    <row r="2883" spans="1:4" x14ac:dyDescent="0.2">
      <c r="A2883" t="s">
        <v>4716</v>
      </c>
      <c r="B2883" s="2">
        <v>43250</v>
      </c>
      <c r="C2883" t="s">
        <v>1816</v>
      </c>
      <c r="D2883" t="s">
        <v>1840</v>
      </c>
    </row>
    <row r="2884" spans="1:4" x14ac:dyDescent="0.2">
      <c r="A2884" t="s">
        <v>4717</v>
      </c>
      <c r="B2884" s="2">
        <v>43034</v>
      </c>
      <c r="C2884" t="s">
        <v>1939</v>
      </c>
      <c r="D2884" t="s">
        <v>1810</v>
      </c>
    </row>
    <row r="2885" spans="1:4" x14ac:dyDescent="0.2">
      <c r="A2885" t="s">
        <v>4718</v>
      </c>
      <c r="B2885" s="2">
        <v>43215</v>
      </c>
      <c r="C2885" t="s">
        <v>3193</v>
      </c>
      <c r="D2885" t="s">
        <v>1804</v>
      </c>
    </row>
    <row r="2886" spans="1:4" x14ac:dyDescent="0.2">
      <c r="A2886" t="s">
        <v>4719</v>
      </c>
      <c r="B2886" s="2">
        <v>43109</v>
      </c>
      <c r="C2886" t="s">
        <v>1959</v>
      </c>
      <c r="D2886" t="s">
        <v>1840</v>
      </c>
    </row>
    <row r="2887" spans="1:4" x14ac:dyDescent="0.2">
      <c r="A2887" t="s">
        <v>4720</v>
      </c>
      <c r="B2887" s="2">
        <v>43107</v>
      </c>
      <c r="C2887" t="s">
        <v>1930</v>
      </c>
      <c r="D2887" t="s">
        <v>1807</v>
      </c>
    </row>
    <row r="2888" spans="1:4" x14ac:dyDescent="0.2">
      <c r="A2888" t="s">
        <v>4721</v>
      </c>
      <c r="B2888" s="2">
        <v>43131</v>
      </c>
      <c r="C2888" t="s">
        <v>2000</v>
      </c>
      <c r="D2888" t="s">
        <v>1807</v>
      </c>
    </row>
    <row r="2889" spans="1:4" x14ac:dyDescent="0.2">
      <c r="A2889" t="s">
        <v>666</v>
      </c>
      <c r="B2889" s="2">
        <v>43193</v>
      </c>
      <c r="C2889" t="s">
        <v>1836</v>
      </c>
      <c r="D2889" t="s">
        <v>1031</v>
      </c>
    </row>
    <row r="2890" spans="1:4" x14ac:dyDescent="0.2">
      <c r="A2890" t="s">
        <v>4722</v>
      </c>
      <c r="B2890" s="2">
        <v>43247</v>
      </c>
      <c r="C2890" t="s">
        <v>1863</v>
      </c>
      <c r="D2890" t="s">
        <v>1804</v>
      </c>
    </row>
    <row r="2891" spans="1:4" x14ac:dyDescent="0.2">
      <c r="A2891" t="s">
        <v>4723</v>
      </c>
      <c r="B2891" s="2">
        <v>43234</v>
      </c>
      <c r="C2891" t="s">
        <v>4724</v>
      </c>
      <c r="D2891" t="s">
        <v>1810</v>
      </c>
    </row>
    <row r="2892" spans="1:4" x14ac:dyDescent="0.2">
      <c r="A2892" t="s">
        <v>4725</v>
      </c>
      <c r="B2892" s="2">
        <v>43185</v>
      </c>
      <c r="C2892" t="s">
        <v>2170</v>
      </c>
      <c r="D2892" t="s">
        <v>1807</v>
      </c>
    </row>
    <row r="2893" spans="1:4" x14ac:dyDescent="0.2">
      <c r="A2893" t="s">
        <v>4726</v>
      </c>
      <c r="B2893" s="2">
        <v>43060</v>
      </c>
      <c r="C2893" t="s">
        <v>1803</v>
      </c>
      <c r="D2893" t="s">
        <v>1804</v>
      </c>
    </row>
    <row r="2894" spans="1:4" x14ac:dyDescent="0.2">
      <c r="A2894" t="s">
        <v>4727</v>
      </c>
      <c r="B2894" s="2">
        <v>42935</v>
      </c>
      <c r="C2894" t="s">
        <v>1974</v>
      </c>
      <c r="D2894" t="s">
        <v>1810</v>
      </c>
    </row>
    <row r="2895" spans="1:4" x14ac:dyDescent="0.2">
      <c r="A2895" t="s">
        <v>4728</v>
      </c>
      <c r="B2895" s="2">
        <v>43179</v>
      </c>
      <c r="C2895" t="s">
        <v>1836</v>
      </c>
      <c r="D2895" t="s">
        <v>1031</v>
      </c>
    </row>
    <row r="2896" spans="1:4" x14ac:dyDescent="0.2">
      <c r="A2896" t="s">
        <v>4729</v>
      </c>
      <c r="B2896" s="2">
        <v>43088</v>
      </c>
      <c r="C2896" t="s">
        <v>1816</v>
      </c>
      <c r="D2896" t="s">
        <v>1810</v>
      </c>
    </row>
    <row r="2897" spans="1:4" x14ac:dyDescent="0.2">
      <c r="A2897" t="s">
        <v>668</v>
      </c>
      <c r="B2897" s="2">
        <v>43159</v>
      </c>
      <c r="C2897" t="s">
        <v>1836</v>
      </c>
      <c r="D2897" t="s">
        <v>1031</v>
      </c>
    </row>
    <row r="2898" spans="1:4" x14ac:dyDescent="0.2">
      <c r="A2898" t="s">
        <v>4730</v>
      </c>
      <c r="B2898" s="2">
        <v>43180</v>
      </c>
      <c r="C2898" t="s">
        <v>1905</v>
      </c>
      <c r="D2898" t="s">
        <v>1829</v>
      </c>
    </row>
    <row r="2899" spans="1:4" x14ac:dyDescent="0.2">
      <c r="A2899" t="s">
        <v>4731</v>
      </c>
      <c r="B2899" s="2">
        <v>43171</v>
      </c>
      <c r="C2899" t="s">
        <v>4061</v>
      </c>
      <c r="D2899" t="s">
        <v>1807</v>
      </c>
    </row>
    <row r="2900" spans="1:4" x14ac:dyDescent="0.2">
      <c r="A2900" t="s">
        <v>4732</v>
      </c>
      <c r="B2900" s="2">
        <v>43111</v>
      </c>
      <c r="C2900" t="s">
        <v>2163</v>
      </c>
      <c r="D2900" t="s">
        <v>1810</v>
      </c>
    </row>
    <row r="2901" spans="1:4" x14ac:dyDescent="0.2">
      <c r="A2901" t="s">
        <v>4733</v>
      </c>
      <c r="B2901" s="2">
        <v>43165</v>
      </c>
      <c r="C2901" t="s">
        <v>1987</v>
      </c>
      <c r="D2901" t="s">
        <v>1807</v>
      </c>
    </row>
    <row r="2902" spans="1:4" x14ac:dyDescent="0.2">
      <c r="A2902" t="s">
        <v>4734</v>
      </c>
      <c r="B2902" s="2">
        <v>43189</v>
      </c>
      <c r="C2902" t="s">
        <v>2591</v>
      </c>
      <c r="D2902" t="s">
        <v>1813</v>
      </c>
    </row>
    <row r="2903" spans="1:4" x14ac:dyDescent="0.2">
      <c r="A2903" t="s">
        <v>4735</v>
      </c>
      <c r="B2903" s="2">
        <v>43004</v>
      </c>
      <c r="C2903" t="s">
        <v>1894</v>
      </c>
      <c r="D2903" t="s">
        <v>1804</v>
      </c>
    </row>
    <row r="2904" spans="1:4" x14ac:dyDescent="0.2">
      <c r="A2904" t="s">
        <v>4736</v>
      </c>
      <c r="B2904" s="2">
        <v>43244</v>
      </c>
      <c r="C2904" t="s">
        <v>1905</v>
      </c>
      <c r="D2904" t="s">
        <v>1810</v>
      </c>
    </row>
    <row r="2905" spans="1:4" x14ac:dyDescent="0.2">
      <c r="A2905" t="s">
        <v>4737</v>
      </c>
      <c r="B2905" s="2">
        <v>43138</v>
      </c>
      <c r="C2905" t="s">
        <v>1831</v>
      </c>
      <c r="D2905" t="s">
        <v>160</v>
      </c>
    </row>
    <row r="2906" spans="1:4" x14ac:dyDescent="0.2">
      <c r="A2906" t="s">
        <v>4738</v>
      </c>
      <c r="B2906" s="2">
        <v>43220</v>
      </c>
      <c r="C2906" t="s">
        <v>1809</v>
      </c>
      <c r="D2906" t="s">
        <v>1807</v>
      </c>
    </row>
    <row r="2907" spans="1:4" x14ac:dyDescent="0.2">
      <c r="A2907" t="s">
        <v>4739</v>
      </c>
      <c r="B2907" s="2">
        <v>42935</v>
      </c>
      <c r="C2907" t="s">
        <v>2242</v>
      </c>
      <c r="D2907" t="s">
        <v>1810</v>
      </c>
    </row>
    <row r="2908" spans="1:4" x14ac:dyDescent="0.2">
      <c r="A2908" t="s">
        <v>4740</v>
      </c>
      <c r="B2908" s="2">
        <v>43180</v>
      </c>
      <c r="C2908" t="s">
        <v>2048</v>
      </c>
      <c r="D2908" t="s">
        <v>1804</v>
      </c>
    </row>
    <row r="2909" spans="1:4" x14ac:dyDescent="0.2">
      <c r="A2909" t="s">
        <v>4741</v>
      </c>
      <c r="B2909" s="2">
        <v>43056</v>
      </c>
      <c r="C2909" t="s">
        <v>4742</v>
      </c>
      <c r="D2909" t="s">
        <v>1031</v>
      </c>
    </row>
    <row r="2910" spans="1:4" x14ac:dyDescent="0.2">
      <c r="A2910" t="s">
        <v>4743</v>
      </c>
      <c r="B2910" s="2">
        <v>43189</v>
      </c>
      <c r="C2910" t="s">
        <v>4744</v>
      </c>
      <c r="D2910" t="s">
        <v>1807</v>
      </c>
    </row>
    <row r="2911" spans="1:4" x14ac:dyDescent="0.2">
      <c r="A2911" t="s">
        <v>4745</v>
      </c>
      <c r="B2911" s="2">
        <v>43241</v>
      </c>
      <c r="C2911" t="s">
        <v>2382</v>
      </c>
      <c r="D2911" t="s">
        <v>1810</v>
      </c>
    </row>
    <row r="2912" spans="1:4" x14ac:dyDescent="0.2">
      <c r="A2912" t="s">
        <v>670</v>
      </c>
      <c r="B2912" s="2">
        <v>43145</v>
      </c>
      <c r="C2912" t="s">
        <v>1885</v>
      </c>
      <c r="D2912" t="s">
        <v>1807</v>
      </c>
    </row>
    <row r="2913" spans="1:4" x14ac:dyDescent="0.2">
      <c r="A2913" t="s">
        <v>4746</v>
      </c>
      <c r="B2913" s="2">
        <v>43109</v>
      </c>
      <c r="C2913" t="s">
        <v>1987</v>
      </c>
      <c r="D2913" t="s">
        <v>1810</v>
      </c>
    </row>
    <row r="2914" spans="1:4" x14ac:dyDescent="0.2">
      <c r="A2914" t="s">
        <v>4747</v>
      </c>
      <c r="B2914" s="2">
        <v>43245</v>
      </c>
      <c r="C2914" t="s">
        <v>1867</v>
      </c>
      <c r="D2914" t="s">
        <v>1840</v>
      </c>
    </row>
    <row r="2915" spans="1:4" x14ac:dyDescent="0.2">
      <c r="A2915" t="s">
        <v>4748</v>
      </c>
      <c r="B2915" s="2">
        <v>43201</v>
      </c>
      <c r="C2915" t="s">
        <v>1831</v>
      </c>
      <c r="D2915" t="s">
        <v>160</v>
      </c>
    </row>
    <row r="2916" spans="1:4" x14ac:dyDescent="0.2">
      <c r="A2916" t="s">
        <v>4749</v>
      </c>
      <c r="B2916" s="2">
        <v>43130</v>
      </c>
      <c r="C2916" t="s">
        <v>4750</v>
      </c>
      <c r="D2916" t="s">
        <v>1804</v>
      </c>
    </row>
    <row r="2917" spans="1:4" x14ac:dyDescent="0.2">
      <c r="A2917" t="s">
        <v>672</v>
      </c>
      <c r="B2917" s="2">
        <v>43041</v>
      </c>
      <c r="C2917" t="s">
        <v>1885</v>
      </c>
      <c r="D2917" t="s">
        <v>1807</v>
      </c>
    </row>
    <row r="2918" spans="1:4" x14ac:dyDescent="0.2">
      <c r="A2918" t="s">
        <v>674</v>
      </c>
      <c r="B2918" s="2">
        <v>43209</v>
      </c>
      <c r="C2918" t="s">
        <v>4751</v>
      </c>
      <c r="D2918" t="s">
        <v>1829</v>
      </c>
    </row>
    <row r="2919" spans="1:4" x14ac:dyDescent="0.2">
      <c r="A2919" t="s">
        <v>676</v>
      </c>
      <c r="B2919" s="2">
        <v>43198</v>
      </c>
      <c r="C2919" t="s">
        <v>1816</v>
      </c>
      <c r="D2919" t="s">
        <v>1840</v>
      </c>
    </row>
    <row r="2920" spans="1:4" x14ac:dyDescent="0.2">
      <c r="A2920" t="s">
        <v>4752</v>
      </c>
      <c r="B2920" s="2">
        <v>42964</v>
      </c>
      <c r="C2920" t="s">
        <v>2569</v>
      </c>
      <c r="D2920" t="s">
        <v>1031</v>
      </c>
    </row>
    <row r="2921" spans="1:4" x14ac:dyDescent="0.2">
      <c r="A2921" t="s">
        <v>4753</v>
      </c>
      <c r="B2921" s="2">
        <v>42936</v>
      </c>
      <c r="C2921" t="s">
        <v>1843</v>
      </c>
      <c r="D2921" t="s">
        <v>1807</v>
      </c>
    </row>
    <row r="2922" spans="1:4" x14ac:dyDescent="0.2">
      <c r="A2922" t="s">
        <v>4754</v>
      </c>
      <c r="B2922" s="2">
        <v>43132</v>
      </c>
      <c r="C2922" t="s">
        <v>1865</v>
      </c>
      <c r="D2922" t="s">
        <v>1829</v>
      </c>
    </row>
    <row r="2923" spans="1:4" x14ac:dyDescent="0.2">
      <c r="A2923" t="s">
        <v>4755</v>
      </c>
      <c r="B2923" s="2">
        <v>42998</v>
      </c>
      <c r="C2923" t="s">
        <v>2206</v>
      </c>
      <c r="D2923" t="s">
        <v>1910</v>
      </c>
    </row>
    <row r="2924" spans="1:4" x14ac:dyDescent="0.2">
      <c r="A2924" t="s">
        <v>4756</v>
      </c>
      <c r="B2924" s="2">
        <v>43174</v>
      </c>
      <c r="C2924" t="s">
        <v>1885</v>
      </c>
      <c r="D2924" t="s">
        <v>1807</v>
      </c>
    </row>
    <row r="2925" spans="1:4" x14ac:dyDescent="0.2">
      <c r="A2925" t="s">
        <v>4757</v>
      </c>
      <c r="B2925" s="2">
        <v>43207</v>
      </c>
      <c r="C2925" t="s">
        <v>1836</v>
      </c>
      <c r="D2925" t="s">
        <v>1810</v>
      </c>
    </row>
    <row r="2926" spans="1:4" x14ac:dyDescent="0.2">
      <c r="A2926" t="s">
        <v>4758</v>
      </c>
      <c r="B2926" s="2">
        <v>43210</v>
      </c>
      <c r="C2926" t="s">
        <v>1930</v>
      </c>
      <c r="D2926" t="s">
        <v>1807</v>
      </c>
    </row>
    <row r="2927" spans="1:4" x14ac:dyDescent="0.2">
      <c r="A2927" t="s">
        <v>4759</v>
      </c>
      <c r="B2927" s="2">
        <v>42974</v>
      </c>
      <c r="C2927" t="s">
        <v>1825</v>
      </c>
      <c r="D2927" t="s">
        <v>1810</v>
      </c>
    </row>
    <row r="2928" spans="1:4" x14ac:dyDescent="0.2">
      <c r="A2928" t="s">
        <v>4760</v>
      </c>
      <c r="B2928" s="2">
        <v>43146</v>
      </c>
      <c r="C2928" t="s">
        <v>1867</v>
      </c>
      <c r="D2928" t="s">
        <v>1031</v>
      </c>
    </row>
    <row r="2929" spans="1:4" x14ac:dyDescent="0.2">
      <c r="A2929" t="s">
        <v>4761</v>
      </c>
      <c r="B2929" s="2">
        <v>43052</v>
      </c>
      <c r="C2929" t="s">
        <v>2650</v>
      </c>
      <c r="D2929" t="s">
        <v>1810</v>
      </c>
    </row>
    <row r="2930" spans="1:4" x14ac:dyDescent="0.2">
      <c r="A2930" t="s">
        <v>4762</v>
      </c>
      <c r="B2930" s="2">
        <v>43131</v>
      </c>
      <c r="C2930" t="s">
        <v>1836</v>
      </c>
      <c r="D2930" t="s">
        <v>1031</v>
      </c>
    </row>
    <row r="2931" spans="1:4" x14ac:dyDescent="0.2">
      <c r="A2931" t="s">
        <v>4763</v>
      </c>
      <c r="B2931" s="2">
        <v>43229</v>
      </c>
      <c r="C2931" t="s">
        <v>1905</v>
      </c>
      <c r="D2931" t="s">
        <v>1810</v>
      </c>
    </row>
    <row r="2932" spans="1:4" x14ac:dyDescent="0.2">
      <c r="A2932" t="s">
        <v>4764</v>
      </c>
      <c r="B2932" s="2">
        <v>43180</v>
      </c>
      <c r="C2932" t="s">
        <v>3430</v>
      </c>
      <c r="D2932" t="s">
        <v>1813</v>
      </c>
    </row>
    <row r="2933" spans="1:4" x14ac:dyDescent="0.2">
      <c r="A2933" t="s">
        <v>4765</v>
      </c>
      <c r="B2933" s="2">
        <v>43235</v>
      </c>
      <c r="C2933" t="s">
        <v>1854</v>
      </c>
      <c r="D2933" t="s">
        <v>1813</v>
      </c>
    </row>
    <row r="2934" spans="1:4" x14ac:dyDescent="0.2">
      <c r="A2934" t="s">
        <v>4766</v>
      </c>
      <c r="B2934" s="2">
        <v>43042</v>
      </c>
      <c r="C2934" t="s">
        <v>1859</v>
      </c>
      <c r="D2934" t="s">
        <v>1829</v>
      </c>
    </row>
    <row r="2935" spans="1:4" x14ac:dyDescent="0.2">
      <c r="A2935" t="s">
        <v>678</v>
      </c>
      <c r="B2935" s="2">
        <v>43230</v>
      </c>
      <c r="C2935" t="s">
        <v>1816</v>
      </c>
      <c r="D2935" t="s">
        <v>1840</v>
      </c>
    </row>
    <row r="2936" spans="1:4" x14ac:dyDescent="0.2">
      <c r="A2936" t="s">
        <v>4767</v>
      </c>
      <c r="B2936" s="2">
        <v>43106</v>
      </c>
      <c r="C2936" t="s">
        <v>1905</v>
      </c>
      <c r="D2936" t="s">
        <v>1807</v>
      </c>
    </row>
    <row r="2937" spans="1:4" x14ac:dyDescent="0.2">
      <c r="A2937" t="s">
        <v>4768</v>
      </c>
      <c r="B2937" s="2">
        <v>43194</v>
      </c>
      <c r="C2937" t="s">
        <v>1836</v>
      </c>
      <c r="D2937" t="s">
        <v>1031</v>
      </c>
    </row>
    <row r="2938" spans="1:4" x14ac:dyDescent="0.2">
      <c r="A2938" t="s">
        <v>4769</v>
      </c>
      <c r="B2938" s="2">
        <v>43181</v>
      </c>
      <c r="C2938" t="s">
        <v>2058</v>
      </c>
      <c r="D2938" t="s">
        <v>1807</v>
      </c>
    </row>
    <row r="2939" spans="1:4" x14ac:dyDescent="0.2">
      <c r="A2939" t="s">
        <v>4770</v>
      </c>
      <c r="B2939" s="2">
        <v>43134</v>
      </c>
      <c r="C2939" t="s">
        <v>1803</v>
      </c>
      <c r="D2939" t="s">
        <v>1804</v>
      </c>
    </row>
    <row r="2940" spans="1:4" x14ac:dyDescent="0.2">
      <c r="A2940" t="s">
        <v>4771</v>
      </c>
      <c r="B2940" s="2">
        <v>43054</v>
      </c>
      <c r="C2940" t="s">
        <v>1803</v>
      </c>
      <c r="D2940" t="s">
        <v>1804</v>
      </c>
    </row>
    <row r="2941" spans="1:4" x14ac:dyDescent="0.2">
      <c r="A2941" t="s">
        <v>4772</v>
      </c>
      <c r="B2941" s="2">
        <v>42957</v>
      </c>
      <c r="C2941" t="s">
        <v>2576</v>
      </c>
      <c r="D2941" t="s">
        <v>1031</v>
      </c>
    </row>
    <row r="2942" spans="1:4" x14ac:dyDescent="0.2">
      <c r="A2942" t="s">
        <v>4773</v>
      </c>
      <c r="B2942" s="2">
        <v>43005</v>
      </c>
      <c r="C2942" t="s">
        <v>2829</v>
      </c>
      <c r="D2942" t="s">
        <v>1804</v>
      </c>
    </row>
    <row r="2943" spans="1:4" x14ac:dyDescent="0.2">
      <c r="A2943" t="s">
        <v>680</v>
      </c>
      <c r="B2943" s="2">
        <v>43215</v>
      </c>
      <c r="C2943" t="s">
        <v>1816</v>
      </c>
      <c r="D2943" t="s">
        <v>1807</v>
      </c>
    </row>
    <row r="2944" spans="1:4" x14ac:dyDescent="0.2">
      <c r="A2944" t="s">
        <v>4774</v>
      </c>
      <c r="B2944" s="2">
        <v>42993</v>
      </c>
      <c r="C2944" t="s">
        <v>1809</v>
      </c>
      <c r="D2944" t="s">
        <v>1810</v>
      </c>
    </row>
    <row r="2945" spans="1:4" x14ac:dyDescent="0.2">
      <c r="A2945" t="s">
        <v>4775</v>
      </c>
      <c r="B2945" s="2">
        <v>42978</v>
      </c>
      <c r="C2945" t="s">
        <v>2196</v>
      </c>
      <c r="D2945" t="s">
        <v>1810</v>
      </c>
    </row>
    <row r="2946" spans="1:4" x14ac:dyDescent="0.2">
      <c r="A2946" t="s">
        <v>4776</v>
      </c>
      <c r="B2946" s="2">
        <v>42963</v>
      </c>
      <c r="C2946" t="s">
        <v>4777</v>
      </c>
      <c r="D2946" t="s">
        <v>1813</v>
      </c>
    </row>
    <row r="2947" spans="1:4" x14ac:dyDescent="0.2">
      <c r="A2947" t="s">
        <v>682</v>
      </c>
      <c r="B2947" s="2">
        <v>43161</v>
      </c>
      <c r="C2947" t="s">
        <v>4778</v>
      </c>
      <c r="D2947" t="s">
        <v>1807</v>
      </c>
    </row>
    <row r="2948" spans="1:4" x14ac:dyDescent="0.2">
      <c r="A2948" t="s">
        <v>4779</v>
      </c>
      <c r="B2948" s="2">
        <v>43242</v>
      </c>
      <c r="C2948" t="s">
        <v>1836</v>
      </c>
      <c r="D2948" t="s">
        <v>1031</v>
      </c>
    </row>
    <row r="2949" spans="1:4" x14ac:dyDescent="0.2">
      <c r="A2949" t="s">
        <v>4780</v>
      </c>
      <c r="B2949" s="2">
        <v>42934</v>
      </c>
      <c r="C2949" t="s">
        <v>1867</v>
      </c>
      <c r="D2949" t="s">
        <v>1807</v>
      </c>
    </row>
    <row r="2950" spans="1:4" x14ac:dyDescent="0.2">
      <c r="A2950" t="s">
        <v>4781</v>
      </c>
      <c r="B2950" s="2">
        <v>43185</v>
      </c>
      <c r="C2950" t="s">
        <v>2115</v>
      </c>
      <c r="D2950" t="s">
        <v>1804</v>
      </c>
    </row>
    <row r="2951" spans="1:4" x14ac:dyDescent="0.2">
      <c r="A2951" t="s">
        <v>4782</v>
      </c>
      <c r="B2951" s="2">
        <v>43221</v>
      </c>
      <c r="C2951" t="s">
        <v>1863</v>
      </c>
      <c r="D2951" t="s">
        <v>1804</v>
      </c>
    </row>
    <row r="2952" spans="1:4" x14ac:dyDescent="0.2">
      <c r="A2952" t="s">
        <v>4783</v>
      </c>
      <c r="B2952" s="2">
        <v>42949</v>
      </c>
      <c r="C2952" t="s">
        <v>1867</v>
      </c>
      <c r="D2952" t="s">
        <v>1810</v>
      </c>
    </row>
    <row r="2953" spans="1:4" x14ac:dyDescent="0.2">
      <c r="A2953" t="s">
        <v>4784</v>
      </c>
      <c r="B2953" s="2">
        <v>43137</v>
      </c>
      <c r="C2953" t="s">
        <v>1930</v>
      </c>
      <c r="D2953" t="s">
        <v>1810</v>
      </c>
    </row>
    <row r="2954" spans="1:4" x14ac:dyDescent="0.2">
      <c r="A2954" t="s">
        <v>4785</v>
      </c>
      <c r="B2954" s="2">
        <v>43249</v>
      </c>
      <c r="C2954" t="s">
        <v>1836</v>
      </c>
      <c r="D2954" t="s">
        <v>1031</v>
      </c>
    </row>
    <row r="2955" spans="1:4" x14ac:dyDescent="0.2">
      <c r="A2955" t="s">
        <v>4786</v>
      </c>
      <c r="B2955" s="2">
        <v>43121</v>
      </c>
      <c r="C2955" t="s">
        <v>1816</v>
      </c>
      <c r="D2955" t="s">
        <v>1810</v>
      </c>
    </row>
    <row r="2956" spans="1:4" x14ac:dyDescent="0.2">
      <c r="A2956" t="s">
        <v>684</v>
      </c>
      <c r="B2956" s="2">
        <v>43129</v>
      </c>
      <c r="C2956" t="s">
        <v>1816</v>
      </c>
      <c r="D2956" t="s">
        <v>1810</v>
      </c>
    </row>
    <row r="2957" spans="1:4" x14ac:dyDescent="0.2">
      <c r="A2957" t="s">
        <v>4787</v>
      </c>
      <c r="B2957" s="2">
        <v>43113</v>
      </c>
      <c r="C2957" t="s">
        <v>1816</v>
      </c>
      <c r="D2957" t="s">
        <v>1810</v>
      </c>
    </row>
    <row r="2958" spans="1:4" x14ac:dyDescent="0.2">
      <c r="A2958" t="s">
        <v>4788</v>
      </c>
      <c r="B2958" s="2">
        <v>43033</v>
      </c>
      <c r="C2958" t="s">
        <v>1816</v>
      </c>
      <c r="D2958" t="s">
        <v>1810</v>
      </c>
    </row>
    <row r="2959" spans="1:4" x14ac:dyDescent="0.2">
      <c r="A2959" t="s">
        <v>4789</v>
      </c>
      <c r="B2959" s="2">
        <v>43240</v>
      </c>
      <c r="C2959" t="s">
        <v>1863</v>
      </c>
      <c r="D2959" t="s">
        <v>1804</v>
      </c>
    </row>
    <row r="2960" spans="1:4" x14ac:dyDescent="0.2">
      <c r="A2960" t="s">
        <v>4790</v>
      </c>
      <c r="B2960" s="2">
        <v>43029</v>
      </c>
      <c r="C2960" t="s">
        <v>1892</v>
      </c>
      <c r="D2960" t="s">
        <v>1810</v>
      </c>
    </row>
    <row r="2961" spans="1:4" x14ac:dyDescent="0.2">
      <c r="A2961" t="s">
        <v>4791</v>
      </c>
      <c r="B2961" s="2">
        <v>43033</v>
      </c>
      <c r="C2961" t="s">
        <v>1939</v>
      </c>
      <c r="D2961" t="s">
        <v>1810</v>
      </c>
    </row>
    <row r="2962" spans="1:4" x14ac:dyDescent="0.2">
      <c r="A2962" t="s">
        <v>4792</v>
      </c>
      <c r="B2962" s="2">
        <v>43228</v>
      </c>
      <c r="C2962" t="s">
        <v>1816</v>
      </c>
      <c r="D2962" t="s">
        <v>1807</v>
      </c>
    </row>
    <row r="2963" spans="1:4" x14ac:dyDescent="0.2">
      <c r="A2963" t="s">
        <v>686</v>
      </c>
      <c r="B2963" s="2">
        <v>43218</v>
      </c>
      <c r="C2963" t="s">
        <v>1825</v>
      </c>
      <c r="D2963" t="s">
        <v>1810</v>
      </c>
    </row>
    <row r="2964" spans="1:4" x14ac:dyDescent="0.2">
      <c r="A2964" t="s">
        <v>688</v>
      </c>
      <c r="B2964" s="2">
        <v>43209</v>
      </c>
      <c r="C2964" t="s">
        <v>1836</v>
      </c>
      <c r="D2964" t="s">
        <v>1031</v>
      </c>
    </row>
    <row r="2965" spans="1:4" x14ac:dyDescent="0.2">
      <c r="A2965" t="s">
        <v>4793</v>
      </c>
      <c r="B2965" s="2">
        <v>43164</v>
      </c>
      <c r="C2965" t="s">
        <v>1816</v>
      </c>
      <c r="D2965" t="s">
        <v>1810</v>
      </c>
    </row>
    <row r="2966" spans="1:4" x14ac:dyDescent="0.2">
      <c r="A2966" t="s">
        <v>4794</v>
      </c>
      <c r="B2966" s="2">
        <v>43216</v>
      </c>
      <c r="C2966" t="s">
        <v>1905</v>
      </c>
      <c r="D2966" t="s">
        <v>1810</v>
      </c>
    </row>
    <row r="2967" spans="1:4" x14ac:dyDescent="0.2">
      <c r="A2967" t="s">
        <v>4795</v>
      </c>
      <c r="B2967" s="2">
        <v>43244</v>
      </c>
      <c r="C2967" t="s">
        <v>4796</v>
      </c>
      <c r="D2967" t="s">
        <v>1804</v>
      </c>
    </row>
    <row r="2968" spans="1:4" x14ac:dyDescent="0.2">
      <c r="A2968" t="s">
        <v>4797</v>
      </c>
      <c r="B2968" s="2">
        <v>43172</v>
      </c>
      <c r="C2968" t="s">
        <v>1930</v>
      </c>
      <c r="D2968" t="s">
        <v>1810</v>
      </c>
    </row>
    <row r="2969" spans="1:4" x14ac:dyDescent="0.2">
      <c r="A2969" t="s">
        <v>4798</v>
      </c>
      <c r="B2969" s="2">
        <v>43140</v>
      </c>
      <c r="C2969" t="s">
        <v>1809</v>
      </c>
      <c r="D2969" t="s">
        <v>1810</v>
      </c>
    </row>
    <row r="2970" spans="1:4" x14ac:dyDescent="0.2">
      <c r="A2970" t="s">
        <v>4799</v>
      </c>
      <c r="B2970" s="2">
        <v>43173</v>
      </c>
      <c r="C2970" t="s">
        <v>1928</v>
      </c>
      <c r="D2970" t="s">
        <v>1810</v>
      </c>
    </row>
    <row r="2971" spans="1:4" x14ac:dyDescent="0.2">
      <c r="A2971" t="s">
        <v>4800</v>
      </c>
      <c r="B2971" s="2">
        <v>42984</v>
      </c>
      <c r="C2971" t="s">
        <v>3674</v>
      </c>
      <c r="D2971" t="s">
        <v>1810</v>
      </c>
    </row>
    <row r="2972" spans="1:4" x14ac:dyDescent="0.2">
      <c r="A2972" t="s">
        <v>4801</v>
      </c>
      <c r="B2972" s="2">
        <v>43058</v>
      </c>
      <c r="C2972" t="s">
        <v>1825</v>
      </c>
      <c r="D2972" t="s">
        <v>1840</v>
      </c>
    </row>
    <row r="2973" spans="1:4" x14ac:dyDescent="0.2">
      <c r="A2973" t="s">
        <v>4802</v>
      </c>
      <c r="B2973" s="2">
        <v>43025</v>
      </c>
      <c r="C2973" t="s">
        <v>1887</v>
      </c>
      <c r="D2973" t="s">
        <v>1813</v>
      </c>
    </row>
    <row r="2974" spans="1:4" x14ac:dyDescent="0.2">
      <c r="A2974" t="s">
        <v>4803</v>
      </c>
      <c r="B2974" s="2">
        <v>43131</v>
      </c>
      <c r="C2974" t="s">
        <v>1907</v>
      </c>
      <c r="D2974" t="s">
        <v>1807</v>
      </c>
    </row>
    <row r="2975" spans="1:4" x14ac:dyDescent="0.2">
      <c r="A2975" t="s">
        <v>4804</v>
      </c>
      <c r="B2975" s="2">
        <v>42922</v>
      </c>
      <c r="C2975" t="s">
        <v>3019</v>
      </c>
      <c r="D2975" t="s">
        <v>1807</v>
      </c>
    </row>
    <row r="2976" spans="1:4" x14ac:dyDescent="0.2">
      <c r="A2976" t="s">
        <v>4805</v>
      </c>
      <c r="B2976" s="2">
        <v>43150</v>
      </c>
      <c r="C2976" t="s">
        <v>1905</v>
      </c>
      <c r="D2976" t="s">
        <v>1807</v>
      </c>
    </row>
    <row r="2977" spans="1:4" x14ac:dyDescent="0.2">
      <c r="A2977" t="s">
        <v>690</v>
      </c>
      <c r="B2977" s="2">
        <v>43242</v>
      </c>
      <c r="C2977" t="s">
        <v>1836</v>
      </c>
      <c r="D2977" t="s">
        <v>1031</v>
      </c>
    </row>
    <row r="2978" spans="1:4" x14ac:dyDescent="0.2">
      <c r="A2978" t="s">
        <v>4806</v>
      </c>
      <c r="B2978" s="2">
        <v>42918</v>
      </c>
      <c r="C2978" t="s">
        <v>2196</v>
      </c>
      <c r="D2978" t="s">
        <v>1840</v>
      </c>
    </row>
    <row r="2979" spans="1:4" x14ac:dyDescent="0.2">
      <c r="A2979" t="s">
        <v>4807</v>
      </c>
      <c r="B2979" s="2">
        <v>43242</v>
      </c>
      <c r="C2979" t="s">
        <v>1928</v>
      </c>
      <c r="D2979" t="s">
        <v>1810</v>
      </c>
    </row>
    <row r="2980" spans="1:4" x14ac:dyDescent="0.2">
      <c r="A2980" t="s">
        <v>4808</v>
      </c>
      <c r="B2980" s="2">
        <v>43223</v>
      </c>
      <c r="C2980" t="s">
        <v>1836</v>
      </c>
      <c r="D2980" t="s">
        <v>1031</v>
      </c>
    </row>
    <row r="2981" spans="1:4" x14ac:dyDescent="0.2">
      <c r="A2981" t="s">
        <v>4809</v>
      </c>
      <c r="B2981" s="2">
        <v>43166</v>
      </c>
      <c r="C2981" t="s">
        <v>1930</v>
      </c>
      <c r="D2981" t="s">
        <v>1807</v>
      </c>
    </row>
    <row r="2982" spans="1:4" x14ac:dyDescent="0.2">
      <c r="A2982" t="s">
        <v>692</v>
      </c>
      <c r="B2982" s="2">
        <v>43192</v>
      </c>
      <c r="C2982" t="s">
        <v>2620</v>
      </c>
      <c r="D2982" t="s">
        <v>1807</v>
      </c>
    </row>
    <row r="2983" spans="1:4" x14ac:dyDescent="0.2">
      <c r="A2983" t="s">
        <v>4810</v>
      </c>
      <c r="B2983" s="2">
        <v>43004</v>
      </c>
      <c r="C2983" t="s">
        <v>2131</v>
      </c>
      <c r="D2983" t="s">
        <v>1810</v>
      </c>
    </row>
    <row r="2984" spans="1:4" x14ac:dyDescent="0.2">
      <c r="A2984" t="s">
        <v>694</v>
      </c>
      <c r="B2984" s="2">
        <v>43228</v>
      </c>
      <c r="C2984" t="s">
        <v>1836</v>
      </c>
      <c r="D2984" t="s">
        <v>1031</v>
      </c>
    </row>
    <row r="2985" spans="1:4" x14ac:dyDescent="0.2">
      <c r="A2985" t="s">
        <v>4811</v>
      </c>
      <c r="B2985" s="2">
        <v>43207</v>
      </c>
      <c r="C2985" t="s">
        <v>2242</v>
      </c>
      <c r="D2985" t="s">
        <v>1840</v>
      </c>
    </row>
    <row r="2986" spans="1:4" x14ac:dyDescent="0.2">
      <c r="A2986" t="s">
        <v>4812</v>
      </c>
      <c r="B2986" s="2">
        <v>43158</v>
      </c>
      <c r="C2986" t="s">
        <v>1905</v>
      </c>
      <c r="D2986" t="s">
        <v>1810</v>
      </c>
    </row>
    <row r="2987" spans="1:4" x14ac:dyDescent="0.2">
      <c r="A2987" t="s">
        <v>4813</v>
      </c>
      <c r="B2987" s="2">
        <v>42969</v>
      </c>
      <c r="C2987" t="s">
        <v>1894</v>
      </c>
      <c r="D2987" t="s">
        <v>1804</v>
      </c>
    </row>
    <row r="2988" spans="1:4" x14ac:dyDescent="0.2">
      <c r="A2988" t="s">
        <v>4814</v>
      </c>
      <c r="B2988" s="2">
        <v>43197</v>
      </c>
      <c r="C2988" t="s">
        <v>1905</v>
      </c>
      <c r="D2988" t="s">
        <v>1804</v>
      </c>
    </row>
    <row r="2989" spans="1:4" x14ac:dyDescent="0.2">
      <c r="A2989" t="s">
        <v>696</v>
      </c>
      <c r="B2989" s="2">
        <v>43174</v>
      </c>
      <c r="C2989" t="s">
        <v>1836</v>
      </c>
      <c r="D2989" t="s">
        <v>1810</v>
      </c>
    </row>
    <row r="2990" spans="1:4" x14ac:dyDescent="0.2">
      <c r="A2990" t="s">
        <v>4815</v>
      </c>
      <c r="B2990" s="2">
        <v>43143</v>
      </c>
      <c r="C2990" t="s">
        <v>1867</v>
      </c>
      <c r="D2990" t="s">
        <v>1813</v>
      </c>
    </row>
    <row r="2991" spans="1:4" x14ac:dyDescent="0.2">
      <c r="A2991" t="s">
        <v>4816</v>
      </c>
      <c r="B2991" s="2">
        <v>43199</v>
      </c>
      <c r="C2991" t="s">
        <v>2831</v>
      </c>
      <c r="D2991" t="s">
        <v>1807</v>
      </c>
    </row>
    <row r="2992" spans="1:4" x14ac:dyDescent="0.2">
      <c r="A2992" t="s">
        <v>4817</v>
      </c>
      <c r="B2992" s="2">
        <v>43250</v>
      </c>
      <c r="C2992" t="s">
        <v>1816</v>
      </c>
      <c r="D2992" t="s">
        <v>1810</v>
      </c>
    </row>
    <row r="2993" spans="1:4" x14ac:dyDescent="0.2">
      <c r="A2993" t="s">
        <v>4818</v>
      </c>
      <c r="B2993" s="2">
        <v>43132</v>
      </c>
      <c r="C2993" t="s">
        <v>2669</v>
      </c>
      <c r="D2993" t="s">
        <v>1810</v>
      </c>
    </row>
    <row r="2994" spans="1:4" x14ac:dyDescent="0.2">
      <c r="A2994" t="s">
        <v>4819</v>
      </c>
      <c r="B2994" s="2">
        <v>43179</v>
      </c>
      <c r="C2994" t="s">
        <v>1836</v>
      </c>
      <c r="D2994" t="s">
        <v>1031</v>
      </c>
    </row>
    <row r="2995" spans="1:4" x14ac:dyDescent="0.2">
      <c r="A2995" t="s">
        <v>4820</v>
      </c>
      <c r="B2995" s="2">
        <v>43217</v>
      </c>
      <c r="C2995" t="s">
        <v>1836</v>
      </c>
      <c r="D2995" t="s">
        <v>1810</v>
      </c>
    </row>
    <row r="2996" spans="1:4" x14ac:dyDescent="0.2">
      <c r="A2996" t="s">
        <v>698</v>
      </c>
      <c r="B2996" s="2">
        <v>43024</v>
      </c>
      <c r="C2996" t="s">
        <v>3515</v>
      </c>
      <c r="D2996" t="s">
        <v>1804</v>
      </c>
    </row>
    <row r="2997" spans="1:4" x14ac:dyDescent="0.2">
      <c r="A2997" t="s">
        <v>700</v>
      </c>
      <c r="B2997" s="2">
        <v>43146</v>
      </c>
      <c r="C2997" t="s">
        <v>1834</v>
      </c>
      <c r="D2997" t="s">
        <v>1810</v>
      </c>
    </row>
    <row r="2998" spans="1:4" x14ac:dyDescent="0.2">
      <c r="A2998" t="s">
        <v>4821</v>
      </c>
      <c r="B2998" s="2">
        <v>43053</v>
      </c>
      <c r="C2998" t="s">
        <v>1825</v>
      </c>
      <c r="D2998" t="s">
        <v>1829</v>
      </c>
    </row>
    <row r="2999" spans="1:4" x14ac:dyDescent="0.2">
      <c r="A2999" t="s">
        <v>4822</v>
      </c>
      <c r="B2999" s="2">
        <v>43004</v>
      </c>
      <c r="C2999" t="s">
        <v>2242</v>
      </c>
      <c r="D2999" t="s">
        <v>1810</v>
      </c>
    </row>
    <row r="3000" spans="1:4" x14ac:dyDescent="0.2">
      <c r="A3000" t="s">
        <v>4823</v>
      </c>
      <c r="B3000" s="2">
        <v>43129</v>
      </c>
      <c r="C3000" t="s">
        <v>1836</v>
      </c>
      <c r="D3000" t="s">
        <v>1031</v>
      </c>
    </row>
    <row r="3001" spans="1:4" x14ac:dyDescent="0.2">
      <c r="A3001" t="s">
        <v>4824</v>
      </c>
      <c r="B3001" s="2">
        <v>42998</v>
      </c>
      <c r="C3001" t="s">
        <v>1885</v>
      </c>
      <c r="D3001" t="s">
        <v>1807</v>
      </c>
    </row>
    <row r="3002" spans="1:4" x14ac:dyDescent="0.2">
      <c r="A3002" t="s">
        <v>702</v>
      </c>
      <c r="B3002" s="2">
        <v>43132</v>
      </c>
      <c r="C3002" t="s">
        <v>1816</v>
      </c>
      <c r="D3002" t="s">
        <v>1810</v>
      </c>
    </row>
    <row r="3003" spans="1:4" x14ac:dyDescent="0.2">
      <c r="A3003" t="s">
        <v>4825</v>
      </c>
      <c r="B3003" s="2">
        <v>43120</v>
      </c>
      <c r="C3003" t="s">
        <v>1867</v>
      </c>
      <c r="D3003" t="s">
        <v>1810</v>
      </c>
    </row>
    <row r="3004" spans="1:4" x14ac:dyDescent="0.2">
      <c r="A3004" t="s">
        <v>4826</v>
      </c>
      <c r="B3004" s="2">
        <v>43179</v>
      </c>
      <c r="C3004" t="s">
        <v>1867</v>
      </c>
      <c r="D3004" t="s">
        <v>1031</v>
      </c>
    </row>
    <row r="3005" spans="1:4" x14ac:dyDescent="0.2">
      <c r="A3005" t="s">
        <v>4827</v>
      </c>
      <c r="B3005" s="2">
        <v>43157</v>
      </c>
      <c r="C3005" t="s">
        <v>1836</v>
      </c>
      <c r="D3005" t="s">
        <v>1840</v>
      </c>
    </row>
    <row r="3006" spans="1:4" x14ac:dyDescent="0.2">
      <c r="A3006" t="s">
        <v>4828</v>
      </c>
      <c r="B3006" s="2">
        <v>43222</v>
      </c>
      <c r="C3006" t="s">
        <v>1902</v>
      </c>
      <c r="D3006" t="s">
        <v>1810</v>
      </c>
    </row>
    <row r="3007" spans="1:4" x14ac:dyDescent="0.2">
      <c r="A3007" t="s">
        <v>4829</v>
      </c>
      <c r="B3007" s="2">
        <v>43161</v>
      </c>
      <c r="C3007" t="s">
        <v>1816</v>
      </c>
      <c r="D3007" t="s">
        <v>1829</v>
      </c>
    </row>
    <row r="3008" spans="1:4" x14ac:dyDescent="0.2">
      <c r="A3008" t="s">
        <v>4830</v>
      </c>
      <c r="B3008" s="2">
        <v>43223</v>
      </c>
      <c r="C3008" t="s">
        <v>2382</v>
      </c>
      <c r="D3008" t="s">
        <v>1813</v>
      </c>
    </row>
    <row r="3009" spans="1:4" x14ac:dyDescent="0.2">
      <c r="A3009" t="s">
        <v>4831</v>
      </c>
      <c r="B3009" s="2">
        <v>43151</v>
      </c>
      <c r="C3009" t="s">
        <v>4832</v>
      </c>
      <c r="D3009" t="s">
        <v>1810</v>
      </c>
    </row>
    <row r="3010" spans="1:4" x14ac:dyDescent="0.2">
      <c r="A3010" t="s">
        <v>4833</v>
      </c>
      <c r="B3010" s="2">
        <v>43212</v>
      </c>
      <c r="C3010" t="s">
        <v>1863</v>
      </c>
      <c r="D3010" t="s">
        <v>1804</v>
      </c>
    </row>
    <row r="3011" spans="1:4" x14ac:dyDescent="0.2">
      <c r="A3011" t="s">
        <v>4834</v>
      </c>
      <c r="B3011" s="2">
        <v>43180</v>
      </c>
      <c r="C3011" t="s">
        <v>1836</v>
      </c>
      <c r="D3011" t="s">
        <v>1031</v>
      </c>
    </row>
    <row r="3012" spans="1:4" x14ac:dyDescent="0.2">
      <c r="A3012" t="s">
        <v>4835</v>
      </c>
      <c r="B3012" s="2">
        <v>43216</v>
      </c>
      <c r="C3012" t="s">
        <v>1863</v>
      </c>
      <c r="D3012" t="s">
        <v>1804</v>
      </c>
    </row>
    <row r="3013" spans="1:4" x14ac:dyDescent="0.2">
      <c r="A3013" t="s">
        <v>4836</v>
      </c>
      <c r="B3013" s="2">
        <v>43224</v>
      </c>
      <c r="C3013" t="s">
        <v>2620</v>
      </c>
      <c r="D3013" t="s">
        <v>1810</v>
      </c>
    </row>
    <row r="3014" spans="1:4" x14ac:dyDescent="0.2">
      <c r="A3014" t="s">
        <v>4837</v>
      </c>
      <c r="B3014" s="2">
        <v>43178</v>
      </c>
      <c r="C3014" t="s">
        <v>2187</v>
      </c>
      <c r="D3014" t="s">
        <v>1807</v>
      </c>
    </row>
    <row r="3015" spans="1:4" x14ac:dyDescent="0.2">
      <c r="A3015" t="s">
        <v>4838</v>
      </c>
      <c r="B3015" s="2">
        <v>43136</v>
      </c>
      <c r="C3015" t="s">
        <v>1809</v>
      </c>
      <c r="D3015" t="s">
        <v>1849</v>
      </c>
    </row>
    <row r="3016" spans="1:4" x14ac:dyDescent="0.2">
      <c r="A3016" t="s">
        <v>4839</v>
      </c>
      <c r="B3016" s="2">
        <v>43215</v>
      </c>
      <c r="C3016" t="s">
        <v>1909</v>
      </c>
      <c r="D3016" t="s">
        <v>1810</v>
      </c>
    </row>
    <row r="3017" spans="1:4" x14ac:dyDescent="0.2">
      <c r="A3017" t="s">
        <v>4840</v>
      </c>
      <c r="B3017" s="2">
        <v>43187</v>
      </c>
      <c r="C3017" t="s">
        <v>1905</v>
      </c>
      <c r="D3017" t="s">
        <v>1810</v>
      </c>
    </row>
    <row r="3018" spans="1:4" x14ac:dyDescent="0.2">
      <c r="A3018" t="s">
        <v>4841</v>
      </c>
      <c r="B3018" s="2">
        <v>43173</v>
      </c>
      <c r="C3018" t="s">
        <v>2716</v>
      </c>
      <c r="D3018" t="s">
        <v>1810</v>
      </c>
    </row>
    <row r="3019" spans="1:4" x14ac:dyDescent="0.2">
      <c r="A3019" t="s">
        <v>4842</v>
      </c>
      <c r="B3019" s="2">
        <v>43125</v>
      </c>
      <c r="C3019" t="s">
        <v>1814</v>
      </c>
      <c r="D3019" t="s">
        <v>1840</v>
      </c>
    </row>
    <row r="3020" spans="1:4" x14ac:dyDescent="0.2">
      <c r="A3020" t="s">
        <v>4843</v>
      </c>
      <c r="B3020" s="2">
        <v>43235</v>
      </c>
      <c r="C3020" t="s">
        <v>2462</v>
      </c>
      <c r="D3020" t="s">
        <v>1807</v>
      </c>
    </row>
    <row r="3021" spans="1:4" x14ac:dyDescent="0.2">
      <c r="A3021" t="s">
        <v>4844</v>
      </c>
      <c r="B3021" s="2">
        <v>43061</v>
      </c>
      <c r="C3021" t="s">
        <v>2066</v>
      </c>
      <c r="D3021" t="s">
        <v>1840</v>
      </c>
    </row>
    <row r="3022" spans="1:4" x14ac:dyDescent="0.2">
      <c r="A3022" t="s">
        <v>4845</v>
      </c>
      <c r="B3022" s="2">
        <v>43080</v>
      </c>
      <c r="C3022" t="s">
        <v>1836</v>
      </c>
      <c r="D3022" t="s">
        <v>1031</v>
      </c>
    </row>
    <row r="3023" spans="1:4" x14ac:dyDescent="0.2">
      <c r="A3023" t="s">
        <v>4846</v>
      </c>
      <c r="B3023" s="2">
        <v>43200</v>
      </c>
      <c r="C3023" t="s">
        <v>2617</v>
      </c>
      <c r="D3023" t="s">
        <v>1813</v>
      </c>
    </row>
    <row r="3024" spans="1:4" x14ac:dyDescent="0.2">
      <c r="A3024" t="s">
        <v>4847</v>
      </c>
      <c r="B3024" s="2">
        <v>43067</v>
      </c>
      <c r="C3024" t="s">
        <v>2907</v>
      </c>
      <c r="D3024" t="s">
        <v>1813</v>
      </c>
    </row>
    <row r="3025" spans="1:4" x14ac:dyDescent="0.2">
      <c r="A3025" t="s">
        <v>4848</v>
      </c>
      <c r="B3025" s="2">
        <v>43112</v>
      </c>
      <c r="C3025" t="s">
        <v>1816</v>
      </c>
      <c r="D3025" t="s">
        <v>1810</v>
      </c>
    </row>
    <row r="3026" spans="1:4" x14ac:dyDescent="0.2">
      <c r="A3026" t="s">
        <v>4849</v>
      </c>
      <c r="B3026" s="2">
        <v>43005</v>
      </c>
      <c r="C3026" t="s">
        <v>4850</v>
      </c>
      <c r="D3026" t="s">
        <v>1810</v>
      </c>
    </row>
    <row r="3027" spans="1:4" x14ac:dyDescent="0.2">
      <c r="A3027" t="s">
        <v>4851</v>
      </c>
      <c r="B3027" s="2">
        <v>43238</v>
      </c>
      <c r="C3027" t="s">
        <v>1836</v>
      </c>
      <c r="D3027" t="s">
        <v>1031</v>
      </c>
    </row>
    <row r="3028" spans="1:4" x14ac:dyDescent="0.2">
      <c r="A3028" t="s">
        <v>4852</v>
      </c>
      <c r="B3028" s="2">
        <v>43229</v>
      </c>
      <c r="C3028" t="s">
        <v>1998</v>
      </c>
      <c r="D3028" t="s">
        <v>1807</v>
      </c>
    </row>
    <row r="3029" spans="1:4" x14ac:dyDescent="0.2">
      <c r="A3029" t="s">
        <v>704</v>
      </c>
      <c r="B3029" s="2">
        <v>43181</v>
      </c>
      <c r="C3029" t="s">
        <v>1816</v>
      </c>
      <c r="D3029" t="s">
        <v>1810</v>
      </c>
    </row>
    <row r="3030" spans="1:4" x14ac:dyDescent="0.2">
      <c r="A3030" t="s">
        <v>4853</v>
      </c>
      <c r="B3030" s="2">
        <v>43140</v>
      </c>
      <c r="C3030" t="s">
        <v>1814</v>
      </c>
      <c r="D3030" t="s">
        <v>1810</v>
      </c>
    </row>
    <row r="3031" spans="1:4" x14ac:dyDescent="0.2">
      <c r="A3031" t="s">
        <v>4854</v>
      </c>
      <c r="B3031" s="2">
        <v>43216</v>
      </c>
      <c r="C3031" t="s">
        <v>1909</v>
      </c>
      <c r="D3031" t="s">
        <v>1813</v>
      </c>
    </row>
    <row r="3032" spans="1:4" x14ac:dyDescent="0.2">
      <c r="A3032" t="s">
        <v>706</v>
      </c>
      <c r="B3032" s="2">
        <v>43203</v>
      </c>
      <c r="C3032" t="s">
        <v>4290</v>
      </c>
      <c r="D3032" t="s">
        <v>1807</v>
      </c>
    </row>
    <row r="3033" spans="1:4" x14ac:dyDescent="0.2">
      <c r="A3033" t="s">
        <v>4855</v>
      </c>
      <c r="B3033" s="2">
        <v>42920</v>
      </c>
      <c r="C3033" t="s">
        <v>1816</v>
      </c>
      <c r="D3033" t="s">
        <v>1810</v>
      </c>
    </row>
    <row r="3034" spans="1:4" x14ac:dyDescent="0.2">
      <c r="A3034" t="s">
        <v>4856</v>
      </c>
      <c r="B3034" s="2">
        <v>43225</v>
      </c>
      <c r="C3034" t="s">
        <v>1816</v>
      </c>
      <c r="D3034" t="s">
        <v>1829</v>
      </c>
    </row>
    <row r="3035" spans="1:4" x14ac:dyDescent="0.2">
      <c r="A3035" t="s">
        <v>4857</v>
      </c>
      <c r="B3035" s="2">
        <v>43219</v>
      </c>
      <c r="C3035" t="s">
        <v>1863</v>
      </c>
      <c r="D3035" t="s">
        <v>1804</v>
      </c>
    </row>
    <row r="3036" spans="1:4" x14ac:dyDescent="0.2">
      <c r="A3036" t="s">
        <v>708</v>
      </c>
      <c r="B3036" s="2">
        <v>43245</v>
      </c>
      <c r="C3036" t="s">
        <v>1905</v>
      </c>
      <c r="D3036" t="s">
        <v>1840</v>
      </c>
    </row>
    <row r="3037" spans="1:4" x14ac:dyDescent="0.2">
      <c r="A3037" t="s">
        <v>4858</v>
      </c>
      <c r="B3037" s="2">
        <v>43138</v>
      </c>
      <c r="C3037" t="s">
        <v>2074</v>
      </c>
      <c r="D3037" t="s">
        <v>1829</v>
      </c>
    </row>
    <row r="3038" spans="1:4" x14ac:dyDescent="0.2">
      <c r="A3038" t="s">
        <v>4859</v>
      </c>
      <c r="B3038" s="2">
        <v>43210</v>
      </c>
      <c r="C3038" t="s">
        <v>2115</v>
      </c>
      <c r="D3038" t="s">
        <v>1804</v>
      </c>
    </row>
    <row r="3039" spans="1:4" x14ac:dyDescent="0.2">
      <c r="A3039" t="s">
        <v>4860</v>
      </c>
      <c r="B3039" s="2">
        <v>43130</v>
      </c>
      <c r="C3039" t="s">
        <v>1816</v>
      </c>
      <c r="D3039" t="s">
        <v>1810</v>
      </c>
    </row>
    <row r="3040" spans="1:4" x14ac:dyDescent="0.2">
      <c r="A3040" t="s">
        <v>4861</v>
      </c>
      <c r="B3040" s="2">
        <v>43248</v>
      </c>
      <c r="C3040" t="s">
        <v>1867</v>
      </c>
      <c r="D3040" t="s">
        <v>1810</v>
      </c>
    </row>
    <row r="3041" spans="1:4" x14ac:dyDescent="0.2">
      <c r="A3041" t="s">
        <v>4862</v>
      </c>
      <c r="B3041" s="2">
        <v>43235</v>
      </c>
      <c r="C3041" t="s">
        <v>1818</v>
      </c>
      <c r="D3041" t="s">
        <v>1031</v>
      </c>
    </row>
    <row r="3042" spans="1:4" x14ac:dyDescent="0.2">
      <c r="A3042" t="s">
        <v>4863</v>
      </c>
      <c r="B3042" s="2">
        <v>42966</v>
      </c>
      <c r="C3042" t="s">
        <v>1859</v>
      </c>
      <c r="D3042" t="s">
        <v>1810</v>
      </c>
    </row>
    <row r="3043" spans="1:4" x14ac:dyDescent="0.2">
      <c r="A3043" t="s">
        <v>4864</v>
      </c>
      <c r="B3043" s="2">
        <v>43103</v>
      </c>
      <c r="C3043" t="s">
        <v>1831</v>
      </c>
      <c r="D3043" t="s">
        <v>1807</v>
      </c>
    </row>
    <row r="3044" spans="1:4" x14ac:dyDescent="0.2">
      <c r="A3044" t="s">
        <v>4865</v>
      </c>
      <c r="B3044" s="2">
        <v>43166</v>
      </c>
      <c r="C3044" t="s">
        <v>1803</v>
      </c>
      <c r="D3044" t="s">
        <v>1804</v>
      </c>
    </row>
    <row r="3045" spans="1:4" x14ac:dyDescent="0.2">
      <c r="A3045" t="s">
        <v>4866</v>
      </c>
      <c r="B3045" s="2">
        <v>43107</v>
      </c>
      <c r="C3045" t="s">
        <v>2242</v>
      </c>
      <c r="D3045" t="s">
        <v>1804</v>
      </c>
    </row>
    <row r="3046" spans="1:4" x14ac:dyDescent="0.2">
      <c r="A3046" t="s">
        <v>4867</v>
      </c>
      <c r="B3046" s="2">
        <v>43152</v>
      </c>
      <c r="C3046" t="s">
        <v>1809</v>
      </c>
      <c r="D3046" t="s">
        <v>1810</v>
      </c>
    </row>
    <row r="3047" spans="1:4" x14ac:dyDescent="0.2">
      <c r="A3047" t="s">
        <v>4868</v>
      </c>
      <c r="B3047" s="2">
        <v>43013</v>
      </c>
      <c r="C3047" t="s">
        <v>1867</v>
      </c>
      <c r="D3047" t="s">
        <v>1840</v>
      </c>
    </row>
    <row r="3048" spans="1:4" x14ac:dyDescent="0.2">
      <c r="A3048" t="s">
        <v>4869</v>
      </c>
      <c r="B3048" s="2">
        <v>43228</v>
      </c>
      <c r="C3048" t="s">
        <v>2254</v>
      </c>
      <c r="D3048" t="s">
        <v>1810</v>
      </c>
    </row>
    <row r="3049" spans="1:4" x14ac:dyDescent="0.2">
      <c r="A3049" t="s">
        <v>4870</v>
      </c>
      <c r="B3049" s="2">
        <v>43104</v>
      </c>
      <c r="C3049" t="s">
        <v>1867</v>
      </c>
      <c r="D3049" t="s">
        <v>1829</v>
      </c>
    </row>
    <row r="3050" spans="1:4" x14ac:dyDescent="0.2">
      <c r="A3050" t="s">
        <v>4871</v>
      </c>
      <c r="B3050" s="2">
        <v>43181</v>
      </c>
      <c r="C3050" t="s">
        <v>1867</v>
      </c>
      <c r="D3050" t="s">
        <v>1810</v>
      </c>
    </row>
    <row r="3051" spans="1:4" x14ac:dyDescent="0.2">
      <c r="A3051" t="s">
        <v>4872</v>
      </c>
      <c r="B3051" s="2">
        <v>43243</v>
      </c>
      <c r="C3051" t="s">
        <v>1867</v>
      </c>
      <c r="D3051" t="s">
        <v>1813</v>
      </c>
    </row>
    <row r="3052" spans="1:4" x14ac:dyDescent="0.2">
      <c r="A3052" t="s">
        <v>4873</v>
      </c>
      <c r="B3052" s="2">
        <v>43136</v>
      </c>
      <c r="C3052" t="s">
        <v>1816</v>
      </c>
      <c r="D3052" t="s">
        <v>1807</v>
      </c>
    </row>
    <row r="3053" spans="1:4" x14ac:dyDescent="0.2">
      <c r="A3053" t="s">
        <v>4874</v>
      </c>
      <c r="B3053" s="2">
        <v>43107</v>
      </c>
      <c r="C3053" t="s">
        <v>1831</v>
      </c>
      <c r="D3053" t="s">
        <v>1810</v>
      </c>
    </row>
    <row r="3054" spans="1:4" x14ac:dyDescent="0.2">
      <c r="A3054" t="s">
        <v>4875</v>
      </c>
      <c r="B3054" s="2">
        <v>43131</v>
      </c>
      <c r="C3054" t="s">
        <v>2163</v>
      </c>
      <c r="D3054" t="s">
        <v>1810</v>
      </c>
    </row>
    <row r="3055" spans="1:4" x14ac:dyDescent="0.2">
      <c r="A3055" t="s">
        <v>4876</v>
      </c>
      <c r="B3055" s="2">
        <v>43185</v>
      </c>
      <c r="C3055" t="s">
        <v>2000</v>
      </c>
      <c r="D3055" t="s">
        <v>1807</v>
      </c>
    </row>
    <row r="3056" spans="1:4" x14ac:dyDescent="0.2">
      <c r="A3056" t="s">
        <v>4877</v>
      </c>
      <c r="B3056" s="2">
        <v>43220</v>
      </c>
      <c r="C3056" t="s">
        <v>1998</v>
      </c>
      <c r="D3056" t="s">
        <v>1807</v>
      </c>
    </row>
    <row r="3057" spans="1:4" x14ac:dyDescent="0.2">
      <c r="A3057" t="s">
        <v>4878</v>
      </c>
      <c r="B3057" s="2">
        <v>43146</v>
      </c>
      <c r="C3057" t="s">
        <v>1816</v>
      </c>
      <c r="D3057" t="s">
        <v>1810</v>
      </c>
    </row>
    <row r="3058" spans="1:4" x14ac:dyDescent="0.2">
      <c r="A3058" t="s">
        <v>4879</v>
      </c>
      <c r="B3058" s="2">
        <v>43215</v>
      </c>
      <c r="C3058" t="s">
        <v>1909</v>
      </c>
      <c r="D3058" t="s">
        <v>1840</v>
      </c>
    </row>
    <row r="3059" spans="1:4" x14ac:dyDescent="0.2">
      <c r="A3059" t="s">
        <v>4880</v>
      </c>
      <c r="B3059" s="2">
        <v>43196</v>
      </c>
      <c r="C3059" t="s">
        <v>2998</v>
      </c>
      <c r="D3059" t="s">
        <v>1810</v>
      </c>
    </row>
    <row r="3060" spans="1:4" x14ac:dyDescent="0.2">
      <c r="A3060" t="s">
        <v>4881</v>
      </c>
      <c r="B3060" s="2">
        <v>43012</v>
      </c>
      <c r="C3060" t="s">
        <v>4882</v>
      </c>
      <c r="D3060" t="s">
        <v>1813</v>
      </c>
    </row>
    <row r="3061" spans="1:4" x14ac:dyDescent="0.2">
      <c r="A3061" t="s">
        <v>4883</v>
      </c>
      <c r="B3061" s="2">
        <v>43111</v>
      </c>
      <c r="C3061" t="s">
        <v>1907</v>
      </c>
      <c r="D3061" t="s">
        <v>1807</v>
      </c>
    </row>
    <row r="3062" spans="1:4" x14ac:dyDescent="0.2">
      <c r="A3062" t="s">
        <v>4884</v>
      </c>
      <c r="B3062" s="2">
        <v>43242</v>
      </c>
      <c r="C3062" t="s">
        <v>2066</v>
      </c>
      <c r="D3062" t="s">
        <v>1813</v>
      </c>
    </row>
    <row r="3063" spans="1:4" x14ac:dyDescent="0.2">
      <c r="A3063" t="s">
        <v>4885</v>
      </c>
      <c r="B3063" s="2">
        <v>42933</v>
      </c>
      <c r="C3063" t="s">
        <v>1836</v>
      </c>
      <c r="D3063" t="s">
        <v>1031</v>
      </c>
    </row>
    <row r="3064" spans="1:4" x14ac:dyDescent="0.2">
      <c r="A3064" t="s">
        <v>710</v>
      </c>
      <c r="B3064" s="2">
        <v>43158</v>
      </c>
      <c r="C3064" t="s">
        <v>1816</v>
      </c>
      <c r="D3064" t="s">
        <v>1810</v>
      </c>
    </row>
    <row r="3065" spans="1:4" x14ac:dyDescent="0.2">
      <c r="A3065" t="s">
        <v>4886</v>
      </c>
      <c r="B3065" s="2">
        <v>43122</v>
      </c>
      <c r="C3065" t="s">
        <v>1812</v>
      </c>
      <c r="D3065" t="s">
        <v>1813</v>
      </c>
    </row>
    <row r="3066" spans="1:4" x14ac:dyDescent="0.2">
      <c r="A3066" t="s">
        <v>4887</v>
      </c>
      <c r="B3066" s="2">
        <v>43147</v>
      </c>
      <c r="C3066" t="s">
        <v>1867</v>
      </c>
      <c r="D3066" t="s">
        <v>1810</v>
      </c>
    </row>
    <row r="3067" spans="1:4" x14ac:dyDescent="0.2">
      <c r="A3067" t="s">
        <v>4888</v>
      </c>
      <c r="B3067" s="2">
        <v>43222</v>
      </c>
      <c r="C3067" t="s">
        <v>1827</v>
      </c>
      <c r="D3067" t="s">
        <v>1807</v>
      </c>
    </row>
    <row r="3068" spans="1:4" x14ac:dyDescent="0.2">
      <c r="A3068" t="s">
        <v>712</v>
      </c>
      <c r="B3068" s="2">
        <v>43193</v>
      </c>
      <c r="C3068" t="s">
        <v>1859</v>
      </c>
      <c r="D3068" t="s">
        <v>1810</v>
      </c>
    </row>
    <row r="3069" spans="1:4" x14ac:dyDescent="0.2">
      <c r="A3069" t="s">
        <v>4889</v>
      </c>
      <c r="B3069" s="2">
        <v>43166</v>
      </c>
      <c r="C3069" t="s">
        <v>1803</v>
      </c>
      <c r="D3069" t="s">
        <v>1910</v>
      </c>
    </row>
    <row r="3070" spans="1:4" x14ac:dyDescent="0.2">
      <c r="A3070" t="s">
        <v>4890</v>
      </c>
      <c r="B3070" s="2">
        <v>42948</v>
      </c>
      <c r="C3070" t="s">
        <v>1836</v>
      </c>
      <c r="D3070" t="s">
        <v>1031</v>
      </c>
    </row>
    <row r="3071" spans="1:4" x14ac:dyDescent="0.2">
      <c r="A3071" t="s">
        <v>4891</v>
      </c>
      <c r="B3071" s="2">
        <v>43122</v>
      </c>
      <c r="C3071" t="s">
        <v>1816</v>
      </c>
      <c r="D3071" t="s">
        <v>1810</v>
      </c>
    </row>
    <row r="3072" spans="1:4" x14ac:dyDescent="0.2">
      <c r="A3072" t="s">
        <v>4892</v>
      </c>
      <c r="B3072" s="2">
        <v>43171</v>
      </c>
      <c r="C3072" t="s">
        <v>3333</v>
      </c>
      <c r="D3072" t="s">
        <v>160</v>
      </c>
    </row>
    <row r="3073" spans="1:4" x14ac:dyDescent="0.2">
      <c r="A3073" t="s">
        <v>4893</v>
      </c>
      <c r="B3073" s="2">
        <v>43240</v>
      </c>
      <c r="C3073" t="s">
        <v>1825</v>
      </c>
      <c r="D3073" t="s">
        <v>1810</v>
      </c>
    </row>
    <row r="3074" spans="1:4" x14ac:dyDescent="0.2">
      <c r="A3074" t="s">
        <v>4894</v>
      </c>
      <c r="B3074" s="2">
        <v>42939</v>
      </c>
      <c r="C3074" t="s">
        <v>2559</v>
      </c>
      <c r="D3074" t="s">
        <v>1810</v>
      </c>
    </row>
    <row r="3075" spans="1:4" x14ac:dyDescent="0.2">
      <c r="A3075" t="s">
        <v>4895</v>
      </c>
      <c r="B3075" s="2">
        <v>43218</v>
      </c>
      <c r="C3075" t="s">
        <v>4896</v>
      </c>
      <c r="D3075" t="s">
        <v>1804</v>
      </c>
    </row>
    <row r="3076" spans="1:4" x14ac:dyDescent="0.2">
      <c r="A3076" t="s">
        <v>4897</v>
      </c>
      <c r="B3076" s="2">
        <v>43107</v>
      </c>
      <c r="C3076" t="s">
        <v>1921</v>
      </c>
      <c r="D3076" t="s">
        <v>1810</v>
      </c>
    </row>
    <row r="3077" spans="1:4" x14ac:dyDescent="0.2">
      <c r="A3077" t="s">
        <v>4898</v>
      </c>
      <c r="B3077" s="2">
        <v>43234</v>
      </c>
      <c r="C3077" t="s">
        <v>1998</v>
      </c>
      <c r="D3077" t="s">
        <v>1807</v>
      </c>
    </row>
    <row r="3078" spans="1:4" x14ac:dyDescent="0.2">
      <c r="A3078" t="s">
        <v>4899</v>
      </c>
      <c r="B3078" s="2">
        <v>42995</v>
      </c>
      <c r="C3078" t="s">
        <v>1816</v>
      </c>
      <c r="D3078" t="s">
        <v>1031</v>
      </c>
    </row>
    <row r="3079" spans="1:4" x14ac:dyDescent="0.2">
      <c r="A3079" t="s">
        <v>4900</v>
      </c>
      <c r="B3079" s="2">
        <v>43063</v>
      </c>
      <c r="C3079" t="s">
        <v>1905</v>
      </c>
      <c r="D3079" t="s">
        <v>1840</v>
      </c>
    </row>
    <row r="3080" spans="1:4" x14ac:dyDescent="0.2">
      <c r="A3080" t="s">
        <v>4901</v>
      </c>
      <c r="B3080" s="2">
        <v>43105</v>
      </c>
      <c r="C3080" t="s">
        <v>1816</v>
      </c>
      <c r="D3080" t="s">
        <v>1810</v>
      </c>
    </row>
    <row r="3081" spans="1:4" x14ac:dyDescent="0.2">
      <c r="A3081" t="s">
        <v>4902</v>
      </c>
      <c r="B3081" s="2">
        <v>42999</v>
      </c>
      <c r="C3081" t="s">
        <v>1838</v>
      </c>
      <c r="D3081" t="s">
        <v>1807</v>
      </c>
    </row>
    <row r="3082" spans="1:4" x14ac:dyDescent="0.2">
      <c r="A3082" t="s">
        <v>4903</v>
      </c>
      <c r="B3082" s="2">
        <v>43219</v>
      </c>
      <c r="C3082" t="s">
        <v>1857</v>
      </c>
      <c r="D3082" t="s">
        <v>1840</v>
      </c>
    </row>
    <row r="3083" spans="1:4" x14ac:dyDescent="0.2">
      <c r="A3083" t="s">
        <v>4904</v>
      </c>
      <c r="B3083" s="2">
        <v>43127</v>
      </c>
      <c r="C3083" t="s">
        <v>1930</v>
      </c>
      <c r="D3083" t="s">
        <v>1807</v>
      </c>
    </row>
    <row r="3084" spans="1:4" x14ac:dyDescent="0.2">
      <c r="A3084" t="s">
        <v>4905</v>
      </c>
      <c r="B3084" s="2">
        <v>43081</v>
      </c>
      <c r="C3084" t="s">
        <v>2152</v>
      </c>
      <c r="D3084" t="s">
        <v>1804</v>
      </c>
    </row>
    <row r="3085" spans="1:4" x14ac:dyDescent="0.2">
      <c r="A3085" t="s">
        <v>4906</v>
      </c>
      <c r="B3085" s="2">
        <v>43044</v>
      </c>
      <c r="C3085" t="s">
        <v>1803</v>
      </c>
      <c r="D3085" t="s">
        <v>1804</v>
      </c>
    </row>
    <row r="3086" spans="1:4" x14ac:dyDescent="0.2">
      <c r="A3086" t="s">
        <v>715</v>
      </c>
      <c r="B3086" s="2">
        <v>43106</v>
      </c>
      <c r="C3086" t="s">
        <v>4907</v>
      </c>
      <c r="D3086" t="s">
        <v>1810</v>
      </c>
    </row>
    <row r="3087" spans="1:4" x14ac:dyDescent="0.2">
      <c r="A3087" t="s">
        <v>4908</v>
      </c>
      <c r="B3087" s="2">
        <v>43235</v>
      </c>
      <c r="C3087" t="s">
        <v>1928</v>
      </c>
      <c r="D3087" t="s">
        <v>1810</v>
      </c>
    </row>
    <row r="3088" spans="1:4" x14ac:dyDescent="0.2">
      <c r="A3088" t="s">
        <v>4909</v>
      </c>
      <c r="B3088" s="2">
        <v>43209</v>
      </c>
      <c r="C3088" t="s">
        <v>1809</v>
      </c>
      <c r="D3088" t="s">
        <v>1810</v>
      </c>
    </row>
    <row r="3089" spans="1:4" x14ac:dyDescent="0.2">
      <c r="A3089" t="s">
        <v>4910</v>
      </c>
      <c r="B3089" s="2">
        <v>43242</v>
      </c>
      <c r="C3089" t="s">
        <v>2048</v>
      </c>
      <c r="D3089" t="s">
        <v>1031</v>
      </c>
    </row>
    <row r="3090" spans="1:4" x14ac:dyDescent="0.2">
      <c r="A3090" t="s">
        <v>4911</v>
      </c>
      <c r="B3090" s="2">
        <v>43152</v>
      </c>
      <c r="C3090" t="s">
        <v>1987</v>
      </c>
      <c r="D3090" t="s">
        <v>1807</v>
      </c>
    </row>
    <row r="3091" spans="1:4" x14ac:dyDescent="0.2">
      <c r="A3091" t="s">
        <v>4912</v>
      </c>
      <c r="B3091" s="2">
        <v>43047</v>
      </c>
      <c r="C3091" t="s">
        <v>1803</v>
      </c>
      <c r="D3091" t="s">
        <v>1804</v>
      </c>
    </row>
    <row r="3092" spans="1:4" x14ac:dyDescent="0.2">
      <c r="A3092" t="s">
        <v>4913</v>
      </c>
      <c r="B3092" s="2">
        <v>42983</v>
      </c>
      <c r="C3092" t="s">
        <v>2196</v>
      </c>
      <c r="D3092" t="s">
        <v>1810</v>
      </c>
    </row>
    <row r="3093" spans="1:4" x14ac:dyDescent="0.2">
      <c r="A3093" t="s">
        <v>4914</v>
      </c>
      <c r="B3093" s="2">
        <v>43147</v>
      </c>
      <c r="C3093" t="s">
        <v>1930</v>
      </c>
      <c r="D3093" t="s">
        <v>1807</v>
      </c>
    </row>
    <row r="3094" spans="1:4" x14ac:dyDescent="0.2">
      <c r="A3094" t="s">
        <v>4915</v>
      </c>
      <c r="B3094" s="2">
        <v>42926</v>
      </c>
      <c r="C3094" t="s">
        <v>1880</v>
      </c>
      <c r="D3094" t="s">
        <v>1810</v>
      </c>
    </row>
    <row r="3095" spans="1:4" x14ac:dyDescent="0.2">
      <c r="A3095" t="s">
        <v>4916</v>
      </c>
      <c r="B3095" s="2">
        <v>42990</v>
      </c>
      <c r="C3095" t="s">
        <v>1971</v>
      </c>
      <c r="D3095" t="s">
        <v>1813</v>
      </c>
    </row>
    <row r="3096" spans="1:4" x14ac:dyDescent="0.2">
      <c r="A3096" t="s">
        <v>4917</v>
      </c>
      <c r="B3096" s="2">
        <v>43129</v>
      </c>
      <c r="C3096" t="s">
        <v>1987</v>
      </c>
      <c r="D3096" t="s">
        <v>1031</v>
      </c>
    </row>
    <row r="3097" spans="1:4" x14ac:dyDescent="0.2">
      <c r="A3097" t="s">
        <v>4918</v>
      </c>
      <c r="B3097" s="2">
        <v>43212</v>
      </c>
      <c r="C3097" t="s">
        <v>1863</v>
      </c>
      <c r="D3097" t="s">
        <v>1804</v>
      </c>
    </row>
    <row r="3098" spans="1:4" x14ac:dyDescent="0.2">
      <c r="A3098" t="s">
        <v>4919</v>
      </c>
      <c r="B3098" s="2">
        <v>43188</v>
      </c>
      <c r="C3098" t="s">
        <v>1836</v>
      </c>
      <c r="D3098" t="s">
        <v>1031</v>
      </c>
    </row>
    <row r="3099" spans="1:4" x14ac:dyDescent="0.2">
      <c r="A3099" t="s">
        <v>717</v>
      </c>
      <c r="B3099" s="2">
        <v>43242</v>
      </c>
      <c r="C3099" t="s">
        <v>1825</v>
      </c>
      <c r="D3099" t="s">
        <v>1829</v>
      </c>
    </row>
    <row r="3100" spans="1:4" x14ac:dyDescent="0.2">
      <c r="A3100" t="s">
        <v>4920</v>
      </c>
      <c r="B3100" s="2">
        <v>43192</v>
      </c>
      <c r="C3100" t="s">
        <v>1863</v>
      </c>
      <c r="D3100" t="s">
        <v>1804</v>
      </c>
    </row>
    <row r="3101" spans="1:4" x14ac:dyDescent="0.2">
      <c r="A3101" t="s">
        <v>4921</v>
      </c>
      <c r="B3101" s="2">
        <v>43225</v>
      </c>
      <c r="C3101" t="s">
        <v>1996</v>
      </c>
      <c r="D3101" t="s">
        <v>1804</v>
      </c>
    </row>
    <row r="3102" spans="1:4" x14ac:dyDescent="0.2">
      <c r="A3102" t="s">
        <v>719</v>
      </c>
      <c r="B3102" s="2">
        <v>43108</v>
      </c>
      <c r="C3102" t="s">
        <v>1905</v>
      </c>
      <c r="D3102" t="s">
        <v>1840</v>
      </c>
    </row>
    <row r="3103" spans="1:4" x14ac:dyDescent="0.2">
      <c r="A3103" t="s">
        <v>4922</v>
      </c>
      <c r="B3103" s="2">
        <v>43117</v>
      </c>
      <c r="C3103" t="s">
        <v>1825</v>
      </c>
      <c r="D3103" t="s">
        <v>1810</v>
      </c>
    </row>
    <row r="3104" spans="1:4" x14ac:dyDescent="0.2">
      <c r="A3104" t="s">
        <v>4923</v>
      </c>
      <c r="B3104" s="2">
        <v>43063</v>
      </c>
      <c r="C3104" t="s">
        <v>1905</v>
      </c>
      <c r="D3104" t="s">
        <v>1031</v>
      </c>
    </row>
    <row r="3105" spans="1:4" x14ac:dyDescent="0.2">
      <c r="A3105" t="s">
        <v>4924</v>
      </c>
      <c r="B3105" s="2">
        <v>43238</v>
      </c>
      <c r="C3105" t="s">
        <v>1863</v>
      </c>
      <c r="D3105" t="s">
        <v>1804</v>
      </c>
    </row>
    <row r="3106" spans="1:4" x14ac:dyDescent="0.2">
      <c r="A3106" t="s">
        <v>4925</v>
      </c>
      <c r="B3106" s="2">
        <v>43228</v>
      </c>
      <c r="C3106" t="s">
        <v>2382</v>
      </c>
      <c r="D3106" t="s">
        <v>1810</v>
      </c>
    </row>
    <row r="3107" spans="1:4" x14ac:dyDescent="0.2">
      <c r="A3107" t="s">
        <v>4926</v>
      </c>
      <c r="B3107" s="2">
        <v>43149</v>
      </c>
      <c r="C3107" t="s">
        <v>1865</v>
      </c>
      <c r="D3107" t="s">
        <v>1810</v>
      </c>
    </row>
    <row r="3108" spans="1:4" x14ac:dyDescent="0.2">
      <c r="A3108" t="s">
        <v>4927</v>
      </c>
      <c r="B3108" s="2">
        <v>42944</v>
      </c>
      <c r="C3108" t="s">
        <v>2433</v>
      </c>
      <c r="D3108" t="s">
        <v>1804</v>
      </c>
    </row>
    <row r="3109" spans="1:4" x14ac:dyDescent="0.2">
      <c r="A3109" t="s">
        <v>4928</v>
      </c>
      <c r="B3109" s="2">
        <v>43003</v>
      </c>
      <c r="C3109" t="s">
        <v>1921</v>
      </c>
      <c r="D3109" t="s">
        <v>1031</v>
      </c>
    </row>
    <row r="3110" spans="1:4" x14ac:dyDescent="0.2">
      <c r="A3110" t="s">
        <v>4929</v>
      </c>
      <c r="B3110" s="2">
        <v>42954</v>
      </c>
      <c r="C3110" t="s">
        <v>1836</v>
      </c>
      <c r="D3110" t="s">
        <v>1031</v>
      </c>
    </row>
    <row r="3111" spans="1:4" x14ac:dyDescent="0.2">
      <c r="A3111" t="s">
        <v>4930</v>
      </c>
      <c r="B3111" s="2">
        <v>43214</v>
      </c>
      <c r="C3111" t="s">
        <v>1828</v>
      </c>
      <c r="D3111" t="s">
        <v>1807</v>
      </c>
    </row>
    <row r="3112" spans="1:4" x14ac:dyDescent="0.2">
      <c r="A3112" t="s">
        <v>4931</v>
      </c>
      <c r="B3112" s="2">
        <v>43136</v>
      </c>
      <c r="C3112" t="s">
        <v>1836</v>
      </c>
      <c r="D3112" t="s">
        <v>1031</v>
      </c>
    </row>
    <row r="3113" spans="1:4" x14ac:dyDescent="0.2">
      <c r="A3113" t="s">
        <v>4932</v>
      </c>
      <c r="B3113" s="2">
        <v>43251</v>
      </c>
      <c r="C3113" t="s">
        <v>1816</v>
      </c>
      <c r="D3113" t="s">
        <v>1840</v>
      </c>
    </row>
    <row r="3114" spans="1:4" x14ac:dyDescent="0.2">
      <c r="A3114" t="s">
        <v>4933</v>
      </c>
      <c r="B3114" s="2">
        <v>43235</v>
      </c>
      <c r="C3114" t="s">
        <v>1818</v>
      </c>
      <c r="D3114" t="s">
        <v>1813</v>
      </c>
    </row>
    <row r="3115" spans="1:4" x14ac:dyDescent="0.2">
      <c r="A3115" t="s">
        <v>4934</v>
      </c>
      <c r="B3115" s="2">
        <v>43139</v>
      </c>
      <c r="C3115" t="s">
        <v>1816</v>
      </c>
      <c r="D3115" t="s">
        <v>1810</v>
      </c>
    </row>
    <row r="3116" spans="1:4" x14ac:dyDescent="0.2">
      <c r="A3116" t="s">
        <v>4935</v>
      </c>
      <c r="B3116" s="2">
        <v>43210</v>
      </c>
      <c r="C3116" t="s">
        <v>1836</v>
      </c>
      <c r="D3116" t="s">
        <v>1804</v>
      </c>
    </row>
    <row r="3117" spans="1:4" x14ac:dyDescent="0.2">
      <c r="A3117" t="s">
        <v>4936</v>
      </c>
      <c r="B3117" s="2">
        <v>43113</v>
      </c>
      <c r="C3117" t="s">
        <v>1816</v>
      </c>
      <c r="D3117" t="s">
        <v>1807</v>
      </c>
    </row>
    <row r="3118" spans="1:4" x14ac:dyDescent="0.2">
      <c r="A3118" t="s">
        <v>4937</v>
      </c>
      <c r="B3118" s="2">
        <v>43063</v>
      </c>
      <c r="C3118" t="s">
        <v>1902</v>
      </c>
      <c r="D3118" t="s">
        <v>1840</v>
      </c>
    </row>
    <row r="3119" spans="1:4" x14ac:dyDescent="0.2">
      <c r="A3119" t="s">
        <v>4938</v>
      </c>
      <c r="B3119" s="2">
        <v>43240</v>
      </c>
      <c r="C3119" t="s">
        <v>1867</v>
      </c>
      <c r="D3119" t="s">
        <v>1807</v>
      </c>
    </row>
    <row r="3120" spans="1:4" x14ac:dyDescent="0.2">
      <c r="A3120" t="s">
        <v>4939</v>
      </c>
      <c r="B3120" s="2">
        <v>43206</v>
      </c>
      <c r="C3120" t="s">
        <v>1831</v>
      </c>
      <c r="D3120" t="s">
        <v>1810</v>
      </c>
    </row>
    <row r="3121" spans="1:4" x14ac:dyDescent="0.2">
      <c r="A3121" t="s">
        <v>4940</v>
      </c>
      <c r="B3121" s="2">
        <v>42999</v>
      </c>
      <c r="C3121" t="s">
        <v>1825</v>
      </c>
      <c r="D3121" t="s">
        <v>1031</v>
      </c>
    </row>
    <row r="3122" spans="1:4" x14ac:dyDescent="0.2">
      <c r="A3122" t="s">
        <v>4941</v>
      </c>
      <c r="B3122" s="2">
        <v>43228</v>
      </c>
      <c r="C3122" t="s">
        <v>2521</v>
      </c>
      <c r="D3122" t="s">
        <v>1813</v>
      </c>
    </row>
    <row r="3123" spans="1:4" x14ac:dyDescent="0.2">
      <c r="A3123" t="s">
        <v>4942</v>
      </c>
      <c r="B3123" s="2">
        <v>43172</v>
      </c>
      <c r="C3123" t="s">
        <v>1825</v>
      </c>
      <c r="D3123" t="s">
        <v>1810</v>
      </c>
    </row>
    <row r="3124" spans="1:4" x14ac:dyDescent="0.2">
      <c r="A3124" t="s">
        <v>4943</v>
      </c>
      <c r="B3124" s="2">
        <v>42968</v>
      </c>
      <c r="C3124" t="s">
        <v>1885</v>
      </c>
      <c r="D3124" t="s">
        <v>1829</v>
      </c>
    </row>
    <row r="3125" spans="1:4" x14ac:dyDescent="0.2">
      <c r="A3125" t="s">
        <v>4944</v>
      </c>
      <c r="B3125" s="2">
        <v>43138</v>
      </c>
      <c r="C3125" t="s">
        <v>1816</v>
      </c>
      <c r="D3125" t="s">
        <v>1804</v>
      </c>
    </row>
    <row r="3126" spans="1:4" x14ac:dyDescent="0.2">
      <c r="A3126" t="s">
        <v>4945</v>
      </c>
      <c r="B3126" s="2">
        <v>43215</v>
      </c>
      <c r="C3126" t="s">
        <v>1909</v>
      </c>
      <c r="D3126" t="s">
        <v>1807</v>
      </c>
    </row>
    <row r="3127" spans="1:4" x14ac:dyDescent="0.2">
      <c r="A3127" t="s">
        <v>4946</v>
      </c>
      <c r="B3127" s="2">
        <v>43025</v>
      </c>
      <c r="C3127" t="s">
        <v>1836</v>
      </c>
      <c r="D3127" t="s">
        <v>1031</v>
      </c>
    </row>
    <row r="3128" spans="1:4" x14ac:dyDescent="0.2">
      <c r="A3128" t="s">
        <v>4947</v>
      </c>
      <c r="B3128" s="2">
        <v>43177</v>
      </c>
      <c r="C3128" t="s">
        <v>1809</v>
      </c>
      <c r="D3128" t="s">
        <v>1031</v>
      </c>
    </row>
    <row r="3129" spans="1:4" x14ac:dyDescent="0.2">
      <c r="A3129" t="s">
        <v>4948</v>
      </c>
      <c r="B3129" s="2">
        <v>43215</v>
      </c>
      <c r="C3129" t="s">
        <v>2158</v>
      </c>
      <c r="D3129" t="s">
        <v>1840</v>
      </c>
    </row>
    <row r="3130" spans="1:4" x14ac:dyDescent="0.2">
      <c r="A3130" t="s">
        <v>4949</v>
      </c>
      <c r="B3130" s="2">
        <v>43122</v>
      </c>
      <c r="C3130" t="s">
        <v>1812</v>
      </c>
      <c r="D3130" t="s">
        <v>1813</v>
      </c>
    </row>
    <row r="3131" spans="1:4" x14ac:dyDescent="0.2">
      <c r="A3131" t="s">
        <v>4950</v>
      </c>
      <c r="B3131" s="2">
        <v>43209</v>
      </c>
      <c r="C3131" t="s">
        <v>2158</v>
      </c>
      <c r="D3131" t="s">
        <v>1813</v>
      </c>
    </row>
    <row r="3132" spans="1:4" x14ac:dyDescent="0.2">
      <c r="A3132" t="s">
        <v>4951</v>
      </c>
      <c r="B3132" s="2">
        <v>43202</v>
      </c>
      <c r="C3132" t="s">
        <v>1863</v>
      </c>
      <c r="D3132" t="s">
        <v>1804</v>
      </c>
    </row>
    <row r="3133" spans="1:4" x14ac:dyDescent="0.2">
      <c r="A3133" t="s">
        <v>4952</v>
      </c>
      <c r="B3133" s="2">
        <v>42961</v>
      </c>
      <c r="C3133" t="s">
        <v>1825</v>
      </c>
      <c r="D3133" t="s">
        <v>1840</v>
      </c>
    </row>
    <row r="3134" spans="1:4" x14ac:dyDescent="0.2">
      <c r="A3134" t="s">
        <v>721</v>
      </c>
      <c r="B3134" s="2">
        <v>43158</v>
      </c>
      <c r="C3134" t="s">
        <v>1836</v>
      </c>
      <c r="D3134" t="s">
        <v>1031</v>
      </c>
    </row>
    <row r="3135" spans="1:4" x14ac:dyDescent="0.2">
      <c r="A3135" t="s">
        <v>4953</v>
      </c>
      <c r="B3135" s="2">
        <v>43152</v>
      </c>
      <c r="C3135" t="s">
        <v>2249</v>
      </c>
      <c r="D3135" t="s">
        <v>1807</v>
      </c>
    </row>
    <row r="3136" spans="1:4" x14ac:dyDescent="0.2">
      <c r="A3136" t="s">
        <v>4954</v>
      </c>
      <c r="B3136" s="2">
        <v>43236</v>
      </c>
      <c r="C3136" t="s">
        <v>1825</v>
      </c>
      <c r="D3136" t="s">
        <v>1829</v>
      </c>
    </row>
    <row r="3137" spans="1:4" x14ac:dyDescent="0.2">
      <c r="A3137" t="s">
        <v>4955</v>
      </c>
      <c r="B3137" s="2">
        <v>43157</v>
      </c>
      <c r="C3137" t="s">
        <v>2344</v>
      </c>
      <c r="D3137" t="s">
        <v>1813</v>
      </c>
    </row>
    <row r="3138" spans="1:4" x14ac:dyDescent="0.2">
      <c r="A3138" t="s">
        <v>4956</v>
      </c>
      <c r="B3138" s="2">
        <v>43168</v>
      </c>
      <c r="C3138" t="s">
        <v>1816</v>
      </c>
      <c r="D3138" t="s">
        <v>1807</v>
      </c>
    </row>
    <row r="3139" spans="1:4" x14ac:dyDescent="0.2">
      <c r="A3139" t="s">
        <v>4957</v>
      </c>
      <c r="B3139" s="2">
        <v>43074</v>
      </c>
      <c r="C3139" t="s">
        <v>1930</v>
      </c>
      <c r="D3139" t="s">
        <v>1807</v>
      </c>
    </row>
    <row r="3140" spans="1:4" x14ac:dyDescent="0.2">
      <c r="A3140" t="s">
        <v>4958</v>
      </c>
      <c r="B3140" s="2">
        <v>43166</v>
      </c>
      <c r="C3140" t="s">
        <v>1825</v>
      </c>
      <c r="D3140" t="s">
        <v>1810</v>
      </c>
    </row>
    <row r="3141" spans="1:4" x14ac:dyDescent="0.2">
      <c r="A3141" t="s">
        <v>723</v>
      </c>
      <c r="B3141" s="2">
        <v>43207</v>
      </c>
      <c r="C3141" t="s">
        <v>1816</v>
      </c>
      <c r="D3141" t="s">
        <v>1829</v>
      </c>
    </row>
    <row r="3142" spans="1:4" x14ac:dyDescent="0.2">
      <c r="A3142" t="s">
        <v>4959</v>
      </c>
      <c r="B3142" s="2">
        <v>43214</v>
      </c>
      <c r="C3142" t="s">
        <v>1836</v>
      </c>
      <c r="D3142" t="s">
        <v>1031</v>
      </c>
    </row>
    <row r="3143" spans="1:4" x14ac:dyDescent="0.2">
      <c r="A3143" t="s">
        <v>4960</v>
      </c>
      <c r="B3143" s="2">
        <v>43142</v>
      </c>
      <c r="C3143" t="s">
        <v>1921</v>
      </c>
      <c r="D3143" t="s">
        <v>1840</v>
      </c>
    </row>
    <row r="3144" spans="1:4" x14ac:dyDescent="0.2">
      <c r="A3144" t="s">
        <v>4961</v>
      </c>
      <c r="B3144" s="2">
        <v>43176</v>
      </c>
      <c r="C3144" t="s">
        <v>2023</v>
      </c>
      <c r="D3144" t="s">
        <v>1804</v>
      </c>
    </row>
    <row r="3145" spans="1:4" x14ac:dyDescent="0.2">
      <c r="A3145" t="s">
        <v>4962</v>
      </c>
      <c r="B3145" s="2">
        <v>43037</v>
      </c>
      <c r="C3145" t="s">
        <v>1803</v>
      </c>
      <c r="D3145" t="s">
        <v>1804</v>
      </c>
    </row>
    <row r="3146" spans="1:4" x14ac:dyDescent="0.2">
      <c r="A3146" t="s">
        <v>4963</v>
      </c>
      <c r="B3146" s="2">
        <v>43034</v>
      </c>
      <c r="C3146" t="s">
        <v>2294</v>
      </c>
      <c r="D3146" t="s">
        <v>1807</v>
      </c>
    </row>
    <row r="3147" spans="1:4" x14ac:dyDescent="0.2">
      <c r="A3147" t="s">
        <v>4964</v>
      </c>
      <c r="B3147" s="2">
        <v>43024</v>
      </c>
      <c r="C3147" t="s">
        <v>1889</v>
      </c>
      <c r="D3147" t="s">
        <v>1804</v>
      </c>
    </row>
    <row r="3148" spans="1:4" x14ac:dyDescent="0.2">
      <c r="A3148" t="s">
        <v>4965</v>
      </c>
      <c r="B3148" s="2">
        <v>43133</v>
      </c>
      <c r="C3148" t="s">
        <v>2163</v>
      </c>
      <c r="D3148" t="s">
        <v>1813</v>
      </c>
    </row>
    <row r="3149" spans="1:4" x14ac:dyDescent="0.2">
      <c r="A3149" t="s">
        <v>4966</v>
      </c>
      <c r="B3149" s="2">
        <v>43157</v>
      </c>
      <c r="C3149" t="s">
        <v>1825</v>
      </c>
      <c r="D3149" t="s">
        <v>1804</v>
      </c>
    </row>
    <row r="3150" spans="1:4" x14ac:dyDescent="0.2">
      <c r="A3150" t="s">
        <v>4967</v>
      </c>
      <c r="B3150" s="2">
        <v>43109</v>
      </c>
      <c r="C3150" t="s">
        <v>1803</v>
      </c>
      <c r="D3150" t="s">
        <v>1804</v>
      </c>
    </row>
    <row r="3151" spans="1:4" x14ac:dyDescent="0.2">
      <c r="A3151" t="s">
        <v>4968</v>
      </c>
      <c r="B3151" s="2">
        <v>43028</v>
      </c>
      <c r="C3151" t="s">
        <v>1939</v>
      </c>
      <c r="D3151" t="s">
        <v>1810</v>
      </c>
    </row>
    <row r="3152" spans="1:4" x14ac:dyDescent="0.2">
      <c r="A3152" t="s">
        <v>4969</v>
      </c>
      <c r="B3152" s="2">
        <v>43162</v>
      </c>
      <c r="C3152" t="s">
        <v>1816</v>
      </c>
      <c r="D3152" t="s">
        <v>1810</v>
      </c>
    </row>
    <row r="3153" spans="1:4" x14ac:dyDescent="0.2">
      <c r="A3153" t="s">
        <v>4970</v>
      </c>
      <c r="B3153" s="2">
        <v>43160</v>
      </c>
      <c r="C3153" t="s">
        <v>1816</v>
      </c>
      <c r="D3153" t="s">
        <v>1840</v>
      </c>
    </row>
    <row r="3154" spans="1:4" x14ac:dyDescent="0.2">
      <c r="A3154" t="s">
        <v>4971</v>
      </c>
      <c r="B3154" s="2">
        <v>43025</v>
      </c>
      <c r="C3154" t="s">
        <v>1825</v>
      </c>
      <c r="D3154" t="s">
        <v>1810</v>
      </c>
    </row>
    <row r="3155" spans="1:4" x14ac:dyDescent="0.2">
      <c r="A3155" t="s">
        <v>725</v>
      </c>
      <c r="B3155" s="2">
        <v>43174</v>
      </c>
      <c r="C3155" t="s">
        <v>1836</v>
      </c>
      <c r="D3155" t="s">
        <v>1031</v>
      </c>
    </row>
    <row r="3156" spans="1:4" x14ac:dyDescent="0.2">
      <c r="A3156" t="s">
        <v>4972</v>
      </c>
      <c r="B3156" s="2">
        <v>43194</v>
      </c>
      <c r="C3156" t="s">
        <v>2242</v>
      </c>
      <c r="D3156" t="s">
        <v>1829</v>
      </c>
    </row>
    <row r="3157" spans="1:4" x14ac:dyDescent="0.2">
      <c r="A3157" t="s">
        <v>4973</v>
      </c>
      <c r="B3157" s="2">
        <v>43195</v>
      </c>
      <c r="C3157" t="s">
        <v>1863</v>
      </c>
      <c r="D3157" t="s">
        <v>1804</v>
      </c>
    </row>
    <row r="3158" spans="1:4" x14ac:dyDescent="0.2">
      <c r="A3158" t="s">
        <v>4974</v>
      </c>
      <c r="B3158" s="2">
        <v>43231</v>
      </c>
      <c r="C3158" t="s">
        <v>1816</v>
      </c>
      <c r="D3158" t="s">
        <v>1840</v>
      </c>
    </row>
    <row r="3159" spans="1:4" x14ac:dyDescent="0.2">
      <c r="A3159" t="s">
        <v>4975</v>
      </c>
      <c r="B3159" s="2">
        <v>43230</v>
      </c>
      <c r="C3159" t="s">
        <v>2500</v>
      </c>
      <c r="D3159" t="s">
        <v>1840</v>
      </c>
    </row>
    <row r="3160" spans="1:4" x14ac:dyDescent="0.2">
      <c r="A3160" t="s">
        <v>4976</v>
      </c>
      <c r="B3160" s="2">
        <v>43119</v>
      </c>
      <c r="C3160" t="s">
        <v>1825</v>
      </c>
      <c r="D3160" t="s">
        <v>1810</v>
      </c>
    </row>
    <row r="3161" spans="1:4" x14ac:dyDescent="0.2">
      <c r="A3161" t="s">
        <v>4977</v>
      </c>
      <c r="B3161" s="2">
        <v>43094</v>
      </c>
      <c r="C3161" t="s">
        <v>1825</v>
      </c>
      <c r="D3161" t="s">
        <v>1840</v>
      </c>
    </row>
    <row r="3162" spans="1:4" x14ac:dyDescent="0.2">
      <c r="A3162" t="s">
        <v>4978</v>
      </c>
      <c r="B3162" s="2">
        <v>42993</v>
      </c>
      <c r="C3162" t="s">
        <v>2535</v>
      </c>
      <c r="D3162" t="s">
        <v>1807</v>
      </c>
    </row>
    <row r="3163" spans="1:4" x14ac:dyDescent="0.2">
      <c r="A3163" t="s">
        <v>4979</v>
      </c>
      <c r="B3163" s="2">
        <v>43154</v>
      </c>
      <c r="C3163" t="s">
        <v>2249</v>
      </c>
      <c r="D3163" t="s">
        <v>1810</v>
      </c>
    </row>
    <row r="3164" spans="1:4" x14ac:dyDescent="0.2">
      <c r="A3164" t="s">
        <v>4980</v>
      </c>
      <c r="B3164" s="2">
        <v>43199</v>
      </c>
      <c r="C3164" t="s">
        <v>1816</v>
      </c>
      <c r="D3164" t="s">
        <v>1810</v>
      </c>
    </row>
    <row r="3165" spans="1:4" x14ac:dyDescent="0.2">
      <c r="A3165" t="s">
        <v>4981</v>
      </c>
      <c r="B3165" s="2">
        <v>43217</v>
      </c>
      <c r="C3165" t="s">
        <v>1836</v>
      </c>
      <c r="D3165" t="s">
        <v>1807</v>
      </c>
    </row>
    <row r="3166" spans="1:4" x14ac:dyDescent="0.2">
      <c r="A3166" t="s">
        <v>4982</v>
      </c>
      <c r="B3166" s="2">
        <v>43154</v>
      </c>
      <c r="C3166" t="s">
        <v>1907</v>
      </c>
      <c r="D3166" t="s">
        <v>1807</v>
      </c>
    </row>
    <row r="3167" spans="1:4" x14ac:dyDescent="0.2">
      <c r="A3167" t="s">
        <v>4983</v>
      </c>
      <c r="B3167" s="2">
        <v>43214</v>
      </c>
      <c r="C3167" t="s">
        <v>2901</v>
      </c>
      <c r="D3167" t="s">
        <v>1807</v>
      </c>
    </row>
    <row r="3168" spans="1:4" x14ac:dyDescent="0.2">
      <c r="A3168" t="s">
        <v>4984</v>
      </c>
      <c r="B3168" s="2">
        <v>43250</v>
      </c>
      <c r="C3168" t="s">
        <v>1816</v>
      </c>
      <c r="D3168" t="s">
        <v>1807</v>
      </c>
    </row>
    <row r="3169" spans="1:4" x14ac:dyDescent="0.2">
      <c r="A3169" t="s">
        <v>4985</v>
      </c>
      <c r="B3169" s="2">
        <v>43153</v>
      </c>
      <c r="C3169" t="s">
        <v>1867</v>
      </c>
      <c r="D3169" t="s">
        <v>1829</v>
      </c>
    </row>
    <row r="3170" spans="1:4" x14ac:dyDescent="0.2">
      <c r="A3170" t="s">
        <v>4986</v>
      </c>
      <c r="B3170" s="2">
        <v>43200</v>
      </c>
      <c r="C3170" t="s">
        <v>1816</v>
      </c>
      <c r="D3170" t="s">
        <v>1810</v>
      </c>
    </row>
    <row r="3171" spans="1:4" x14ac:dyDescent="0.2">
      <c r="A3171" t="s">
        <v>4987</v>
      </c>
      <c r="B3171" s="2">
        <v>43199</v>
      </c>
      <c r="C3171" t="s">
        <v>1863</v>
      </c>
      <c r="D3171" t="s">
        <v>1804</v>
      </c>
    </row>
    <row r="3172" spans="1:4" x14ac:dyDescent="0.2">
      <c r="A3172" t="s">
        <v>4988</v>
      </c>
      <c r="B3172" s="2">
        <v>43246</v>
      </c>
      <c r="C3172" t="s">
        <v>1816</v>
      </c>
      <c r="D3172" t="s">
        <v>1807</v>
      </c>
    </row>
    <row r="3173" spans="1:4" x14ac:dyDescent="0.2">
      <c r="A3173" t="s">
        <v>727</v>
      </c>
      <c r="B3173" s="2">
        <v>43137</v>
      </c>
      <c r="C3173" t="s">
        <v>2242</v>
      </c>
      <c r="D3173" t="s">
        <v>1810</v>
      </c>
    </row>
    <row r="3174" spans="1:4" x14ac:dyDescent="0.2">
      <c r="A3174" t="s">
        <v>4989</v>
      </c>
      <c r="B3174" s="2">
        <v>43137</v>
      </c>
      <c r="C3174" t="s">
        <v>1845</v>
      </c>
      <c r="D3174" t="s">
        <v>1810</v>
      </c>
    </row>
    <row r="3175" spans="1:4" x14ac:dyDescent="0.2">
      <c r="A3175" t="s">
        <v>4990</v>
      </c>
      <c r="B3175" s="2">
        <v>42962</v>
      </c>
      <c r="C3175" t="s">
        <v>1894</v>
      </c>
      <c r="D3175" t="s">
        <v>1804</v>
      </c>
    </row>
    <row r="3176" spans="1:4" x14ac:dyDescent="0.2">
      <c r="A3176" t="s">
        <v>729</v>
      </c>
      <c r="B3176" s="2">
        <v>43157</v>
      </c>
      <c r="C3176" t="s">
        <v>2058</v>
      </c>
      <c r="D3176" t="s">
        <v>1807</v>
      </c>
    </row>
    <row r="3177" spans="1:4" x14ac:dyDescent="0.2">
      <c r="A3177" t="s">
        <v>4991</v>
      </c>
      <c r="B3177" s="2">
        <v>43228</v>
      </c>
      <c r="C3177" t="s">
        <v>2521</v>
      </c>
      <c r="D3177" t="s">
        <v>1813</v>
      </c>
    </row>
    <row r="3178" spans="1:4" x14ac:dyDescent="0.2">
      <c r="A3178" t="s">
        <v>4992</v>
      </c>
      <c r="B3178" s="2">
        <v>42951</v>
      </c>
      <c r="C3178" t="s">
        <v>2576</v>
      </c>
      <c r="D3178" t="s">
        <v>1840</v>
      </c>
    </row>
    <row r="3179" spans="1:4" x14ac:dyDescent="0.2">
      <c r="A3179" t="s">
        <v>4993</v>
      </c>
      <c r="B3179" s="2">
        <v>43018</v>
      </c>
      <c r="C3179" t="s">
        <v>1939</v>
      </c>
      <c r="D3179" t="s">
        <v>1810</v>
      </c>
    </row>
    <row r="3180" spans="1:4" x14ac:dyDescent="0.2">
      <c r="A3180" t="s">
        <v>4994</v>
      </c>
      <c r="B3180" s="2">
        <v>43238</v>
      </c>
      <c r="C3180" t="s">
        <v>1859</v>
      </c>
      <c r="D3180" t="s">
        <v>1810</v>
      </c>
    </row>
    <row r="3181" spans="1:4" x14ac:dyDescent="0.2">
      <c r="A3181" t="s">
        <v>4995</v>
      </c>
      <c r="B3181" s="2">
        <v>43206</v>
      </c>
      <c r="C3181" t="s">
        <v>2158</v>
      </c>
      <c r="D3181" t="s">
        <v>1807</v>
      </c>
    </row>
    <row r="3182" spans="1:4" x14ac:dyDescent="0.2">
      <c r="A3182" t="s">
        <v>4996</v>
      </c>
      <c r="B3182" s="2">
        <v>42939</v>
      </c>
      <c r="C3182" t="s">
        <v>1974</v>
      </c>
      <c r="D3182" t="s">
        <v>1849</v>
      </c>
    </row>
    <row r="3183" spans="1:4" x14ac:dyDescent="0.2">
      <c r="A3183" t="s">
        <v>4997</v>
      </c>
      <c r="B3183" s="2">
        <v>43229</v>
      </c>
      <c r="C3183" t="s">
        <v>1867</v>
      </c>
      <c r="D3183" t="s">
        <v>1813</v>
      </c>
    </row>
    <row r="3184" spans="1:4" x14ac:dyDescent="0.2">
      <c r="A3184" t="s">
        <v>4998</v>
      </c>
      <c r="B3184" s="2">
        <v>43224</v>
      </c>
      <c r="C3184" t="s">
        <v>1857</v>
      </c>
      <c r="D3184" t="s">
        <v>1804</v>
      </c>
    </row>
    <row r="3185" spans="1:4" x14ac:dyDescent="0.2">
      <c r="A3185" t="s">
        <v>4999</v>
      </c>
      <c r="B3185" s="2">
        <v>43184</v>
      </c>
      <c r="C3185" t="s">
        <v>1987</v>
      </c>
      <c r="D3185" t="s">
        <v>1807</v>
      </c>
    </row>
    <row r="3186" spans="1:4" x14ac:dyDescent="0.2">
      <c r="A3186" t="s">
        <v>5000</v>
      </c>
      <c r="B3186" s="2">
        <v>43170</v>
      </c>
      <c r="C3186" t="s">
        <v>1816</v>
      </c>
      <c r="D3186" t="s">
        <v>1810</v>
      </c>
    </row>
    <row r="3187" spans="1:4" x14ac:dyDescent="0.2">
      <c r="A3187" t="s">
        <v>5001</v>
      </c>
      <c r="B3187" s="2">
        <v>43130</v>
      </c>
      <c r="C3187" t="s">
        <v>2182</v>
      </c>
      <c r="D3187" t="s">
        <v>1810</v>
      </c>
    </row>
    <row r="3188" spans="1:4" x14ac:dyDescent="0.2">
      <c r="A3188" t="s">
        <v>5002</v>
      </c>
      <c r="B3188" s="2">
        <v>43192</v>
      </c>
      <c r="C3188" t="s">
        <v>2012</v>
      </c>
      <c r="D3188" t="s">
        <v>1807</v>
      </c>
    </row>
    <row r="3189" spans="1:4" x14ac:dyDescent="0.2">
      <c r="A3189" t="s">
        <v>5003</v>
      </c>
      <c r="B3189" s="2">
        <v>43034</v>
      </c>
      <c r="C3189" t="s">
        <v>2000</v>
      </c>
      <c r="D3189" t="s">
        <v>1810</v>
      </c>
    </row>
    <row r="3190" spans="1:4" x14ac:dyDescent="0.2">
      <c r="A3190" t="s">
        <v>5004</v>
      </c>
      <c r="B3190" s="2">
        <v>43224</v>
      </c>
      <c r="C3190" t="s">
        <v>1836</v>
      </c>
      <c r="D3190" t="s">
        <v>1031</v>
      </c>
    </row>
    <row r="3191" spans="1:4" x14ac:dyDescent="0.2">
      <c r="A3191" t="s">
        <v>5005</v>
      </c>
      <c r="B3191" s="2">
        <v>43249</v>
      </c>
      <c r="C3191" t="s">
        <v>1863</v>
      </c>
      <c r="D3191" t="s">
        <v>1804</v>
      </c>
    </row>
    <row r="3192" spans="1:4" x14ac:dyDescent="0.2">
      <c r="A3192" t="s">
        <v>5006</v>
      </c>
      <c r="B3192" s="2">
        <v>43244</v>
      </c>
      <c r="C3192" t="s">
        <v>1827</v>
      </c>
      <c r="D3192" t="s">
        <v>1807</v>
      </c>
    </row>
    <row r="3193" spans="1:4" x14ac:dyDescent="0.2">
      <c r="A3193" t="s">
        <v>731</v>
      </c>
      <c r="B3193" s="2">
        <v>43112</v>
      </c>
      <c r="C3193" t="s">
        <v>1816</v>
      </c>
      <c r="D3193" t="s">
        <v>1810</v>
      </c>
    </row>
    <row r="3194" spans="1:4" x14ac:dyDescent="0.2">
      <c r="A3194" t="s">
        <v>5007</v>
      </c>
      <c r="B3194" s="2">
        <v>42961</v>
      </c>
      <c r="C3194" t="s">
        <v>1892</v>
      </c>
      <c r="D3194" t="s">
        <v>1810</v>
      </c>
    </row>
    <row r="3195" spans="1:4" x14ac:dyDescent="0.2">
      <c r="A3195" t="s">
        <v>5008</v>
      </c>
      <c r="B3195" s="2">
        <v>43058</v>
      </c>
      <c r="C3195" t="s">
        <v>3732</v>
      </c>
      <c r="D3195" t="s">
        <v>1849</v>
      </c>
    </row>
    <row r="3196" spans="1:4" x14ac:dyDescent="0.2">
      <c r="A3196" t="s">
        <v>5009</v>
      </c>
      <c r="B3196" s="2">
        <v>42977</v>
      </c>
      <c r="C3196" t="s">
        <v>1836</v>
      </c>
      <c r="D3196" t="s">
        <v>1031</v>
      </c>
    </row>
    <row r="3197" spans="1:4" x14ac:dyDescent="0.2">
      <c r="A3197" t="s">
        <v>733</v>
      </c>
      <c r="B3197" s="2">
        <v>43112</v>
      </c>
      <c r="C3197" t="s">
        <v>2058</v>
      </c>
      <c r="D3197" t="s">
        <v>1807</v>
      </c>
    </row>
    <row r="3198" spans="1:4" x14ac:dyDescent="0.2">
      <c r="A3198" t="s">
        <v>5010</v>
      </c>
      <c r="B3198" s="2">
        <v>43102</v>
      </c>
      <c r="C3198" t="s">
        <v>1803</v>
      </c>
      <c r="D3198" t="s">
        <v>1804</v>
      </c>
    </row>
    <row r="3199" spans="1:4" x14ac:dyDescent="0.2">
      <c r="A3199" t="s">
        <v>5011</v>
      </c>
      <c r="B3199" s="2">
        <v>43163</v>
      </c>
      <c r="C3199" t="s">
        <v>1803</v>
      </c>
      <c r="D3199" t="s">
        <v>1804</v>
      </c>
    </row>
    <row r="3200" spans="1:4" x14ac:dyDescent="0.2">
      <c r="A3200" t="s">
        <v>5012</v>
      </c>
      <c r="B3200" s="2">
        <v>43053</v>
      </c>
      <c r="C3200" t="s">
        <v>1880</v>
      </c>
      <c r="D3200" t="s">
        <v>1813</v>
      </c>
    </row>
    <row r="3201" spans="1:4" x14ac:dyDescent="0.2">
      <c r="A3201" t="s">
        <v>5013</v>
      </c>
      <c r="B3201" s="2">
        <v>43037</v>
      </c>
      <c r="C3201" t="s">
        <v>1825</v>
      </c>
      <c r="D3201" t="s">
        <v>1807</v>
      </c>
    </row>
    <row r="3202" spans="1:4" x14ac:dyDescent="0.2">
      <c r="A3202" t="s">
        <v>5014</v>
      </c>
      <c r="B3202" s="2">
        <v>43234</v>
      </c>
      <c r="C3202" t="s">
        <v>1905</v>
      </c>
      <c r="D3202" t="s">
        <v>1829</v>
      </c>
    </row>
    <row r="3203" spans="1:4" x14ac:dyDescent="0.2">
      <c r="A3203" t="s">
        <v>735</v>
      </c>
      <c r="B3203" s="2">
        <v>43174</v>
      </c>
      <c r="C3203" t="s">
        <v>1928</v>
      </c>
      <c r="D3203" t="s">
        <v>1796</v>
      </c>
    </row>
    <row r="3204" spans="1:4" x14ac:dyDescent="0.2">
      <c r="A3204" t="s">
        <v>5015</v>
      </c>
      <c r="B3204" s="2">
        <v>43211</v>
      </c>
      <c r="C3204" t="s">
        <v>1863</v>
      </c>
      <c r="D3204" t="s">
        <v>1804</v>
      </c>
    </row>
    <row r="3205" spans="1:4" x14ac:dyDescent="0.2">
      <c r="A3205" t="s">
        <v>5016</v>
      </c>
      <c r="B3205" s="2">
        <v>43192</v>
      </c>
      <c r="C3205" t="s">
        <v>1836</v>
      </c>
      <c r="D3205" t="s">
        <v>1031</v>
      </c>
    </row>
    <row r="3206" spans="1:4" x14ac:dyDescent="0.2">
      <c r="A3206" t="s">
        <v>5017</v>
      </c>
      <c r="B3206" s="2">
        <v>43167</v>
      </c>
      <c r="C3206" t="s">
        <v>1987</v>
      </c>
      <c r="D3206" t="s">
        <v>1810</v>
      </c>
    </row>
    <row r="3207" spans="1:4" x14ac:dyDescent="0.2">
      <c r="A3207" t="s">
        <v>5018</v>
      </c>
      <c r="B3207" s="2">
        <v>43202</v>
      </c>
      <c r="C3207" t="s">
        <v>1863</v>
      </c>
      <c r="D3207" t="s">
        <v>1804</v>
      </c>
    </row>
    <row r="3208" spans="1:4" x14ac:dyDescent="0.2">
      <c r="A3208" t="s">
        <v>5019</v>
      </c>
      <c r="B3208" s="2">
        <v>43222</v>
      </c>
      <c r="C3208" t="s">
        <v>1905</v>
      </c>
      <c r="D3208" t="s">
        <v>1807</v>
      </c>
    </row>
    <row r="3209" spans="1:4" x14ac:dyDescent="0.2">
      <c r="A3209" t="s">
        <v>737</v>
      </c>
      <c r="B3209" s="2">
        <v>43200</v>
      </c>
      <c r="C3209" t="s">
        <v>2617</v>
      </c>
      <c r="D3209" t="s">
        <v>1829</v>
      </c>
    </row>
    <row r="3210" spans="1:4" x14ac:dyDescent="0.2">
      <c r="A3210" t="s">
        <v>5020</v>
      </c>
      <c r="B3210" s="2">
        <v>43032</v>
      </c>
      <c r="C3210" t="s">
        <v>2131</v>
      </c>
      <c r="D3210" t="s">
        <v>1807</v>
      </c>
    </row>
    <row r="3211" spans="1:4" x14ac:dyDescent="0.2">
      <c r="A3211" t="s">
        <v>5021</v>
      </c>
      <c r="B3211" s="2">
        <v>43168</v>
      </c>
      <c r="C3211" t="s">
        <v>1930</v>
      </c>
      <c r="D3211" t="s">
        <v>1810</v>
      </c>
    </row>
    <row r="3212" spans="1:4" x14ac:dyDescent="0.2">
      <c r="A3212" t="s">
        <v>5022</v>
      </c>
      <c r="B3212" s="2">
        <v>43136</v>
      </c>
      <c r="C3212" t="s">
        <v>1836</v>
      </c>
      <c r="D3212" t="s">
        <v>1031</v>
      </c>
    </row>
    <row r="3213" spans="1:4" x14ac:dyDescent="0.2">
      <c r="A3213" t="s">
        <v>5023</v>
      </c>
      <c r="B3213" s="2">
        <v>43175</v>
      </c>
      <c r="C3213" t="s">
        <v>2023</v>
      </c>
      <c r="D3213" t="s">
        <v>1804</v>
      </c>
    </row>
    <row r="3214" spans="1:4" x14ac:dyDescent="0.2">
      <c r="A3214" t="s">
        <v>5024</v>
      </c>
      <c r="B3214" s="2">
        <v>43197</v>
      </c>
      <c r="C3214" t="s">
        <v>1863</v>
      </c>
      <c r="D3214" t="s">
        <v>1804</v>
      </c>
    </row>
    <row r="3215" spans="1:4" x14ac:dyDescent="0.2">
      <c r="A3215" t="s">
        <v>5025</v>
      </c>
      <c r="B3215" s="2">
        <v>43166</v>
      </c>
      <c r="C3215" t="s">
        <v>1993</v>
      </c>
      <c r="D3215" t="s">
        <v>1804</v>
      </c>
    </row>
    <row r="3216" spans="1:4" x14ac:dyDescent="0.2">
      <c r="A3216" t="s">
        <v>5026</v>
      </c>
      <c r="B3216" s="2">
        <v>43104</v>
      </c>
      <c r="C3216" t="s">
        <v>1803</v>
      </c>
      <c r="D3216" t="s">
        <v>1804</v>
      </c>
    </row>
    <row r="3217" spans="1:4" x14ac:dyDescent="0.2">
      <c r="A3217" t="s">
        <v>5027</v>
      </c>
      <c r="B3217" s="2">
        <v>43059</v>
      </c>
      <c r="C3217" t="s">
        <v>2242</v>
      </c>
      <c r="D3217" t="s">
        <v>1810</v>
      </c>
    </row>
    <row r="3218" spans="1:4" x14ac:dyDescent="0.2">
      <c r="A3218" t="s">
        <v>5028</v>
      </c>
      <c r="B3218" s="2">
        <v>43062</v>
      </c>
      <c r="C3218" t="s">
        <v>2182</v>
      </c>
      <c r="D3218" t="s">
        <v>1031</v>
      </c>
    </row>
    <row r="3219" spans="1:4" x14ac:dyDescent="0.2">
      <c r="A3219" t="s">
        <v>5029</v>
      </c>
      <c r="B3219" s="2">
        <v>43139</v>
      </c>
      <c r="C3219" t="s">
        <v>1831</v>
      </c>
      <c r="D3219" t="s">
        <v>1840</v>
      </c>
    </row>
    <row r="3220" spans="1:4" x14ac:dyDescent="0.2">
      <c r="A3220" t="s">
        <v>5030</v>
      </c>
      <c r="B3220" s="2">
        <v>43160</v>
      </c>
      <c r="C3220" t="s">
        <v>1905</v>
      </c>
      <c r="D3220" t="s">
        <v>1807</v>
      </c>
    </row>
    <row r="3221" spans="1:4" x14ac:dyDescent="0.2">
      <c r="A3221" t="s">
        <v>5031</v>
      </c>
      <c r="B3221" s="2">
        <v>43206</v>
      </c>
      <c r="C3221" t="s">
        <v>1863</v>
      </c>
      <c r="D3221" t="s">
        <v>1804</v>
      </c>
    </row>
    <row r="3222" spans="1:4" x14ac:dyDescent="0.2">
      <c r="A3222" t="s">
        <v>5032</v>
      </c>
      <c r="B3222" s="2">
        <v>43185</v>
      </c>
      <c r="C3222" t="s">
        <v>1863</v>
      </c>
      <c r="D3222" t="s">
        <v>1804</v>
      </c>
    </row>
    <row r="3223" spans="1:4" x14ac:dyDescent="0.2">
      <c r="A3223" t="s">
        <v>5033</v>
      </c>
      <c r="B3223" s="2">
        <v>43165</v>
      </c>
      <c r="C3223" t="s">
        <v>2591</v>
      </c>
      <c r="D3223" t="s">
        <v>1813</v>
      </c>
    </row>
    <row r="3224" spans="1:4" x14ac:dyDescent="0.2">
      <c r="A3224" t="s">
        <v>5034</v>
      </c>
      <c r="B3224" s="2">
        <v>43010</v>
      </c>
      <c r="C3224" t="s">
        <v>1894</v>
      </c>
      <c r="D3224" t="s">
        <v>1804</v>
      </c>
    </row>
    <row r="3225" spans="1:4" x14ac:dyDescent="0.2">
      <c r="A3225" t="s">
        <v>5035</v>
      </c>
      <c r="B3225" s="2">
        <v>43173</v>
      </c>
      <c r="C3225" t="s">
        <v>1885</v>
      </c>
      <c r="D3225" t="s">
        <v>1807</v>
      </c>
    </row>
    <row r="3226" spans="1:4" x14ac:dyDescent="0.2">
      <c r="A3226" t="s">
        <v>5036</v>
      </c>
      <c r="B3226" s="2">
        <v>43025</v>
      </c>
      <c r="C3226" t="s">
        <v>1867</v>
      </c>
      <c r="D3226" t="s">
        <v>1810</v>
      </c>
    </row>
    <row r="3227" spans="1:4" x14ac:dyDescent="0.2">
      <c r="A3227" t="s">
        <v>5037</v>
      </c>
      <c r="B3227" s="2">
        <v>43102</v>
      </c>
      <c r="C3227" t="s">
        <v>1803</v>
      </c>
      <c r="D3227" t="s">
        <v>1804</v>
      </c>
    </row>
    <row r="3228" spans="1:4" x14ac:dyDescent="0.2">
      <c r="A3228" t="s">
        <v>5038</v>
      </c>
      <c r="B3228" s="2">
        <v>43207</v>
      </c>
      <c r="C3228" t="s">
        <v>1836</v>
      </c>
      <c r="D3228" t="s">
        <v>1810</v>
      </c>
    </row>
    <row r="3229" spans="1:4" x14ac:dyDescent="0.2">
      <c r="A3229" t="s">
        <v>739</v>
      </c>
      <c r="B3229" s="2">
        <v>43157</v>
      </c>
      <c r="C3229" t="s">
        <v>1816</v>
      </c>
      <c r="D3229" t="s">
        <v>1810</v>
      </c>
    </row>
    <row r="3230" spans="1:4" x14ac:dyDescent="0.2">
      <c r="A3230" t="s">
        <v>5039</v>
      </c>
      <c r="B3230" s="2">
        <v>43221</v>
      </c>
      <c r="C3230" t="s">
        <v>1857</v>
      </c>
      <c r="D3230" t="s">
        <v>1804</v>
      </c>
    </row>
    <row r="3231" spans="1:4" x14ac:dyDescent="0.2">
      <c r="A3231" t="s">
        <v>5040</v>
      </c>
      <c r="B3231" s="2">
        <v>43172</v>
      </c>
      <c r="C3231" t="s">
        <v>1885</v>
      </c>
      <c r="D3231" t="s">
        <v>1807</v>
      </c>
    </row>
    <row r="3232" spans="1:4" x14ac:dyDescent="0.2">
      <c r="A3232" t="s">
        <v>5041</v>
      </c>
      <c r="B3232" s="2">
        <v>43200</v>
      </c>
      <c r="C3232" t="s">
        <v>1867</v>
      </c>
      <c r="D3232" t="s">
        <v>1840</v>
      </c>
    </row>
    <row r="3233" spans="1:4" x14ac:dyDescent="0.2">
      <c r="A3233" t="s">
        <v>5042</v>
      </c>
      <c r="B3233" s="2">
        <v>43234</v>
      </c>
      <c r="C3233" t="s">
        <v>1863</v>
      </c>
      <c r="D3233" t="s">
        <v>1804</v>
      </c>
    </row>
    <row r="3234" spans="1:4" x14ac:dyDescent="0.2">
      <c r="A3234" t="s">
        <v>741</v>
      </c>
      <c r="B3234" s="2">
        <v>43251</v>
      </c>
      <c r="C3234" t="s">
        <v>1930</v>
      </c>
      <c r="D3234" t="s">
        <v>1807</v>
      </c>
    </row>
    <row r="3235" spans="1:4" x14ac:dyDescent="0.2">
      <c r="A3235" t="s">
        <v>5043</v>
      </c>
      <c r="B3235" s="2">
        <v>43236</v>
      </c>
      <c r="C3235" t="s">
        <v>1825</v>
      </c>
      <c r="D3235" t="s">
        <v>1840</v>
      </c>
    </row>
    <row r="3236" spans="1:4" x14ac:dyDescent="0.2">
      <c r="A3236" t="s">
        <v>5044</v>
      </c>
      <c r="B3236" s="2">
        <v>43049</v>
      </c>
      <c r="C3236" t="s">
        <v>2309</v>
      </c>
      <c r="D3236" t="s">
        <v>1840</v>
      </c>
    </row>
    <row r="3237" spans="1:4" x14ac:dyDescent="0.2">
      <c r="A3237" t="s">
        <v>5045</v>
      </c>
      <c r="B3237" s="2">
        <v>43166</v>
      </c>
      <c r="C3237" t="s">
        <v>1993</v>
      </c>
      <c r="D3237" t="s">
        <v>1807</v>
      </c>
    </row>
    <row r="3238" spans="1:4" x14ac:dyDescent="0.2">
      <c r="A3238" t="s">
        <v>5046</v>
      </c>
      <c r="B3238" s="2">
        <v>43228</v>
      </c>
      <c r="C3238" t="s">
        <v>3699</v>
      </c>
      <c r="D3238" t="s">
        <v>1813</v>
      </c>
    </row>
    <row r="3239" spans="1:4" x14ac:dyDescent="0.2">
      <c r="A3239" t="s">
        <v>5047</v>
      </c>
      <c r="B3239" s="2">
        <v>43122</v>
      </c>
      <c r="C3239" t="s">
        <v>1825</v>
      </c>
      <c r="D3239" t="s">
        <v>1810</v>
      </c>
    </row>
    <row r="3240" spans="1:4" x14ac:dyDescent="0.2">
      <c r="A3240" t="s">
        <v>5048</v>
      </c>
      <c r="B3240" s="2">
        <v>42987</v>
      </c>
      <c r="C3240" t="s">
        <v>2679</v>
      </c>
      <c r="D3240" t="s">
        <v>1810</v>
      </c>
    </row>
    <row r="3241" spans="1:4" x14ac:dyDescent="0.2">
      <c r="A3241" t="s">
        <v>5049</v>
      </c>
      <c r="B3241" s="2">
        <v>43209</v>
      </c>
      <c r="C3241" t="s">
        <v>1863</v>
      </c>
      <c r="D3241" t="s">
        <v>1804</v>
      </c>
    </row>
    <row r="3242" spans="1:4" x14ac:dyDescent="0.2">
      <c r="A3242" t="s">
        <v>5050</v>
      </c>
      <c r="B3242" s="2">
        <v>43165</v>
      </c>
      <c r="C3242" t="s">
        <v>1816</v>
      </c>
      <c r="D3242" t="s">
        <v>1810</v>
      </c>
    </row>
    <row r="3243" spans="1:4" x14ac:dyDescent="0.2">
      <c r="A3243" t="s">
        <v>5051</v>
      </c>
      <c r="B3243" s="2">
        <v>43188</v>
      </c>
      <c r="C3243" t="s">
        <v>1905</v>
      </c>
      <c r="D3243" t="s">
        <v>1810</v>
      </c>
    </row>
    <row r="3244" spans="1:4" x14ac:dyDescent="0.2">
      <c r="A3244" t="s">
        <v>5052</v>
      </c>
      <c r="B3244" s="2">
        <v>43228</v>
      </c>
      <c r="C3244" t="s">
        <v>5053</v>
      </c>
      <c r="D3244" t="s">
        <v>1813</v>
      </c>
    </row>
    <row r="3245" spans="1:4" x14ac:dyDescent="0.2">
      <c r="A3245" t="s">
        <v>5054</v>
      </c>
      <c r="B3245" s="2">
        <v>42947</v>
      </c>
      <c r="C3245" t="s">
        <v>2143</v>
      </c>
      <c r="D3245" t="s">
        <v>1810</v>
      </c>
    </row>
    <row r="3246" spans="1:4" x14ac:dyDescent="0.2">
      <c r="A3246" t="s">
        <v>5055</v>
      </c>
      <c r="B3246" s="2">
        <v>43142</v>
      </c>
      <c r="C3246" t="s">
        <v>1930</v>
      </c>
      <c r="D3246" t="s">
        <v>1807</v>
      </c>
    </row>
    <row r="3247" spans="1:4" x14ac:dyDescent="0.2">
      <c r="A3247" t="s">
        <v>743</v>
      </c>
      <c r="B3247" s="2">
        <v>43026</v>
      </c>
      <c r="C3247" t="s">
        <v>1907</v>
      </c>
      <c r="D3247" t="s">
        <v>1807</v>
      </c>
    </row>
    <row r="3248" spans="1:4" x14ac:dyDescent="0.2">
      <c r="A3248" t="s">
        <v>5056</v>
      </c>
      <c r="B3248" s="2">
        <v>43175</v>
      </c>
      <c r="C3248" t="s">
        <v>1836</v>
      </c>
      <c r="D3248" t="s">
        <v>1031</v>
      </c>
    </row>
    <row r="3249" spans="1:4" x14ac:dyDescent="0.2">
      <c r="A3249" t="s">
        <v>5057</v>
      </c>
      <c r="B3249" s="2">
        <v>43122</v>
      </c>
      <c r="C3249" t="s">
        <v>1836</v>
      </c>
      <c r="D3249" t="s">
        <v>1031</v>
      </c>
    </row>
    <row r="3250" spans="1:4" x14ac:dyDescent="0.2">
      <c r="A3250" t="s">
        <v>5058</v>
      </c>
      <c r="B3250" s="2">
        <v>43223</v>
      </c>
      <c r="C3250" t="s">
        <v>1905</v>
      </c>
      <c r="D3250" t="s">
        <v>1807</v>
      </c>
    </row>
    <row r="3251" spans="1:4" x14ac:dyDescent="0.2">
      <c r="A3251" t="s">
        <v>5059</v>
      </c>
      <c r="B3251" s="2">
        <v>43194</v>
      </c>
      <c r="C3251" t="s">
        <v>2115</v>
      </c>
      <c r="D3251" t="s">
        <v>1804</v>
      </c>
    </row>
    <row r="3252" spans="1:4" x14ac:dyDescent="0.2">
      <c r="A3252" t="s">
        <v>5060</v>
      </c>
      <c r="B3252" s="2">
        <v>43160</v>
      </c>
      <c r="C3252" t="s">
        <v>1907</v>
      </c>
      <c r="D3252" t="s">
        <v>1810</v>
      </c>
    </row>
    <row r="3253" spans="1:4" x14ac:dyDescent="0.2">
      <c r="A3253" t="s">
        <v>5061</v>
      </c>
      <c r="B3253" s="2">
        <v>43108</v>
      </c>
      <c r="C3253" t="s">
        <v>1836</v>
      </c>
      <c r="D3253" t="s">
        <v>1031</v>
      </c>
    </row>
    <row r="3254" spans="1:4" x14ac:dyDescent="0.2">
      <c r="A3254" t="s">
        <v>5062</v>
      </c>
      <c r="B3254" s="2">
        <v>43246</v>
      </c>
      <c r="C3254" t="s">
        <v>1863</v>
      </c>
      <c r="D3254" t="s">
        <v>1804</v>
      </c>
    </row>
    <row r="3255" spans="1:4" x14ac:dyDescent="0.2">
      <c r="A3255" t="s">
        <v>745</v>
      </c>
      <c r="B3255" s="2">
        <v>43025</v>
      </c>
      <c r="C3255" t="s">
        <v>1836</v>
      </c>
      <c r="D3255" t="s">
        <v>1031</v>
      </c>
    </row>
    <row r="3256" spans="1:4" x14ac:dyDescent="0.2">
      <c r="A3256" t="s">
        <v>5063</v>
      </c>
      <c r="B3256" s="2">
        <v>43174</v>
      </c>
      <c r="C3256" t="s">
        <v>1928</v>
      </c>
      <c r="D3256" t="s">
        <v>1807</v>
      </c>
    </row>
    <row r="3257" spans="1:4" x14ac:dyDescent="0.2">
      <c r="A3257" t="s">
        <v>5064</v>
      </c>
      <c r="B3257" s="2">
        <v>43032</v>
      </c>
      <c r="C3257" t="s">
        <v>2242</v>
      </c>
      <c r="D3257" t="s">
        <v>1810</v>
      </c>
    </row>
    <row r="3258" spans="1:4" x14ac:dyDescent="0.2">
      <c r="A3258" t="s">
        <v>5065</v>
      </c>
      <c r="B3258" s="2">
        <v>43091</v>
      </c>
      <c r="C3258" t="s">
        <v>1816</v>
      </c>
      <c r="D3258" t="s">
        <v>1810</v>
      </c>
    </row>
    <row r="3259" spans="1:4" x14ac:dyDescent="0.2">
      <c r="A3259" t="s">
        <v>5066</v>
      </c>
      <c r="B3259" s="2">
        <v>43064</v>
      </c>
      <c r="C3259" t="s">
        <v>1878</v>
      </c>
      <c r="D3259" t="s">
        <v>1807</v>
      </c>
    </row>
    <row r="3260" spans="1:4" x14ac:dyDescent="0.2">
      <c r="A3260" t="s">
        <v>5067</v>
      </c>
      <c r="B3260" s="2">
        <v>43153</v>
      </c>
      <c r="C3260" t="s">
        <v>1836</v>
      </c>
      <c r="D3260" t="s">
        <v>1031</v>
      </c>
    </row>
    <row r="3261" spans="1:4" x14ac:dyDescent="0.2">
      <c r="A3261" t="s">
        <v>5068</v>
      </c>
      <c r="B3261" s="2">
        <v>43211</v>
      </c>
      <c r="C3261" t="s">
        <v>5069</v>
      </c>
      <c r="D3261" t="s">
        <v>1804</v>
      </c>
    </row>
    <row r="3262" spans="1:4" x14ac:dyDescent="0.2">
      <c r="A3262" t="s">
        <v>5070</v>
      </c>
      <c r="B3262" s="2">
        <v>43228</v>
      </c>
      <c r="C3262" t="s">
        <v>1909</v>
      </c>
      <c r="D3262" t="s">
        <v>1810</v>
      </c>
    </row>
    <row r="3263" spans="1:4" x14ac:dyDescent="0.2">
      <c r="A3263" t="s">
        <v>5071</v>
      </c>
      <c r="B3263" s="2">
        <v>43154</v>
      </c>
      <c r="C3263" t="s">
        <v>1885</v>
      </c>
      <c r="D3263" t="s">
        <v>1807</v>
      </c>
    </row>
    <row r="3264" spans="1:4" x14ac:dyDescent="0.2">
      <c r="A3264" t="s">
        <v>5072</v>
      </c>
      <c r="B3264" s="2">
        <v>43193</v>
      </c>
      <c r="C3264" t="s">
        <v>1867</v>
      </c>
      <c r="D3264" t="s">
        <v>160</v>
      </c>
    </row>
    <row r="3265" spans="1:4" x14ac:dyDescent="0.2">
      <c r="A3265" t="s">
        <v>5073</v>
      </c>
      <c r="B3265" s="2">
        <v>43110</v>
      </c>
      <c r="C3265" t="s">
        <v>1809</v>
      </c>
      <c r="D3265" t="s">
        <v>1807</v>
      </c>
    </row>
    <row r="3266" spans="1:4" x14ac:dyDescent="0.2">
      <c r="A3266" t="s">
        <v>5074</v>
      </c>
      <c r="B3266" s="2">
        <v>43143</v>
      </c>
      <c r="C3266" t="s">
        <v>1816</v>
      </c>
      <c r="D3266" t="s">
        <v>1810</v>
      </c>
    </row>
    <row r="3267" spans="1:4" x14ac:dyDescent="0.2">
      <c r="A3267" t="s">
        <v>5075</v>
      </c>
      <c r="B3267" s="2">
        <v>43218</v>
      </c>
      <c r="C3267" t="s">
        <v>1863</v>
      </c>
      <c r="D3267" t="s">
        <v>1804</v>
      </c>
    </row>
    <row r="3268" spans="1:4" x14ac:dyDescent="0.2">
      <c r="A3268" t="s">
        <v>5076</v>
      </c>
      <c r="B3268" s="2">
        <v>43165</v>
      </c>
      <c r="C3268" t="s">
        <v>1937</v>
      </c>
      <c r="D3268" t="s">
        <v>1804</v>
      </c>
    </row>
    <row r="3269" spans="1:4" x14ac:dyDescent="0.2">
      <c r="A3269" t="s">
        <v>5077</v>
      </c>
      <c r="B3269" s="2">
        <v>43121</v>
      </c>
      <c r="C3269" t="s">
        <v>5078</v>
      </c>
      <c r="D3269" t="s">
        <v>1807</v>
      </c>
    </row>
    <row r="3270" spans="1:4" x14ac:dyDescent="0.2">
      <c r="A3270" t="s">
        <v>5079</v>
      </c>
      <c r="B3270" s="2">
        <v>43102</v>
      </c>
      <c r="C3270" t="s">
        <v>1930</v>
      </c>
      <c r="D3270" t="s">
        <v>1807</v>
      </c>
    </row>
    <row r="3271" spans="1:4" x14ac:dyDescent="0.2">
      <c r="A3271" t="s">
        <v>5080</v>
      </c>
      <c r="B3271" s="2">
        <v>43235</v>
      </c>
      <c r="C3271" t="s">
        <v>1836</v>
      </c>
      <c r="D3271" t="s">
        <v>1810</v>
      </c>
    </row>
    <row r="3272" spans="1:4" x14ac:dyDescent="0.2">
      <c r="A3272" t="s">
        <v>5081</v>
      </c>
      <c r="B3272" s="2">
        <v>43202</v>
      </c>
      <c r="C3272" t="s">
        <v>1905</v>
      </c>
      <c r="D3272" t="s">
        <v>1910</v>
      </c>
    </row>
    <row r="3273" spans="1:4" x14ac:dyDescent="0.2">
      <c r="A3273" t="s">
        <v>5082</v>
      </c>
      <c r="B3273" s="2">
        <v>43119</v>
      </c>
      <c r="C3273" t="s">
        <v>1803</v>
      </c>
      <c r="D3273" t="s">
        <v>1804</v>
      </c>
    </row>
    <row r="3274" spans="1:4" x14ac:dyDescent="0.2">
      <c r="A3274" t="s">
        <v>5083</v>
      </c>
      <c r="B3274" s="2">
        <v>43170</v>
      </c>
      <c r="C3274" t="s">
        <v>1907</v>
      </c>
      <c r="D3274" t="s">
        <v>1807</v>
      </c>
    </row>
    <row r="3275" spans="1:4" x14ac:dyDescent="0.2">
      <c r="A3275" t="s">
        <v>5084</v>
      </c>
      <c r="B3275" s="2">
        <v>43049</v>
      </c>
      <c r="C3275" t="s">
        <v>2303</v>
      </c>
      <c r="D3275" t="s">
        <v>1840</v>
      </c>
    </row>
    <row r="3276" spans="1:4" x14ac:dyDescent="0.2">
      <c r="A3276" t="s">
        <v>5085</v>
      </c>
      <c r="B3276" s="2">
        <v>43217</v>
      </c>
      <c r="C3276" t="s">
        <v>2503</v>
      </c>
      <c r="D3276" t="s">
        <v>1810</v>
      </c>
    </row>
    <row r="3277" spans="1:4" x14ac:dyDescent="0.2">
      <c r="A3277" t="s">
        <v>5086</v>
      </c>
      <c r="B3277" s="2">
        <v>43038</v>
      </c>
      <c r="C3277" t="s">
        <v>1836</v>
      </c>
      <c r="D3277" t="s">
        <v>1031</v>
      </c>
    </row>
    <row r="3278" spans="1:4" x14ac:dyDescent="0.2">
      <c r="A3278" t="s">
        <v>5087</v>
      </c>
      <c r="B3278" s="2">
        <v>43209</v>
      </c>
      <c r="C3278" t="s">
        <v>1863</v>
      </c>
      <c r="D3278" t="s">
        <v>1804</v>
      </c>
    </row>
    <row r="3279" spans="1:4" x14ac:dyDescent="0.2">
      <c r="A3279" t="s">
        <v>5088</v>
      </c>
      <c r="B3279" s="2">
        <v>43175</v>
      </c>
      <c r="C3279" t="s">
        <v>1867</v>
      </c>
      <c r="D3279" t="s">
        <v>1810</v>
      </c>
    </row>
    <row r="3280" spans="1:4" x14ac:dyDescent="0.2">
      <c r="A3280" t="s">
        <v>5089</v>
      </c>
      <c r="B3280" s="2">
        <v>43245</v>
      </c>
      <c r="C3280" t="s">
        <v>3390</v>
      </c>
      <c r="D3280" t="s">
        <v>1810</v>
      </c>
    </row>
    <row r="3281" spans="1:4" x14ac:dyDescent="0.2">
      <c r="A3281" t="s">
        <v>5090</v>
      </c>
      <c r="B3281" s="2">
        <v>43179</v>
      </c>
      <c r="C3281" t="s">
        <v>1825</v>
      </c>
      <c r="D3281" t="s">
        <v>1807</v>
      </c>
    </row>
    <row r="3282" spans="1:4" x14ac:dyDescent="0.2">
      <c r="A3282" t="s">
        <v>5091</v>
      </c>
      <c r="B3282" s="2">
        <v>43251</v>
      </c>
      <c r="C3282" t="s">
        <v>1905</v>
      </c>
      <c r="D3282" t="s">
        <v>1810</v>
      </c>
    </row>
    <row r="3283" spans="1:4" x14ac:dyDescent="0.2">
      <c r="A3283" t="s">
        <v>5092</v>
      </c>
      <c r="B3283" s="2">
        <v>42958</v>
      </c>
      <c r="C3283" t="s">
        <v>1894</v>
      </c>
      <c r="D3283" t="s">
        <v>1840</v>
      </c>
    </row>
    <row r="3284" spans="1:4" x14ac:dyDescent="0.2">
      <c r="A3284" t="s">
        <v>5093</v>
      </c>
      <c r="B3284" s="2">
        <v>43242</v>
      </c>
      <c r="C3284" t="s">
        <v>5094</v>
      </c>
      <c r="D3284" t="s">
        <v>1031</v>
      </c>
    </row>
    <row r="3285" spans="1:4" x14ac:dyDescent="0.2">
      <c r="A3285" t="s">
        <v>5095</v>
      </c>
      <c r="B3285" s="2">
        <v>43203</v>
      </c>
      <c r="C3285" t="s">
        <v>1816</v>
      </c>
      <c r="D3285" t="s">
        <v>1031</v>
      </c>
    </row>
    <row r="3286" spans="1:4" x14ac:dyDescent="0.2">
      <c r="A3286" t="s">
        <v>5096</v>
      </c>
      <c r="B3286" s="2">
        <v>43024</v>
      </c>
      <c r="C3286" t="s">
        <v>1889</v>
      </c>
      <c r="D3286" t="s">
        <v>1813</v>
      </c>
    </row>
    <row r="3287" spans="1:4" x14ac:dyDescent="0.2">
      <c r="A3287" t="s">
        <v>5097</v>
      </c>
      <c r="B3287" s="2">
        <v>43209</v>
      </c>
      <c r="C3287" t="s">
        <v>2831</v>
      </c>
      <c r="D3287" t="s">
        <v>1807</v>
      </c>
    </row>
    <row r="3288" spans="1:4" x14ac:dyDescent="0.2">
      <c r="A3288" t="s">
        <v>5098</v>
      </c>
      <c r="B3288" s="2">
        <v>43171</v>
      </c>
      <c r="C3288" t="s">
        <v>1836</v>
      </c>
      <c r="D3288" t="s">
        <v>1031</v>
      </c>
    </row>
    <row r="3289" spans="1:4" x14ac:dyDescent="0.2">
      <c r="A3289" t="s">
        <v>5099</v>
      </c>
      <c r="B3289" s="2">
        <v>43124</v>
      </c>
      <c r="C3289" t="s">
        <v>1885</v>
      </c>
      <c r="D3289" t="s">
        <v>1810</v>
      </c>
    </row>
    <row r="3290" spans="1:4" x14ac:dyDescent="0.2">
      <c r="A3290" t="s">
        <v>5100</v>
      </c>
      <c r="B3290" s="2">
        <v>43241</v>
      </c>
      <c r="C3290" t="s">
        <v>1930</v>
      </c>
      <c r="D3290" t="s">
        <v>1807</v>
      </c>
    </row>
    <row r="3291" spans="1:4" x14ac:dyDescent="0.2">
      <c r="A3291" t="s">
        <v>5101</v>
      </c>
      <c r="B3291" s="2">
        <v>43108</v>
      </c>
      <c r="C3291" t="s">
        <v>1937</v>
      </c>
      <c r="D3291" t="s">
        <v>1810</v>
      </c>
    </row>
    <row r="3292" spans="1:4" x14ac:dyDescent="0.2">
      <c r="A3292" t="s">
        <v>747</v>
      </c>
      <c r="B3292" s="2">
        <v>43159</v>
      </c>
      <c r="C3292" t="s">
        <v>1816</v>
      </c>
      <c r="D3292" t="s">
        <v>1810</v>
      </c>
    </row>
    <row r="3293" spans="1:4" x14ac:dyDescent="0.2">
      <c r="A3293" t="s">
        <v>5102</v>
      </c>
      <c r="B3293" s="2">
        <v>43098</v>
      </c>
      <c r="C3293" t="s">
        <v>1836</v>
      </c>
      <c r="D3293" t="s">
        <v>1031</v>
      </c>
    </row>
    <row r="3294" spans="1:4" x14ac:dyDescent="0.2">
      <c r="A3294" t="s">
        <v>5103</v>
      </c>
      <c r="B3294" s="2">
        <v>43235</v>
      </c>
      <c r="C3294" t="s">
        <v>1836</v>
      </c>
      <c r="D3294" t="s">
        <v>1829</v>
      </c>
    </row>
    <row r="3295" spans="1:4" x14ac:dyDescent="0.2">
      <c r="A3295" t="s">
        <v>5104</v>
      </c>
      <c r="B3295" s="2">
        <v>43177</v>
      </c>
      <c r="C3295" t="s">
        <v>1928</v>
      </c>
      <c r="D3295" t="s">
        <v>1810</v>
      </c>
    </row>
    <row r="3296" spans="1:4" x14ac:dyDescent="0.2">
      <c r="A3296" t="s">
        <v>5105</v>
      </c>
      <c r="B3296" s="2">
        <v>43218</v>
      </c>
      <c r="C3296" t="s">
        <v>1902</v>
      </c>
      <c r="D3296" t="s">
        <v>1031</v>
      </c>
    </row>
    <row r="3297" spans="1:4" x14ac:dyDescent="0.2">
      <c r="A3297" t="s">
        <v>5106</v>
      </c>
      <c r="B3297" s="2">
        <v>43159</v>
      </c>
      <c r="C3297" t="s">
        <v>2163</v>
      </c>
      <c r="D3297" t="s">
        <v>1810</v>
      </c>
    </row>
    <row r="3298" spans="1:4" x14ac:dyDescent="0.2">
      <c r="A3298" t="s">
        <v>5107</v>
      </c>
      <c r="B3298" s="2">
        <v>43129</v>
      </c>
      <c r="C3298" t="s">
        <v>2196</v>
      </c>
      <c r="D3298" t="s">
        <v>1810</v>
      </c>
    </row>
    <row r="3299" spans="1:4" x14ac:dyDescent="0.2">
      <c r="A3299" t="s">
        <v>749</v>
      </c>
      <c r="B3299" s="2">
        <v>43196</v>
      </c>
      <c r="C3299" t="s">
        <v>1905</v>
      </c>
      <c r="D3299" t="s">
        <v>1810</v>
      </c>
    </row>
    <row r="3300" spans="1:4" x14ac:dyDescent="0.2">
      <c r="A3300" t="s">
        <v>751</v>
      </c>
      <c r="B3300" s="2">
        <v>43230</v>
      </c>
      <c r="C3300" t="s">
        <v>1836</v>
      </c>
      <c r="D3300" t="s">
        <v>1031</v>
      </c>
    </row>
    <row r="3301" spans="1:4" x14ac:dyDescent="0.2">
      <c r="A3301" t="s">
        <v>5108</v>
      </c>
      <c r="B3301" s="2">
        <v>43122</v>
      </c>
      <c r="C3301" t="s">
        <v>1878</v>
      </c>
      <c r="D3301" t="s">
        <v>1810</v>
      </c>
    </row>
    <row r="3302" spans="1:4" x14ac:dyDescent="0.2">
      <c r="A3302" t="s">
        <v>5109</v>
      </c>
      <c r="B3302" s="2">
        <v>43137</v>
      </c>
      <c r="C3302" t="s">
        <v>1814</v>
      </c>
      <c r="D3302" t="s">
        <v>1810</v>
      </c>
    </row>
    <row r="3303" spans="1:4" x14ac:dyDescent="0.2">
      <c r="A3303" t="s">
        <v>5110</v>
      </c>
      <c r="B3303" s="2">
        <v>43136</v>
      </c>
      <c r="C3303" t="s">
        <v>1836</v>
      </c>
      <c r="D3303" t="s">
        <v>1031</v>
      </c>
    </row>
    <row r="3304" spans="1:4" x14ac:dyDescent="0.2">
      <c r="A3304" t="s">
        <v>5111</v>
      </c>
      <c r="B3304" s="2">
        <v>43238</v>
      </c>
      <c r="C3304" t="s">
        <v>1836</v>
      </c>
      <c r="D3304" t="s">
        <v>1807</v>
      </c>
    </row>
    <row r="3305" spans="1:4" x14ac:dyDescent="0.2">
      <c r="A3305" t="s">
        <v>5112</v>
      </c>
      <c r="B3305" s="2">
        <v>43210</v>
      </c>
      <c r="C3305" t="s">
        <v>1816</v>
      </c>
      <c r="D3305" t="s">
        <v>1813</v>
      </c>
    </row>
    <row r="3306" spans="1:4" x14ac:dyDescent="0.2">
      <c r="A3306" t="s">
        <v>753</v>
      </c>
      <c r="B3306" s="2">
        <v>43227</v>
      </c>
      <c r="C3306" t="s">
        <v>1816</v>
      </c>
      <c r="D3306" t="s">
        <v>1810</v>
      </c>
    </row>
    <row r="3307" spans="1:4" x14ac:dyDescent="0.2">
      <c r="A3307" t="s">
        <v>5113</v>
      </c>
      <c r="B3307" s="2">
        <v>43192</v>
      </c>
      <c r="C3307" t="s">
        <v>2033</v>
      </c>
      <c r="D3307" t="s">
        <v>1810</v>
      </c>
    </row>
    <row r="3308" spans="1:4" x14ac:dyDescent="0.2">
      <c r="A3308" t="s">
        <v>5114</v>
      </c>
      <c r="B3308" s="2">
        <v>42922</v>
      </c>
      <c r="C3308" t="s">
        <v>3019</v>
      </c>
      <c r="D3308" t="s">
        <v>1807</v>
      </c>
    </row>
    <row r="3309" spans="1:4" x14ac:dyDescent="0.2">
      <c r="A3309" t="s">
        <v>5115</v>
      </c>
      <c r="B3309" s="2">
        <v>43203</v>
      </c>
      <c r="C3309" t="s">
        <v>1863</v>
      </c>
      <c r="D3309" t="s">
        <v>1804</v>
      </c>
    </row>
    <row r="3310" spans="1:4" x14ac:dyDescent="0.2">
      <c r="A3310" t="s">
        <v>5116</v>
      </c>
      <c r="B3310" s="2">
        <v>43017</v>
      </c>
      <c r="C3310" t="s">
        <v>5117</v>
      </c>
      <c r="D3310" t="s">
        <v>1807</v>
      </c>
    </row>
    <row r="3311" spans="1:4" x14ac:dyDescent="0.2">
      <c r="A3311" t="s">
        <v>5118</v>
      </c>
      <c r="B3311" s="2">
        <v>43112</v>
      </c>
      <c r="C3311" t="s">
        <v>1836</v>
      </c>
      <c r="D3311" t="s">
        <v>1031</v>
      </c>
    </row>
    <row r="3312" spans="1:4" x14ac:dyDescent="0.2">
      <c r="A3312" t="s">
        <v>5119</v>
      </c>
      <c r="B3312" s="2">
        <v>43220</v>
      </c>
      <c r="C3312" t="s">
        <v>1836</v>
      </c>
      <c r="D3312" t="s">
        <v>1031</v>
      </c>
    </row>
    <row r="3313" spans="1:4" x14ac:dyDescent="0.2">
      <c r="A3313" t="s">
        <v>5120</v>
      </c>
      <c r="B3313" s="2">
        <v>43147</v>
      </c>
      <c r="C3313" t="s">
        <v>1816</v>
      </c>
      <c r="D3313" t="s">
        <v>1810</v>
      </c>
    </row>
    <row r="3314" spans="1:4" x14ac:dyDescent="0.2">
      <c r="A3314" t="s">
        <v>5121</v>
      </c>
      <c r="B3314" s="2">
        <v>42970</v>
      </c>
      <c r="C3314" t="s">
        <v>2576</v>
      </c>
      <c r="D3314" t="s">
        <v>1031</v>
      </c>
    </row>
    <row r="3315" spans="1:4" x14ac:dyDescent="0.2">
      <c r="A3315" t="s">
        <v>5122</v>
      </c>
      <c r="B3315" s="2">
        <v>43094</v>
      </c>
      <c r="C3315" t="s">
        <v>1867</v>
      </c>
      <c r="D3315" t="s">
        <v>1804</v>
      </c>
    </row>
    <row r="3316" spans="1:4" x14ac:dyDescent="0.2">
      <c r="A3316" t="s">
        <v>755</v>
      </c>
      <c r="B3316" s="2">
        <v>43157</v>
      </c>
      <c r="C3316" t="s">
        <v>1930</v>
      </c>
      <c r="D3316" t="s">
        <v>1807</v>
      </c>
    </row>
    <row r="3317" spans="1:4" x14ac:dyDescent="0.2">
      <c r="A3317" t="s">
        <v>5123</v>
      </c>
      <c r="B3317" s="2">
        <v>43160</v>
      </c>
      <c r="C3317" t="s">
        <v>1831</v>
      </c>
      <c r="D3317" t="s">
        <v>1807</v>
      </c>
    </row>
    <row r="3318" spans="1:4" x14ac:dyDescent="0.2">
      <c r="A3318" t="s">
        <v>5124</v>
      </c>
      <c r="B3318" s="2">
        <v>43085</v>
      </c>
      <c r="C3318" t="s">
        <v>1803</v>
      </c>
      <c r="D3318" t="s">
        <v>1804</v>
      </c>
    </row>
    <row r="3319" spans="1:4" x14ac:dyDescent="0.2">
      <c r="A3319" t="s">
        <v>757</v>
      </c>
      <c r="B3319" s="2">
        <v>43145</v>
      </c>
      <c r="C3319" t="s">
        <v>1905</v>
      </c>
      <c r="D3319" t="s">
        <v>1810</v>
      </c>
    </row>
    <row r="3320" spans="1:4" x14ac:dyDescent="0.2">
      <c r="A3320" t="s">
        <v>5125</v>
      </c>
      <c r="B3320" s="2">
        <v>43248</v>
      </c>
      <c r="C3320" t="s">
        <v>1905</v>
      </c>
      <c r="D3320" t="s">
        <v>1840</v>
      </c>
    </row>
    <row r="3321" spans="1:4" x14ac:dyDescent="0.2">
      <c r="A3321" t="s">
        <v>5126</v>
      </c>
      <c r="B3321" s="2">
        <v>43137</v>
      </c>
      <c r="C3321" t="s">
        <v>2303</v>
      </c>
      <c r="D3321" t="s">
        <v>1810</v>
      </c>
    </row>
    <row r="3322" spans="1:4" x14ac:dyDescent="0.2">
      <c r="A3322" t="s">
        <v>759</v>
      </c>
      <c r="B3322" s="2">
        <v>43163</v>
      </c>
      <c r="C3322" t="s">
        <v>1816</v>
      </c>
      <c r="D3322" t="s">
        <v>1810</v>
      </c>
    </row>
    <row r="3323" spans="1:4" x14ac:dyDescent="0.2">
      <c r="A3323" t="s">
        <v>5127</v>
      </c>
      <c r="B3323" s="2">
        <v>43018</v>
      </c>
      <c r="C3323" t="s">
        <v>1803</v>
      </c>
      <c r="D3323" t="s">
        <v>1804</v>
      </c>
    </row>
    <row r="3324" spans="1:4" x14ac:dyDescent="0.2">
      <c r="A3324" t="s">
        <v>5128</v>
      </c>
      <c r="B3324" s="2">
        <v>43228</v>
      </c>
      <c r="C3324" t="s">
        <v>1854</v>
      </c>
      <c r="D3324" t="s">
        <v>1031</v>
      </c>
    </row>
    <row r="3325" spans="1:4" x14ac:dyDescent="0.2">
      <c r="A3325" t="s">
        <v>761</v>
      </c>
      <c r="B3325" s="2">
        <v>43123</v>
      </c>
      <c r="C3325" t="s">
        <v>1816</v>
      </c>
      <c r="D3325" t="s">
        <v>1810</v>
      </c>
    </row>
    <row r="3326" spans="1:4" x14ac:dyDescent="0.2">
      <c r="A3326" t="s">
        <v>5129</v>
      </c>
      <c r="B3326" s="2">
        <v>43235</v>
      </c>
      <c r="C3326" t="s">
        <v>2342</v>
      </c>
      <c r="D3326" t="s">
        <v>1810</v>
      </c>
    </row>
    <row r="3327" spans="1:4" x14ac:dyDescent="0.2">
      <c r="A3327" t="s">
        <v>5130</v>
      </c>
      <c r="B3327" s="2">
        <v>43245</v>
      </c>
      <c r="C3327" t="s">
        <v>1875</v>
      </c>
      <c r="D3327" t="s">
        <v>1829</v>
      </c>
    </row>
    <row r="3328" spans="1:4" x14ac:dyDescent="0.2">
      <c r="A3328" t="s">
        <v>5131</v>
      </c>
      <c r="B3328" s="2">
        <v>43106</v>
      </c>
      <c r="C3328" t="s">
        <v>1825</v>
      </c>
      <c r="D3328" t="s">
        <v>1810</v>
      </c>
    </row>
    <row r="3329" spans="1:4" x14ac:dyDescent="0.2">
      <c r="A3329" t="s">
        <v>5132</v>
      </c>
      <c r="B3329" s="2">
        <v>43223</v>
      </c>
      <c r="C3329" t="s">
        <v>1816</v>
      </c>
      <c r="D3329" t="s">
        <v>1810</v>
      </c>
    </row>
    <row r="3330" spans="1:4" x14ac:dyDescent="0.2">
      <c r="A3330" t="s">
        <v>5133</v>
      </c>
      <c r="B3330" s="2">
        <v>43167</v>
      </c>
      <c r="C3330" t="s">
        <v>5134</v>
      </c>
      <c r="D3330" t="s">
        <v>1810</v>
      </c>
    </row>
    <row r="3331" spans="1:4" x14ac:dyDescent="0.2">
      <c r="A3331" t="s">
        <v>5135</v>
      </c>
      <c r="B3331" s="2">
        <v>43202</v>
      </c>
      <c r="C3331" t="s">
        <v>1836</v>
      </c>
      <c r="D3331" t="s">
        <v>1031</v>
      </c>
    </row>
    <row r="3332" spans="1:4" x14ac:dyDescent="0.2">
      <c r="A3332" t="s">
        <v>5136</v>
      </c>
      <c r="B3332" s="2">
        <v>42993</v>
      </c>
      <c r="C3332" t="s">
        <v>3311</v>
      </c>
      <c r="D3332" t="s">
        <v>1810</v>
      </c>
    </row>
    <row r="3333" spans="1:4" x14ac:dyDescent="0.2">
      <c r="A3333" t="s">
        <v>5137</v>
      </c>
      <c r="B3333" s="2">
        <v>43235</v>
      </c>
      <c r="C3333" t="s">
        <v>2254</v>
      </c>
      <c r="D3333" t="s">
        <v>1807</v>
      </c>
    </row>
    <row r="3334" spans="1:4" x14ac:dyDescent="0.2">
      <c r="A3334" t="s">
        <v>5138</v>
      </c>
      <c r="B3334" s="2">
        <v>43068</v>
      </c>
      <c r="C3334" t="s">
        <v>1803</v>
      </c>
      <c r="D3334" t="s">
        <v>1804</v>
      </c>
    </row>
    <row r="3335" spans="1:4" x14ac:dyDescent="0.2">
      <c r="A3335" t="s">
        <v>5139</v>
      </c>
      <c r="B3335" s="2">
        <v>43223</v>
      </c>
      <c r="C3335" t="s">
        <v>1836</v>
      </c>
      <c r="D3335" t="s">
        <v>1031</v>
      </c>
    </row>
    <row r="3336" spans="1:4" x14ac:dyDescent="0.2">
      <c r="A3336" t="s">
        <v>5140</v>
      </c>
      <c r="B3336" s="2">
        <v>43168</v>
      </c>
      <c r="C3336" t="s">
        <v>3900</v>
      </c>
      <c r="D3336" t="s">
        <v>1813</v>
      </c>
    </row>
    <row r="3337" spans="1:4" x14ac:dyDescent="0.2">
      <c r="A3337" t="s">
        <v>763</v>
      </c>
      <c r="B3337" s="2">
        <v>43122</v>
      </c>
      <c r="C3337" t="s">
        <v>1885</v>
      </c>
      <c r="D3337" t="s">
        <v>1807</v>
      </c>
    </row>
    <row r="3338" spans="1:4" x14ac:dyDescent="0.2">
      <c r="A3338" t="s">
        <v>765</v>
      </c>
      <c r="B3338" s="2">
        <v>43209</v>
      </c>
      <c r="C3338" t="s">
        <v>1836</v>
      </c>
      <c r="D3338" t="s">
        <v>1031</v>
      </c>
    </row>
    <row r="3339" spans="1:4" x14ac:dyDescent="0.2">
      <c r="A3339" t="s">
        <v>5141</v>
      </c>
      <c r="B3339" s="2">
        <v>43220</v>
      </c>
      <c r="C3339" t="s">
        <v>1857</v>
      </c>
      <c r="D3339" t="s">
        <v>1804</v>
      </c>
    </row>
    <row r="3340" spans="1:4" x14ac:dyDescent="0.2">
      <c r="A3340" t="s">
        <v>5142</v>
      </c>
      <c r="B3340" s="2">
        <v>43123</v>
      </c>
      <c r="C3340" t="s">
        <v>1812</v>
      </c>
      <c r="D3340" t="s">
        <v>1829</v>
      </c>
    </row>
    <row r="3341" spans="1:4" x14ac:dyDescent="0.2">
      <c r="A3341" t="s">
        <v>767</v>
      </c>
      <c r="B3341" s="2">
        <v>43213</v>
      </c>
      <c r="C3341" t="s">
        <v>1836</v>
      </c>
      <c r="D3341" t="s">
        <v>1810</v>
      </c>
    </row>
    <row r="3342" spans="1:4" x14ac:dyDescent="0.2">
      <c r="A3342" t="s">
        <v>5143</v>
      </c>
      <c r="B3342" s="2">
        <v>43117</v>
      </c>
      <c r="C3342" t="s">
        <v>1885</v>
      </c>
      <c r="D3342" t="s">
        <v>1807</v>
      </c>
    </row>
    <row r="3343" spans="1:4" x14ac:dyDescent="0.2">
      <c r="A3343" t="s">
        <v>5144</v>
      </c>
      <c r="B3343" s="2">
        <v>43152</v>
      </c>
      <c r="C3343" t="s">
        <v>1809</v>
      </c>
      <c r="D3343" t="s">
        <v>1810</v>
      </c>
    </row>
    <row r="3344" spans="1:4" x14ac:dyDescent="0.2">
      <c r="A3344" t="s">
        <v>5145</v>
      </c>
      <c r="B3344" s="2">
        <v>43053</v>
      </c>
      <c r="C3344" t="s">
        <v>2006</v>
      </c>
      <c r="D3344" t="s">
        <v>1813</v>
      </c>
    </row>
    <row r="3345" spans="1:4" x14ac:dyDescent="0.2">
      <c r="A3345" t="s">
        <v>5146</v>
      </c>
      <c r="B3345" s="2">
        <v>43187</v>
      </c>
      <c r="C3345" t="s">
        <v>2000</v>
      </c>
      <c r="D3345" t="s">
        <v>1807</v>
      </c>
    </row>
    <row r="3346" spans="1:4" x14ac:dyDescent="0.2">
      <c r="A3346" t="s">
        <v>5147</v>
      </c>
      <c r="B3346" s="2">
        <v>43128</v>
      </c>
      <c r="C3346" t="s">
        <v>1803</v>
      </c>
      <c r="D3346" t="s">
        <v>1804</v>
      </c>
    </row>
    <row r="3347" spans="1:4" x14ac:dyDescent="0.2">
      <c r="A3347" t="s">
        <v>5148</v>
      </c>
      <c r="B3347" s="2">
        <v>43172</v>
      </c>
      <c r="C3347" t="s">
        <v>3900</v>
      </c>
      <c r="D3347" t="s">
        <v>1810</v>
      </c>
    </row>
    <row r="3348" spans="1:4" x14ac:dyDescent="0.2">
      <c r="A3348" t="s">
        <v>5149</v>
      </c>
      <c r="B3348" s="2">
        <v>43210</v>
      </c>
      <c r="C3348" t="s">
        <v>1836</v>
      </c>
      <c r="D3348" t="s">
        <v>1807</v>
      </c>
    </row>
    <row r="3349" spans="1:4" x14ac:dyDescent="0.2">
      <c r="A3349" t="s">
        <v>5150</v>
      </c>
      <c r="B3349" s="2">
        <v>43113</v>
      </c>
      <c r="C3349" t="s">
        <v>1825</v>
      </c>
      <c r="D3349" t="s">
        <v>1810</v>
      </c>
    </row>
    <row r="3350" spans="1:4" x14ac:dyDescent="0.2">
      <c r="A3350" t="s">
        <v>5151</v>
      </c>
      <c r="B3350" s="2">
        <v>43173</v>
      </c>
      <c r="C3350" t="s">
        <v>1836</v>
      </c>
      <c r="D3350" t="s">
        <v>1031</v>
      </c>
    </row>
    <row r="3351" spans="1:4" x14ac:dyDescent="0.2">
      <c r="A3351" t="s">
        <v>5152</v>
      </c>
      <c r="B3351" s="2">
        <v>43173</v>
      </c>
      <c r="C3351" t="s">
        <v>1928</v>
      </c>
      <c r="D3351" t="s">
        <v>1810</v>
      </c>
    </row>
    <row r="3352" spans="1:4" x14ac:dyDescent="0.2">
      <c r="A3352" t="s">
        <v>5153</v>
      </c>
      <c r="B3352" s="2">
        <v>43124</v>
      </c>
      <c r="C3352" t="s">
        <v>1803</v>
      </c>
      <c r="D3352" t="s">
        <v>1840</v>
      </c>
    </row>
    <row r="3353" spans="1:4" x14ac:dyDescent="0.2">
      <c r="A3353" t="s">
        <v>5154</v>
      </c>
      <c r="B3353" s="2">
        <v>43007</v>
      </c>
      <c r="C3353" t="s">
        <v>2750</v>
      </c>
      <c r="D3353" t="s">
        <v>1807</v>
      </c>
    </row>
    <row r="3354" spans="1:4" x14ac:dyDescent="0.2">
      <c r="A3354" t="s">
        <v>769</v>
      </c>
      <c r="B3354" s="2">
        <v>43173</v>
      </c>
      <c r="C3354" t="s">
        <v>1928</v>
      </c>
      <c r="D3354" t="s">
        <v>1813</v>
      </c>
    </row>
    <row r="3355" spans="1:4" x14ac:dyDescent="0.2">
      <c r="A3355" t="s">
        <v>5155</v>
      </c>
      <c r="B3355" s="2">
        <v>43055</v>
      </c>
      <c r="C3355" t="s">
        <v>1809</v>
      </c>
      <c r="D3355" t="s">
        <v>1810</v>
      </c>
    </row>
    <row r="3356" spans="1:4" x14ac:dyDescent="0.2">
      <c r="A3356" t="s">
        <v>771</v>
      </c>
      <c r="B3356" s="2">
        <v>43172</v>
      </c>
      <c r="C3356" t="s">
        <v>1836</v>
      </c>
      <c r="D3356" t="s">
        <v>1031</v>
      </c>
    </row>
    <row r="3357" spans="1:4" x14ac:dyDescent="0.2">
      <c r="A3357" t="s">
        <v>5156</v>
      </c>
      <c r="B3357" s="2">
        <v>43010</v>
      </c>
      <c r="C3357" t="s">
        <v>1816</v>
      </c>
      <c r="D3357" t="s">
        <v>1810</v>
      </c>
    </row>
    <row r="3358" spans="1:4" x14ac:dyDescent="0.2">
      <c r="A3358" t="s">
        <v>773</v>
      </c>
      <c r="B3358" s="2">
        <v>43112</v>
      </c>
      <c r="C3358" t="s">
        <v>1816</v>
      </c>
      <c r="D3358" t="s">
        <v>1810</v>
      </c>
    </row>
    <row r="3359" spans="1:4" x14ac:dyDescent="0.2">
      <c r="A3359" t="s">
        <v>5157</v>
      </c>
      <c r="B3359" s="2">
        <v>43227</v>
      </c>
      <c r="C3359" t="s">
        <v>1930</v>
      </c>
      <c r="D3359" t="s">
        <v>1807</v>
      </c>
    </row>
    <row r="3360" spans="1:4" x14ac:dyDescent="0.2">
      <c r="A3360" t="s">
        <v>5158</v>
      </c>
      <c r="B3360" s="2">
        <v>43171</v>
      </c>
      <c r="C3360" t="s">
        <v>1907</v>
      </c>
      <c r="D3360" t="s">
        <v>1807</v>
      </c>
    </row>
    <row r="3361" spans="1:4" x14ac:dyDescent="0.2">
      <c r="A3361" t="s">
        <v>5159</v>
      </c>
      <c r="B3361" s="2">
        <v>42992</v>
      </c>
      <c r="C3361" t="s">
        <v>1825</v>
      </c>
      <c r="D3361" t="s">
        <v>1810</v>
      </c>
    </row>
    <row r="3362" spans="1:4" x14ac:dyDescent="0.2">
      <c r="A3362" t="s">
        <v>5160</v>
      </c>
      <c r="B3362" s="2">
        <v>43131</v>
      </c>
      <c r="C3362" t="s">
        <v>1825</v>
      </c>
      <c r="D3362" t="s">
        <v>1804</v>
      </c>
    </row>
    <row r="3363" spans="1:4" x14ac:dyDescent="0.2">
      <c r="A3363" t="s">
        <v>5161</v>
      </c>
      <c r="B3363" s="2">
        <v>43044</v>
      </c>
      <c r="C3363" t="s">
        <v>1867</v>
      </c>
      <c r="D3363" t="s">
        <v>1813</v>
      </c>
    </row>
    <row r="3364" spans="1:4" x14ac:dyDescent="0.2">
      <c r="A3364" t="s">
        <v>5162</v>
      </c>
      <c r="B3364" s="2">
        <v>43249</v>
      </c>
      <c r="C3364" t="s">
        <v>3390</v>
      </c>
      <c r="D3364" t="s">
        <v>1810</v>
      </c>
    </row>
    <row r="3365" spans="1:4" x14ac:dyDescent="0.2">
      <c r="A3365" t="s">
        <v>5163</v>
      </c>
      <c r="B3365" s="2">
        <v>43020</v>
      </c>
      <c r="C3365" t="s">
        <v>1825</v>
      </c>
      <c r="D3365" t="s">
        <v>1840</v>
      </c>
    </row>
    <row r="3366" spans="1:4" x14ac:dyDescent="0.2">
      <c r="A3366" t="s">
        <v>5164</v>
      </c>
      <c r="B3366" s="2">
        <v>43223</v>
      </c>
      <c r="C3366" t="s">
        <v>1836</v>
      </c>
      <c r="D3366" t="s">
        <v>1031</v>
      </c>
    </row>
    <row r="3367" spans="1:4" x14ac:dyDescent="0.2">
      <c r="A3367" t="s">
        <v>5165</v>
      </c>
      <c r="B3367" s="2">
        <v>43025</v>
      </c>
      <c r="C3367" t="s">
        <v>1889</v>
      </c>
      <c r="D3367" t="s">
        <v>1813</v>
      </c>
    </row>
    <row r="3368" spans="1:4" x14ac:dyDescent="0.2">
      <c r="A3368" t="s">
        <v>775</v>
      </c>
      <c r="B3368" s="2">
        <v>43146</v>
      </c>
      <c r="C3368" t="s">
        <v>1930</v>
      </c>
      <c r="D3368" t="s">
        <v>1810</v>
      </c>
    </row>
    <row r="3369" spans="1:4" x14ac:dyDescent="0.2">
      <c r="A3369" t="s">
        <v>5166</v>
      </c>
      <c r="B3369" s="2">
        <v>43192</v>
      </c>
      <c r="C3369" t="s">
        <v>1867</v>
      </c>
      <c r="D3369" t="s">
        <v>1807</v>
      </c>
    </row>
    <row r="3370" spans="1:4" x14ac:dyDescent="0.2">
      <c r="A3370" t="s">
        <v>5167</v>
      </c>
      <c r="B3370" s="2">
        <v>43199</v>
      </c>
      <c r="C3370" t="s">
        <v>1863</v>
      </c>
      <c r="D3370" t="s">
        <v>1804</v>
      </c>
    </row>
    <row r="3371" spans="1:4" x14ac:dyDescent="0.2">
      <c r="A3371" t="s">
        <v>5168</v>
      </c>
      <c r="B3371" s="2">
        <v>43132</v>
      </c>
      <c r="C3371" t="s">
        <v>3415</v>
      </c>
      <c r="D3371" t="s">
        <v>1810</v>
      </c>
    </row>
    <row r="3372" spans="1:4" x14ac:dyDescent="0.2">
      <c r="A3372" t="s">
        <v>5169</v>
      </c>
      <c r="B3372" s="2">
        <v>42983</v>
      </c>
      <c r="C3372" t="s">
        <v>5170</v>
      </c>
      <c r="D3372" t="s">
        <v>1810</v>
      </c>
    </row>
    <row r="3373" spans="1:4" x14ac:dyDescent="0.2">
      <c r="A3373" t="s">
        <v>5171</v>
      </c>
      <c r="B3373" s="2">
        <v>42993</v>
      </c>
      <c r="C3373" t="s">
        <v>1894</v>
      </c>
      <c r="D3373" t="s">
        <v>1804</v>
      </c>
    </row>
    <row r="3374" spans="1:4" x14ac:dyDescent="0.2">
      <c r="A3374" t="s">
        <v>5172</v>
      </c>
      <c r="B3374" s="2">
        <v>43182</v>
      </c>
      <c r="C3374" t="s">
        <v>1905</v>
      </c>
      <c r="D3374" t="s">
        <v>1810</v>
      </c>
    </row>
    <row r="3375" spans="1:4" x14ac:dyDescent="0.2">
      <c r="A3375" t="s">
        <v>5173</v>
      </c>
      <c r="B3375" s="2">
        <v>43237</v>
      </c>
      <c r="C3375" t="s">
        <v>1863</v>
      </c>
      <c r="D3375" t="s">
        <v>1804</v>
      </c>
    </row>
    <row r="3376" spans="1:4" x14ac:dyDescent="0.2">
      <c r="A3376" t="s">
        <v>5174</v>
      </c>
      <c r="B3376" s="2">
        <v>42940</v>
      </c>
      <c r="C3376" t="s">
        <v>2679</v>
      </c>
      <c r="D3376" t="s">
        <v>1031</v>
      </c>
    </row>
    <row r="3377" spans="1:4" x14ac:dyDescent="0.2">
      <c r="A3377" t="s">
        <v>5175</v>
      </c>
      <c r="B3377" s="2">
        <v>42975</v>
      </c>
      <c r="C3377" t="s">
        <v>1843</v>
      </c>
      <c r="D3377" t="s">
        <v>1810</v>
      </c>
    </row>
    <row r="3378" spans="1:4" x14ac:dyDescent="0.2">
      <c r="A3378" t="s">
        <v>5176</v>
      </c>
      <c r="B3378" s="2">
        <v>43208</v>
      </c>
      <c r="C3378" t="s">
        <v>1836</v>
      </c>
      <c r="D3378" t="s">
        <v>1031</v>
      </c>
    </row>
    <row r="3379" spans="1:4" x14ac:dyDescent="0.2">
      <c r="A3379" t="s">
        <v>5177</v>
      </c>
      <c r="B3379" s="2">
        <v>43035</v>
      </c>
      <c r="C3379" t="s">
        <v>2998</v>
      </c>
      <c r="D3379" t="s">
        <v>1810</v>
      </c>
    </row>
    <row r="3380" spans="1:4" x14ac:dyDescent="0.2">
      <c r="A3380" t="s">
        <v>5178</v>
      </c>
      <c r="B3380" s="2">
        <v>43117</v>
      </c>
      <c r="C3380" t="s">
        <v>1825</v>
      </c>
      <c r="D3380" t="s">
        <v>1810</v>
      </c>
    </row>
    <row r="3381" spans="1:4" x14ac:dyDescent="0.2">
      <c r="A3381" t="s">
        <v>5179</v>
      </c>
      <c r="B3381" s="2">
        <v>42994</v>
      </c>
      <c r="C3381" t="s">
        <v>1806</v>
      </c>
      <c r="D3381" t="s">
        <v>1807</v>
      </c>
    </row>
    <row r="3382" spans="1:4" x14ac:dyDescent="0.2">
      <c r="A3382" t="s">
        <v>777</v>
      </c>
      <c r="B3382" s="2">
        <v>43199</v>
      </c>
      <c r="C3382" t="s">
        <v>1814</v>
      </c>
      <c r="D3382" t="s">
        <v>1810</v>
      </c>
    </row>
    <row r="3383" spans="1:4" x14ac:dyDescent="0.2">
      <c r="A3383" t="s">
        <v>779</v>
      </c>
      <c r="B3383" s="2">
        <v>43168</v>
      </c>
      <c r="C3383" t="s">
        <v>1930</v>
      </c>
      <c r="D3383" t="s">
        <v>1840</v>
      </c>
    </row>
    <row r="3384" spans="1:4" x14ac:dyDescent="0.2">
      <c r="A3384" t="s">
        <v>5180</v>
      </c>
      <c r="B3384" s="2">
        <v>42937</v>
      </c>
      <c r="C3384" t="s">
        <v>2074</v>
      </c>
      <c r="D3384" t="s">
        <v>1810</v>
      </c>
    </row>
    <row r="3385" spans="1:4" x14ac:dyDescent="0.2">
      <c r="A3385" t="s">
        <v>5181</v>
      </c>
      <c r="B3385" s="2">
        <v>43129</v>
      </c>
      <c r="C3385" t="s">
        <v>1905</v>
      </c>
      <c r="D3385" t="s">
        <v>1810</v>
      </c>
    </row>
    <row r="3386" spans="1:4" x14ac:dyDescent="0.2">
      <c r="A3386" t="s">
        <v>5182</v>
      </c>
      <c r="B3386" s="2">
        <v>43224</v>
      </c>
      <c r="C3386" t="s">
        <v>1863</v>
      </c>
      <c r="D3386" t="s">
        <v>1804</v>
      </c>
    </row>
    <row r="3387" spans="1:4" x14ac:dyDescent="0.2">
      <c r="A3387" t="s">
        <v>5183</v>
      </c>
      <c r="B3387" s="2">
        <v>42941</v>
      </c>
      <c r="C3387" t="s">
        <v>2750</v>
      </c>
      <c r="D3387" t="s">
        <v>1807</v>
      </c>
    </row>
    <row r="3388" spans="1:4" x14ac:dyDescent="0.2">
      <c r="A3388" t="s">
        <v>5184</v>
      </c>
      <c r="B3388" s="2">
        <v>42998</v>
      </c>
      <c r="C3388" t="s">
        <v>1921</v>
      </c>
      <c r="D3388" t="s">
        <v>1807</v>
      </c>
    </row>
    <row r="3389" spans="1:4" x14ac:dyDescent="0.2">
      <c r="A3389" t="s">
        <v>5185</v>
      </c>
      <c r="B3389" s="2">
        <v>43038</v>
      </c>
      <c r="C3389" t="s">
        <v>2000</v>
      </c>
      <c r="D3389" t="s">
        <v>1807</v>
      </c>
    </row>
    <row r="3390" spans="1:4" x14ac:dyDescent="0.2">
      <c r="A3390" t="s">
        <v>5186</v>
      </c>
      <c r="B3390" s="2">
        <v>43247</v>
      </c>
      <c r="C3390" t="s">
        <v>3390</v>
      </c>
      <c r="D3390" t="s">
        <v>1829</v>
      </c>
    </row>
    <row r="3391" spans="1:4" x14ac:dyDescent="0.2">
      <c r="A3391" t="s">
        <v>5187</v>
      </c>
      <c r="B3391" s="2">
        <v>43102</v>
      </c>
      <c r="C3391" t="s">
        <v>1803</v>
      </c>
      <c r="D3391" t="s">
        <v>1804</v>
      </c>
    </row>
    <row r="3392" spans="1:4" x14ac:dyDescent="0.2">
      <c r="A3392" t="s">
        <v>5188</v>
      </c>
      <c r="B3392" s="2">
        <v>43236</v>
      </c>
      <c r="C3392" t="s">
        <v>1863</v>
      </c>
      <c r="D3392" t="s">
        <v>1804</v>
      </c>
    </row>
    <row r="3393" spans="1:4" x14ac:dyDescent="0.2">
      <c r="A3393" t="s">
        <v>5189</v>
      </c>
      <c r="B3393" s="2">
        <v>43066</v>
      </c>
      <c r="C3393" t="s">
        <v>1905</v>
      </c>
      <c r="D3393" t="s">
        <v>1810</v>
      </c>
    </row>
    <row r="3394" spans="1:4" x14ac:dyDescent="0.2">
      <c r="A3394" t="s">
        <v>5190</v>
      </c>
      <c r="B3394" s="2">
        <v>43132</v>
      </c>
      <c r="C3394" t="s">
        <v>1836</v>
      </c>
      <c r="D3394" t="s">
        <v>1031</v>
      </c>
    </row>
    <row r="3395" spans="1:4" x14ac:dyDescent="0.2">
      <c r="A3395" t="s">
        <v>5191</v>
      </c>
      <c r="B3395" s="2">
        <v>43201</v>
      </c>
      <c r="C3395" t="s">
        <v>1827</v>
      </c>
      <c r="D3395" t="s">
        <v>1807</v>
      </c>
    </row>
    <row r="3396" spans="1:4" x14ac:dyDescent="0.2">
      <c r="A3396" t="s">
        <v>5192</v>
      </c>
      <c r="B3396" s="2">
        <v>43225</v>
      </c>
      <c r="C3396" t="s">
        <v>1863</v>
      </c>
      <c r="D3396" t="s">
        <v>1804</v>
      </c>
    </row>
    <row r="3397" spans="1:4" x14ac:dyDescent="0.2">
      <c r="A3397" t="s">
        <v>5193</v>
      </c>
      <c r="B3397" s="2">
        <v>43016</v>
      </c>
      <c r="C3397" t="s">
        <v>1885</v>
      </c>
      <c r="D3397" t="s">
        <v>1807</v>
      </c>
    </row>
    <row r="3398" spans="1:4" x14ac:dyDescent="0.2">
      <c r="A3398" t="s">
        <v>5194</v>
      </c>
      <c r="B3398" s="2">
        <v>43247</v>
      </c>
      <c r="C3398" t="s">
        <v>1863</v>
      </c>
      <c r="D3398" t="s">
        <v>1804</v>
      </c>
    </row>
    <row r="3399" spans="1:4" x14ac:dyDescent="0.2">
      <c r="A3399" t="s">
        <v>5195</v>
      </c>
      <c r="B3399" s="2">
        <v>43045</v>
      </c>
      <c r="C3399" t="s">
        <v>1836</v>
      </c>
      <c r="D3399" t="s">
        <v>1031</v>
      </c>
    </row>
    <row r="3400" spans="1:4" x14ac:dyDescent="0.2">
      <c r="A3400" t="s">
        <v>5196</v>
      </c>
      <c r="B3400" s="2">
        <v>43048</v>
      </c>
      <c r="C3400" t="s">
        <v>1803</v>
      </c>
      <c r="D3400" t="s">
        <v>1804</v>
      </c>
    </row>
    <row r="3401" spans="1:4" x14ac:dyDescent="0.2">
      <c r="A3401" t="s">
        <v>5197</v>
      </c>
      <c r="B3401" s="2">
        <v>43226</v>
      </c>
      <c r="C3401" t="s">
        <v>1816</v>
      </c>
      <c r="D3401" t="s">
        <v>1810</v>
      </c>
    </row>
    <row r="3402" spans="1:4" x14ac:dyDescent="0.2">
      <c r="A3402" t="s">
        <v>5198</v>
      </c>
      <c r="B3402" s="2">
        <v>42922</v>
      </c>
      <c r="C3402" t="s">
        <v>3234</v>
      </c>
      <c r="D3402" t="s">
        <v>1807</v>
      </c>
    </row>
    <row r="3403" spans="1:4" x14ac:dyDescent="0.2">
      <c r="A3403" t="s">
        <v>5199</v>
      </c>
      <c r="B3403" s="2">
        <v>43234</v>
      </c>
      <c r="C3403" t="s">
        <v>2048</v>
      </c>
      <c r="D3403" t="s">
        <v>1807</v>
      </c>
    </row>
    <row r="3404" spans="1:4" x14ac:dyDescent="0.2">
      <c r="A3404" t="s">
        <v>5200</v>
      </c>
      <c r="B3404" s="2">
        <v>43149</v>
      </c>
      <c r="C3404" t="s">
        <v>2669</v>
      </c>
      <c r="D3404" t="s">
        <v>1807</v>
      </c>
    </row>
    <row r="3405" spans="1:4" x14ac:dyDescent="0.2">
      <c r="A3405" t="s">
        <v>5201</v>
      </c>
      <c r="B3405" s="2">
        <v>43161</v>
      </c>
      <c r="C3405" t="s">
        <v>2048</v>
      </c>
      <c r="D3405" t="s">
        <v>1840</v>
      </c>
    </row>
    <row r="3406" spans="1:4" x14ac:dyDescent="0.2">
      <c r="A3406" t="s">
        <v>5202</v>
      </c>
      <c r="B3406" s="2">
        <v>43151</v>
      </c>
      <c r="C3406" t="s">
        <v>2048</v>
      </c>
      <c r="D3406" t="s">
        <v>1807</v>
      </c>
    </row>
    <row r="3407" spans="1:4" x14ac:dyDescent="0.2">
      <c r="A3407" t="s">
        <v>5203</v>
      </c>
      <c r="B3407" s="2">
        <v>43031</v>
      </c>
      <c r="C3407" t="s">
        <v>2131</v>
      </c>
      <c r="D3407" t="s">
        <v>1807</v>
      </c>
    </row>
    <row r="3408" spans="1:4" x14ac:dyDescent="0.2">
      <c r="A3408" t="s">
        <v>5204</v>
      </c>
      <c r="B3408" s="2">
        <v>43152</v>
      </c>
      <c r="C3408" t="s">
        <v>5205</v>
      </c>
      <c r="D3408" t="s">
        <v>1807</v>
      </c>
    </row>
    <row r="3409" spans="1:4" x14ac:dyDescent="0.2">
      <c r="A3409" t="s">
        <v>5206</v>
      </c>
      <c r="B3409" s="2">
        <v>43140</v>
      </c>
      <c r="C3409" t="s">
        <v>1905</v>
      </c>
      <c r="D3409" t="s">
        <v>1807</v>
      </c>
    </row>
    <row r="3410" spans="1:4" x14ac:dyDescent="0.2">
      <c r="A3410" t="s">
        <v>5207</v>
      </c>
      <c r="B3410" s="2">
        <v>43016</v>
      </c>
      <c r="C3410" t="s">
        <v>2216</v>
      </c>
      <c r="D3410" t="s">
        <v>1807</v>
      </c>
    </row>
    <row r="3411" spans="1:4" x14ac:dyDescent="0.2">
      <c r="A3411" t="s">
        <v>5208</v>
      </c>
      <c r="B3411" s="2">
        <v>43191</v>
      </c>
      <c r="C3411" t="s">
        <v>1825</v>
      </c>
      <c r="D3411" t="s">
        <v>1804</v>
      </c>
    </row>
    <row r="3412" spans="1:4" x14ac:dyDescent="0.2">
      <c r="A3412" t="s">
        <v>5209</v>
      </c>
      <c r="B3412" s="2">
        <v>43209</v>
      </c>
      <c r="C3412" t="s">
        <v>1816</v>
      </c>
      <c r="D3412" t="s">
        <v>1804</v>
      </c>
    </row>
    <row r="3413" spans="1:4" x14ac:dyDescent="0.2">
      <c r="A3413" t="s">
        <v>5210</v>
      </c>
      <c r="B3413" s="2">
        <v>43191</v>
      </c>
      <c r="C3413" t="s">
        <v>1863</v>
      </c>
      <c r="D3413" t="s">
        <v>1804</v>
      </c>
    </row>
    <row r="3414" spans="1:4" x14ac:dyDescent="0.2">
      <c r="A3414" t="s">
        <v>5211</v>
      </c>
      <c r="B3414" s="2">
        <v>43091</v>
      </c>
      <c r="C3414" t="s">
        <v>1803</v>
      </c>
      <c r="D3414" t="s">
        <v>1810</v>
      </c>
    </row>
    <row r="3415" spans="1:4" x14ac:dyDescent="0.2">
      <c r="A3415" t="s">
        <v>5212</v>
      </c>
      <c r="B3415" s="2">
        <v>43040</v>
      </c>
      <c r="C3415" t="s">
        <v>1806</v>
      </c>
      <c r="D3415" t="s">
        <v>1807</v>
      </c>
    </row>
    <row r="3416" spans="1:4" x14ac:dyDescent="0.2">
      <c r="A3416" t="s">
        <v>5213</v>
      </c>
      <c r="B3416" s="2">
        <v>43243</v>
      </c>
      <c r="C3416" t="s">
        <v>1863</v>
      </c>
      <c r="D3416" t="s">
        <v>1804</v>
      </c>
    </row>
    <row r="3417" spans="1:4" x14ac:dyDescent="0.2">
      <c r="A3417" t="s">
        <v>5214</v>
      </c>
      <c r="B3417" s="2">
        <v>43174</v>
      </c>
      <c r="C3417" t="s">
        <v>1836</v>
      </c>
      <c r="D3417" t="s">
        <v>1810</v>
      </c>
    </row>
    <row r="3418" spans="1:4" x14ac:dyDescent="0.2">
      <c r="A3418" t="s">
        <v>5215</v>
      </c>
      <c r="B3418" s="2">
        <v>43165</v>
      </c>
      <c r="C3418" t="s">
        <v>3333</v>
      </c>
      <c r="D3418" t="s">
        <v>1813</v>
      </c>
    </row>
    <row r="3419" spans="1:4" x14ac:dyDescent="0.2">
      <c r="A3419" t="s">
        <v>5216</v>
      </c>
      <c r="B3419" s="2">
        <v>43028</v>
      </c>
      <c r="C3419" t="s">
        <v>1803</v>
      </c>
      <c r="D3419" t="s">
        <v>1804</v>
      </c>
    </row>
    <row r="3420" spans="1:4" x14ac:dyDescent="0.2">
      <c r="A3420" t="s">
        <v>5217</v>
      </c>
      <c r="B3420" s="2">
        <v>43148</v>
      </c>
      <c r="C3420" t="s">
        <v>1885</v>
      </c>
      <c r="D3420" t="s">
        <v>1807</v>
      </c>
    </row>
    <row r="3421" spans="1:4" x14ac:dyDescent="0.2">
      <c r="A3421" t="s">
        <v>5218</v>
      </c>
      <c r="B3421" s="2">
        <v>43227</v>
      </c>
      <c r="C3421" t="s">
        <v>5219</v>
      </c>
      <c r="D3421" t="s">
        <v>1031</v>
      </c>
    </row>
    <row r="3422" spans="1:4" x14ac:dyDescent="0.2">
      <c r="A3422" t="s">
        <v>5220</v>
      </c>
      <c r="B3422" s="2">
        <v>43083</v>
      </c>
      <c r="C3422" t="s">
        <v>1836</v>
      </c>
      <c r="D3422" t="s">
        <v>1031</v>
      </c>
    </row>
    <row r="3423" spans="1:4" x14ac:dyDescent="0.2">
      <c r="A3423" t="s">
        <v>781</v>
      </c>
      <c r="B3423" s="2">
        <v>43158</v>
      </c>
      <c r="C3423" t="s">
        <v>1885</v>
      </c>
      <c r="D3423" t="s">
        <v>1807</v>
      </c>
    </row>
    <row r="3424" spans="1:4" x14ac:dyDescent="0.2">
      <c r="A3424" t="s">
        <v>5221</v>
      </c>
      <c r="B3424" s="2">
        <v>43095</v>
      </c>
      <c r="C3424" t="s">
        <v>1803</v>
      </c>
      <c r="D3424" t="s">
        <v>1810</v>
      </c>
    </row>
    <row r="3425" spans="1:4" x14ac:dyDescent="0.2">
      <c r="A3425" t="s">
        <v>5222</v>
      </c>
      <c r="B3425" s="2">
        <v>43157</v>
      </c>
      <c r="C3425" t="s">
        <v>1816</v>
      </c>
      <c r="D3425" t="s">
        <v>1807</v>
      </c>
    </row>
    <row r="3426" spans="1:4" x14ac:dyDescent="0.2">
      <c r="A3426" t="s">
        <v>5223</v>
      </c>
      <c r="B3426" s="2">
        <v>43173</v>
      </c>
      <c r="C3426" t="s">
        <v>1831</v>
      </c>
      <c r="D3426" t="s">
        <v>160</v>
      </c>
    </row>
    <row r="3427" spans="1:4" x14ac:dyDescent="0.2">
      <c r="A3427" t="s">
        <v>5224</v>
      </c>
      <c r="B3427" s="2">
        <v>43173</v>
      </c>
      <c r="C3427" t="s">
        <v>1836</v>
      </c>
      <c r="D3427" t="s">
        <v>1807</v>
      </c>
    </row>
    <row r="3428" spans="1:4" x14ac:dyDescent="0.2">
      <c r="A3428" t="s">
        <v>5225</v>
      </c>
      <c r="B3428" s="2">
        <v>43192</v>
      </c>
      <c r="C3428" t="s">
        <v>1863</v>
      </c>
      <c r="D3428" t="s">
        <v>1804</v>
      </c>
    </row>
    <row r="3429" spans="1:4" x14ac:dyDescent="0.2">
      <c r="A3429" t="s">
        <v>5226</v>
      </c>
      <c r="B3429" s="2">
        <v>43214</v>
      </c>
      <c r="C3429" t="s">
        <v>1816</v>
      </c>
      <c r="D3429" t="s">
        <v>1796</v>
      </c>
    </row>
    <row r="3430" spans="1:4" x14ac:dyDescent="0.2">
      <c r="A3430" t="s">
        <v>5227</v>
      </c>
      <c r="B3430" s="2">
        <v>43215</v>
      </c>
      <c r="C3430" t="s">
        <v>1867</v>
      </c>
      <c r="D3430" t="s">
        <v>1810</v>
      </c>
    </row>
    <row r="3431" spans="1:4" x14ac:dyDescent="0.2">
      <c r="A3431" t="s">
        <v>5228</v>
      </c>
      <c r="B3431" s="2">
        <v>43165</v>
      </c>
      <c r="C3431" t="s">
        <v>1816</v>
      </c>
      <c r="D3431" t="s">
        <v>1810</v>
      </c>
    </row>
    <row r="3432" spans="1:4" x14ac:dyDescent="0.2">
      <c r="A3432" t="s">
        <v>5229</v>
      </c>
      <c r="B3432" s="2">
        <v>43185</v>
      </c>
      <c r="C3432" t="s">
        <v>2515</v>
      </c>
      <c r="D3432" t="s">
        <v>1810</v>
      </c>
    </row>
    <row r="3433" spans="1:4" x14ac:dyDescent="0.2">
      <c r="A3433" t="s">
        <v>5230</v>
      </c>
      <c r="B3433" s="2">
        <v>42991</v>
      </c>
      <c r="C3433" t="s">
        <v>2276</v>
      </c>
      <c r="D3433" t="s">
        <v>1813</v>
      </c>
    </row>
    <row r="3434" spans="1:4" x14ac:dyDescent="0.2">
      <c r="A3434" t="s">
        <v>5231</v>
      </c>
      <c r="B3434" s="2">
        <v>43168</v>
      </c>
      <c r="C3434" t="s">
        <v>1803</v>
      </c>
      <c r="D3434" t="s">
        <v>1804</v>
      </c>
    </row>
    <row r="3435" spans="1:4" x14ac:dyDescent="0.2">
      <c r="A3435" t="s">
        <v>5232</v>
      </c>
      <c r="B3435" s="2">
        <v>43010</v>
      </c>
      <c r="C3435" t="s">
        <v>1867</v>
      </c>
      <c r="D3435" t="s">
        <v>1840</v>
      </c>
    </row>
    <row r="3436" spans="1:4" x14ac:dyDescent="0.2">
      <c r="A3436" t="s">
        <v>5233</v>
      </c>
      <c r="B3436" s="2">
        <v>43207</v>
      </c>
      <c r="C3436" t="s">
        <v>1996</v>
      </c>
      <c r="D3436" t="s">
        <v>1804</v>
      </c>
    </row>
    <row r="3437" spans="1:4" x14ac:dyDescent="0.2">
      <c r="A3437" t="s">
        <v>5234</v>
      </c>
      <c r="B3437" s="2">
        <v>43174</v>
      </c>
      <c r="C3437" t="s">
        <v>1836</v>
      </c>
      <c r="D3437" t="s">
        <v>1031</v>
      </c>
    </row>
    <row r="3438" spans="1:4" x14ac:dyDescent="0.2">
      <c r="A3438" t="s">
        <v>5235</v>
      </c>
      <c r="B3438" s="2">
        <v>43169</v>
      </c>
      <c r="C3438" t="s">
        <v>1825</v>
      </c>
      <c r="D3438" t="s">
        <v>1810</v>
      </c>
    </row>
    <row r="3439" spans="1:4" x14ac:dyDescent="0.2">
      <c r="A3439" t="s">
        <v>5236</v>
      </c>
      <c r="B3439" s="2">
        <v>43143</v>
      </c>
      <c r="C3439" t="s">
        <v>1803</v>
      </c>
      <c r="D3439" t="s">
        <v>1804</v>
      </c>
    </row>
    <row r="3440" spans="1:4" x14ac:dyDescent="0.2">
      <c r="A3440" t="s">
        <v>5237</v>
      </c>
      <c r="B3440" s="2">
        <v>43116</v>
      </c>
      <c r="C3440" t="s">
        <v>1836</v>
      </c>
      <c r="D3440" t="s">
        <v>1810</v>
      </c>
    </row>
    <row r="3441" spans="1:4" x14ac:dyDescent="0.2">
      <c r="A3441" t="s">
        <v>5238</v>
      </c>
      <c r="B3441" s="2">
        <v>43076</v>
      </c>
      <c r="C3441" t="s">
        <v>1803</v>
      </c>
      <c r="D3441" t="s">
        <v>1804</v>
      </c>
    </row>
    <row r="3442" spans="1:4" x14ac:dyDescent="0.2">
      <c r="A3442" t="s">
        <v>5239</v>
      </c>
      <c r="B3442" s="2">
        <v>43217</v>
      </c>
      <c r="C3442" t="s">
        <v>2204</v>
      </c>
      <c r="D3442" t="s">
        <v>1807</v>
      </c>
    </row>
    <row r="3443" spans="1:4" x14ac:dyDescent="0.2">
      <c r="A3443" t="s">
        <v>5240</v>
      </c>
      <c r="B3443" s="2">
        <v>43043</v>
      </c>
      <c r="C3443" t="s">
        <v>1816</v>
      </c>
      <c r="D3443" t="s">
        <v>1804</v>
      </c>
    </row>
    <row r="3444" spans="1:4" x14ac:dyDescent="0.2">
      <c r="A3444" t="s">
        <v>5241</v>
      </c>
      <c r="B3444" s="2">
        <v>43194</v>
      </c>
      <c r="C3444" t="s">
        <v>1865</v>
      </c>
      <c r="D3444" t="s">
        <v>1810</v>
      </c>
    </row>
    <row r="3445" spans="1:4" x14ac:dyDescent="0.2">
      <c r="A3445" t="s">
        <v>5242</v>
      </c>
      <c r="B3445" s="2">
        <v>43025</v>
      </c>
      <c r="C3445" t="s">
        <v>1887</v>
      </c>
      <c r="D3445" t="s">
        <v>1807</v>
      </c>
    </row>
    <row r="3446" spans="1:4" x14ac:dyDescent="0.2">
      <c r="A3446" t="s">
        <v>5243</v>
      </c>
      <c r="B3446" s="2">
        <v>43192</v>
      </c>
      <c r="C3446" t="s">
        <v>2321</v>
      </c>
      <c r="D3446" t="s">
        <v>1810</v>
      </c>
    </row>
    <row r="3447" spans="1:4" x14ac:dyDescent="0.2">
      <c r="A3447" t="s">
        <v>5244</v>
      </c>
      <c r="B3447" s="2">
        <v>43123</v>
      </c>
      <c r="C3447" t="s">
        <v>1836</v>
      </c>
      <c r="D3447" t="s">
        <v>1031</v>
      </c>
    </row>
    <row r="3448" spans="1:4" x14ac:dyDescent="0.2">
      <c r="A3448" t="s">
        <v>5245</v>
      </c>
      <c r="B3448" s="2">
        <v>43208</v>
      </c>
      <c r="C3448" t="s">
        <v>1836</v>
      </c>
      <c r="D3448" t="s">
        <v>1031</v>
      </c>
    </row>
    <row r="3449" spans="1:4" x14ac:dyDescent="0.2">
      <c r="A3449" t="s">
        <v>5246</v>
      </c>
      <c r="B3449" s="2">
        <v>43173</v>
      </c>
      <c r="C3449" t="s">
        <v>2019</v>
      </c>
      <c r="D3449" t="s">
        <v>1813</v>
      </c>
    </row>
    <row r="3450" spans="1:4" x14ac:dyDescent="0.2">
      <c r="A3450" t="s">
        <v>5247</v>
      </c>
      <c r="B3450" s="2">
        <v>43149</v>
      </c>
      <c r="C3450" t="s">
        <v>5248</v>
      </c>
      <c r="D3450" t="s">
        <v>1804</v>
      </c>
    </row>
    <row r="3451" spans="1:4" x14ac:dyDescent="0.2">
      <c r="A3451" t="s">
        <v>783</v>
      </c>
      <c r="B3451" s="2">
        <v>43157</v>
      </c>
      <c r="C3451" t="s">
        <v>1814</v>
      </c>
      <c r="D3451" t="s">
        <v>1810</v>
      </c>
    </row>
    <row r="3452" spans="1:4" x14ac:dyDescent="0.2">
      <c r="A3452" t="s">
        <v>5249</v>
      </c>
      <c r="B3452" s="2">
        <v>43222</v>
      </c>
      <c r="C3452" t="s">
        <v>1998</v>
      </c>
      <c r="D3452" t="s">
        <v>1807</v>
      </c>
    </row>
    <row r="3453" spans="1:4" x14ac:dyDescent="0.2">
      <c r="A3453" t="s">
        <v>5250</v>
      </c>
      <c r="B3453" s="2">
        <v>43020</v>
      </c>
      <c r="C3453" t="s">
        <v>1825</v>
      </c>
      <c r="D3453" t="s">
        <v>1810</v>
      </c>
    </row>
    <row r="3454" spans="1:4" x14ac:dyDescent="0.2">
      <c r="A3454" t="s">
        <v>785</v>
      </c>
      <c r="B3454" s="2">
        <v>43125</v>
      </c>
      <c r="C3454" t="s">
        <v>1816</v>
      </c>
      <c r="D3454" t="s">
        <v>1807</v>
      </c>
    </row>
    <row r="3455" spans="1:4" x14ac:dyDescent="0.2">
      <c r="A3455" t="s">
        <v>5251</v>
      </c>
      <c r="B3455" s="2">
        <v>43171</v>
      </c>
      <c r="C3455" t="s">
        <v>5252</v>
      </c>
      <c r="D3455" t="s">
        <v>1031</v>
      </c>
    </row>
    <row r="3456" spans="1:4" x14ac:dyDescent="0.2">
      <c r="A3456" t="s">
        <v>5253</v>
      </c>
      <c r="B3456" s="2">
        <v>43164</v>
      </c>
      <c r="C3456" t="s">
        <v>1806</v>
      </c>
      <c r="D3456" t="s">
        <v>1807</v>
      </c>
    </row>
    <row r="3457" spans="1:4" x14ac:dyDescent="0.2">
      <c r="A3457" t="s">
        <v>5254</v>
      </c>
      <c r="B3457" s="2">
        <v>43060</v>
      </c>
      <c r="C3457" t="s">
        <v>1939</v>
      </c>
      <c r="D3457" t="s">
        <v>1807</v>
      </c>
    </row>
    <row r="3458" spans="1:4" x14ac:dyDescent="0.2">
      <c r="A3458" t="s">
        <v>5255</v>
      </c>
      <c r="B3458" s="2">
        <v>43050</v>
      </c>
      <c r="C3458" t="s">
        <v>1905</v>
      </c>
      <c r="D3458" t="s">
        <v>1031</v>
      </c>
    </row>
    <row r="3459" spans="1:4" x14ac:dyDescent="0.2">
      <c r="A3459" t="s">
        <v>5256</v>
      </c>
      <c r="B3459" s="2">
        <v>43215</v>
      </c>
      <c r="C3459" t="s">
        <v>1909</v>
      </c>
      <c r="D3459" t="s">
        <v>1813</v>
      </c>
    </row>
    <row r="3460" spans="1:4" x14ac:dyDescent="0.2">
      <c r="A3460" t="s">
        <v>5257</v>
      </c>
      <c r="B3460" s="2">
        <v>43233</v>
      </c>
      <c r="C3460" t="s">
        <v>1863</v>
      </c>
      <c r="D3460" t="s">
        <v>1804</v>
      </c>
    </row>
    <row r="3461" spans="1:4" x14ac:dyDescent="0.2">
      <c r="A3461" t="s">
        <v>5258</v>
      </c>
      <c r="B3461" s="2">
        <v>43206</v>
      </c>
      <c r="C3461" t="s">
        <v>1996</v>
      </c>
      <c r="D3461" t="s">
        <v>1804</v>
      </c>
    </row>
    <row r="3462" spans="1:4" x14ac:dyDescent="0.2">
      <c r="A3462" t="s">
        <v>5259</v>
      </c>
      <c r="B3462" s="2">
        <v>43059</v>
      </c>
      <c r="C3462" t="s">
        <v>1889</v>
      </c>
      <c r="D3462" t="s">
        <v>1804</v>
      </c>
    </row>
    <row r="3463" spans="1:4" x14ac:dyDescent="0.2">
      <c r="A3463" t="s">
        <v>5260</v>
      </c>
      <c r="B3463" s="2">
        <v>43150</v>
      </c>
      <c r="C3463" t="s">
        <v>1809</v>
      </c>
      <c r="D3463" t="s">
        <v>1849</v>
      </c>
    </row>
    <row r="3464" spans="1:4" x14ac:dyDescent="0.2">
      <c r="A3464" t="s">
        <v>5261</v>
      </c>
      <c r="B3464" s="2">
        <v>42961</v>
      </c>
      <c r="C3464" t="s">
        <v>2143</v>
      </c>
      <c r="D3464" t="s">
        <v>1810</v>
      </c>
    </row>
    <row r="3465" spans="1:4" x14ac:dyDescent="0.2">
      <c r="A3465" t="s">
        <v>5262</v>
      </c>
      <c r="B3465" s="2">
        <v>43157</v>
      </c>
      <c r="C3465" t="s">
        <v>1836</v>
      </c>
      <c r="D3465" t="s">
        <v>1031</v>
      </c>
    </row>
    <row r="3466" spans="1:4" x14ac:dyDescent="0.2">
      <c r="A3466" t="s">
        <v>5263</v>
      </c>
      <c r="B3466" s="2">
        <v>43031</v>
      </c>
      <c r="C3466" t="s">
        <v>2012</v>
      </c>
      <c r="D3466" t="s">
        <v>1807</v>
      </c>
    </row>
    <row r="3467" spans="1:4" x14ac:dyDescent="0.2">
      <c r="A3467" t="s">
        <v>5264</v>
      </c>
      <c r="B3467" s="2">
        <v>42957</v>
      </c>
      <c r="C3467" t="s">
        <v>2143</v>
      </c>
      <c r="D3467" t="s">
        <v>1810</v>
      </c>
    </row>
    <row r="3468" spans="1:4" x14ac:dyDescent="0.2">
      <c r="A3468" t="s">
        <v>5265</v>
      </c>
      <c r="B3468" s="2">
        <v>43115</v>
      </c>
      <c r="C3468" t="s">
        <v>1816</v>
      </c>
      <c r="D3468" t="s">
        <v>1810</v>
      </c>
    </row>
    <row r="3469" spans="1:4" x14ac:dyDescent="0.2">
      <c r="A3469" t="s">
        <v>5266</v>
      </c>
      <c r="B3469" s="2">
        <v>43018</v>
      </c>
      <c r="C3469" t="s">
        <v>1836</v>
      </c>
      <c r="D3469" t="s">
        <v>1031</v>
      </c>
    </row>
    <row r="3470" spans="1:4" x14ac:dyDescent="0.2">
      <c r="A3470" t="s">
        <v>5267</v>
      </c>
      <c r="B3470" s="2">
        <v>42977</v>
      </c>
      <c r="C3470" t="s">
        <v>1825</v>
      </c>
      <c r="D3470" t="s">
        <v>1810</v>
      </c>
    </row>
    <row r="3471" spans="1:4" x14ac:dyDescent="0.2">
      <c r="A3471" t="s">
        <v>5268</v>
      </c>
      <c r="B3471" s="2">
        <v>42970</v>
      </c>
      <c r="C3471" t="s">
        <v>2143</v>
      </c>
      <c r="D3471" t="s">
        <v>1810</v>
      </c>
    </row>
    <row r="3472" spans="1:4" x14ac:dyDescent="0.2">
      <c r="A3472" t="s">
        <v>5269</v>
      </c>
      <c r="B3472" s="2">
        <v>43129</v>
      </c>
      <c r="C3472" t="s">
        <v>1803</v>
      </c>
      <c r="D3472" t="s">
        <v>1804</v>
      </c>
    </row>
    <row r="3473" spans="1:4" x14ac:dyDescent="0.2">
      <c r="A3473" t="s">
        <v>5270</v>
      </c>
      <c r="B3473" s="2">
        <v>43110</v>
      </c>
      <c r="C3473" t="s">
        <v>1816</v>
      </c>
      <c r="D3473" t="s">
        <v>1810</v>
      </c>
    </row>
    <row r="3474" spans="1:4" x14ac:dyDescent="0.2">
      <c r="A3474" t="s">
        <v>5271</v>
      </c>
      <c r="B3474" s="2">
        <v>43228</v>
      </c>
      <c r="C3474" t="s">
        <v>2342</v>
      </c>
      <c r="D3474" t="s">
        <v>1810</v>
      </c>
    </row>
    <row r="3475" spans="1:4" x14ac:dyDescent="0.2">
      <c r="A3475" t="s">
        <v>5272</v>
      </c>
      <c r="B3475" s="2">
        <v>42991</v>
      </c>
      <c r="C3475" t="s">
        <v>1816</v>
      </c>
      <c r="D3475" t="s">
        <v>1810</v>
      </c>
    </row>
    <row r="3476" spans="1:4" x14ac:dyDescent="0.2">
      <c r="A3476" t="s">
        <v>5273</v>
      </c>
      <c r="B3476" s="2">
        <v>43104</v>
      </c>
      <c r="C3476" t="s">
        <v>1836</v>
      </c>
      <c r="D3476" t="s">
        <v>1031</v>
      </c>
    </row>
    <row r="3477" spans="1:4" x14ac:dyDescent="0.2">
      <c r="A3477" t="s">
        <v>5274</v>
      </c>
      <c r="B3477" s="2">
        <v>43165</v>
      </c>
      <c r="C3477" t="s">
        <v>1825</v>
      </c>
      <c r="D3477" t="s">
        <v>1840</v>
      </c>
    </row>
    <row r="3478" spans="1:4" x14ac:dyDescent="0.2">
      <c r="A3478" t="s">
        <v>787</v>
      </c>
      <c r="B3478" s="2">
        <v>43196</v>
      </c>
      <c r="C3478" t="s">
        <v>1827</v>
      </c>
      <c r="D3478" t="s">
        <v>1810</v>
      </c>
    </row>
    <row r="3479" spans="1:4" x14ac:dyDescent="0.2">
      <c r="A3479" t="s">
        <v>5275</v>
      </c>
      <c r="B3479" s="2">
        <v>43181</v>
      </c>
      <c r="C3479" t="s">
        <v>1905</v>
      </c>
      <c r="D3479" t="s">
        <v>1829</v>
      </c>
    </row>
    <row r="3480" spans="1:4" x14ac:dyDescent="0.2">
      <c r="A3480" t="s">
        <v>5276</v>
      </c>
      <c r="B3480" s="2">
        <v>42971</v>
      </c>
      <c r="C3480" t="s">
        <v>1825</v>
      </c>
      <c r="D3480" t="s">
        <v>1810</v>
      </c>
    </row>
    <row r="3481" spans="1:4" x14ac:dyDescent="0.2">
      <c r="A3481" t="s">
        <v>5277</v>
      </c>
      <c r="B3481" s="2">
        <v>43104</v>
      </c>
      <c r="C3481" t="s">
        <v>1816</v>
      </c>
      <c r="D3481" t="s">
        <v>1810</v>
      </c>
    </row>
    <row r="3482" spans="1:4" x14ac:dyDescent="0.2">
      <c r="A3482" t="s">
        <v>5278</v>
      </c>
      <c r="B3482" s="2">
        <v>43014</v>
      </c>
      <c r="C3482" t="s">
        <v>2357</v>
      </c>
      <c r="D3482" t="s">
        <v>1813</v>
      </c>
    </row>
    <row r="3483" spans="1:4" x14ac:dyDescent="0.2">
      <c r="A3483" t="s">
        <v>5279</v>
      </c>
      <c r="B3483" s="2">
        <v>43160</v>
      </c>
      <c r="C3483" t="s">
        <v>2033</v>
      </c>
      <c r="D3483" t="s">
        <v>1807</v>
      </c>
    </row>
    <row r="3484" spans="1:4" x14ac:dyDescent="0.2">
      <c r="A3484" t="s">
        <v>5280</v>
      </c>
      <c r="B3484" s="2">
        <v>43168</v>
      </c>
      <c r="C3484" t="s">
        <v>1993</v>
      </c>
      <c r="D3484" t="s">
        <v>1804</v>
      </c>
    </row>
    <row r="3485" spans="1:4" x14ac:dyDescent="0.2">
      <c r="A3485" t="s">
        <v>5281</v>
      </c>
      <c r="B3485" s="2">
        <v>43209</v>
      </c>
      <c r="C3485" t="s">
        <v>1863</v>
      </c>
      <c r="D3485" t="s">
        <v>1804</v>
      </c>
    </row>
    <row r="3486" spans="1:4" x14ac:dyDescent="0.2">
      <c r="A3486" t="s">
        <v>789</v>
      </c>
      <c r="B3486" s="2">
        <v>43164</v>
      </c>
      <c r="C3486" t="s">
        <v>1836</v>
      </c>
      <c r="D3486" t="s">
        <v>1031</v>
      </c>
    </row>
    <row r="3487" spans="1:4" x14ac:dyDescent="0.2">
      <c r="A3487" t="s">
        <v>5282</v>
      </c>
      <c r="B3487" s="2">
        <v>43244</v>
      </c>
      <c r="C3487" t="s">
        <v>1827</v>
      </c>
      <c r="D3487" t="s">
        <v>1807</v>
      </c>
    </row>
    <row r="3488" spans="1:4" x14ac:dyDescent="0.2">
      <c r="A3488" t="s">
        <v>5283</v>
      </c>
      <c r="B3488" s="2">
        <v>43168</v>
      </c>
      <c r="C3488" t="s">
        <v>1836</v>
      </c>
      <c r="D3488" t="s">
        <v>1031</v>
      </c>
    </row>
    <row r="3489" spans="1:4" x14ac:dyDescent="0.2">
      <c r="A3489" t="s">
        <v>5284</v>
      </c>
      <c r="B3489" s="2">
        <v>43014</v>
      </c>
      <c r="C3489" t="s">
        <v>1806</v>
      </c>
      <c r="D3489" t="s">
        <v>1810</v>
      </c>
    </row>
    <row r="3490" spans="1:4" x14ac:dyDescent="0.2">
      <c r="A3490" t="s">
        <v>5285</v>
      </c>
      <c r="B3490" s="2">
        <v>43108</v>
      </c>
      <c r="C3490" t="s">
        <v>2054</v>
      </c>
      <c r="D3490" t="s">
        <v>1807</v>
      </c>
    </row>
    <row r="3491" spans="1:4" x14ac:dyDescent="0.2">
      <c r="A3491" t="s">
        <v>5286</v>
      </c>
      <c r="B3491" s="2">
        <v>43097</v>
      </c>
      <c r="C3491" t="s">
        <v>1939</v>
      </c>
      <c r="D3491" t="s">
        <v>1807</v>
      </c>
    </row>
    <row r="3492" spans="1:4" x14ac:dyDescent="0.2">
      <c r="A3492" t="s">
        <v>5287</v>
      </c>
      <c r="B3492" s="2">
        <v>42995</v>
      </c>
      <c r="C3492" t="s">
        <v>1894</v>
      </c>
      <c r="D3492" t="s">
        <v>1804</v>
      </c>
    </row>
    <row r="3493" spans="1:4" x14ac:dyDescent="0.2">
      <c r="A3493" t="s">
        <v>5288</v>
      </c>
      <c r="B3493" s="2">
        <v>42940</v>
      </c>
      <c r="C3493" t="s">
        <v>1836</v>
      </c>
      <c r="D3493" t="s">
        <v>1031</v>
      </c>
    </row>
    <row r="3494" spans="1:4" x14ac:dyDescent="0.2">
      <c r="A3494" t="s">
        <v>791</v>
      </c>
      <c r="B3494" s="2">
        <v>43249</v>
      </c>
      <c r="C3494" t="s">
        <v>1836</v>
      </c>
      <c r="D3494" t="s">
        <v>1807</v>
      </c>
    </row>
    <row r="3495" spans="1:4" x14ac:dyDescent="0.2">
      <c r="A3495" t="s">
        <v>5289</v>
      </c>
      <c r="B3495" s="2">
        <v>43124</v>
      </c>
      <c r="C3495" t="s">
        <v>2163</v>
      </c>
      <c r="D3495" t="s">
        <v>1840</v>
      </c>
    </row>
    <row r="3496" spans="1:4" x14ac:dyDescent="0.2">
      <c r="A3496" t="s">
        <v>5290</v>
      </c>
      <c r="B3496" s="2">
        <v>42936</v>
      </c>
      <c r="C3496" t="s">
        <v>1836</v>
      </c>
      <c r="D3496" t="s">
        <v>1031</v>
      </c>
    </row>
    <row r="3497" spans="1:4" x14ac:dyDescent="0.2">
      <c r="A3497" t="s">
        <v>5291</v>
      </c>
      <c r="B3497" s="2">
        <v>43215</v>
      </c>
      <c r="C3497" t="s">
        <v>1825</v>
      </c>
      <c r="D3497" t="s">
        <v>1840</v>
      </c>
    </row>
    <row r="3498" spans="1:4" x14ac:dyDescent="0.2">
      <c r="A3498" t="s">
        <v>5292</v>
      </c>
      <c r="B3498" s="2">
        <v>43017</v>
      </c>
      <c r="C3498" t="s">
        <v>1816</v>
      </c>
      <c r="D3498" t="s">
        <v>1031</v>
      </c>
    </row>
    <row r="3499" spans="1:4" x14ac:dyDescent="0.2">
      <c r="A3499" t="s">
        <v>5293</v>
      </c>
      <c r="B3499" s="2">
        <v>43007</v>
      </c>
      <c r="C3499" t="s">
        <v>5294</v>
      </c>
      <c r="D3499" t="s">
        <v>1804</v>
      </c>
    </row>
    <row r="3500" spans="1:4" x14ac:dyDescent="0.2">
      <c r="A3500" t="s">
        <v>5295</v>
      </c>
      <c r="B3500" s="2">
        <v>42982</v>
      </c>
      <c r="C3500" t="s">
        <v>1806</v>
      </c>
      <c r="D3500" t="s">
        <v>1807</v>
      </c>
    </row>
    <row r="3501" spans="1:4" x14ac:dyDescent="0.2">
      <c r="A3501" t="s">
        <v>5296</v>
      </c>
      <c r="B3501" s="2">
        <v>42955</v>
      </c>
      <c r="C3501" t="s">
        <v>3101</v>
      </c>
      <c r="D3501" t="s">
        <v>1031</v>
      </c>
    </row>
    <row r="3502" spans="1:4" x14ac:dyDescent="0.2">
      <c r="A3502" t="s">
        <v>793</v>
      </c>
      <c r="B3502" s="2">
        <v>43157</v>
      </c>
      <c r="C3502" t="s">
        <v>1836</v>
      </c>
      <c r="D3502" t="s">
        <v>1031</v>
      </c>
    </row>
    <row r="3503" spans="1:4" x14ac:dyDescent="0.2">
      <c r="A3503" t="s">
        <v>5297</v>
      </c>
      <c r="B3503" s="2">
        <v>43245</v>
      </c>
      <c r="C3503" t="s">
        <v>1863</v>
      </c>
      <c r="D3503" t="s">
        <v>1804</v>
      </c>
    </row>
    <row r="3504" spans="1:4" x14ac:dyDescent="0.2">
      <c r="A3504" t="s">
        <v>795</v>
      </c>
      <c r="B3504" s="2">
        <v>43115</v>
      </c>
      <c r="C3504" t="s">
        <v>1816</v>
      </c>
      <c r="D3504" t="s">
        <v>1840</v>
      </c>
    </row>
    <row r="3505" spans="1:4" x14ac:dyDescent="0.2">
      <c r="A3505" t="s">
        <v>5298</v>
      </c>
      <c r="B3505" s="2">
        <v>43129</v>
      </c>
      <c r="C3505" t="s">
        <v>1836</v>
      </c>
      <c r="D3505" t="s">
        <v>1810</v>
      </c>
    </row>
    <row r="3506" spans="1:4" x14ac:dyDescent="0.2">
      <c r="A3506" t="s">
        <v>5299</v>
      </c>
      <c r="B3506" s="2">
        <v>43193</v>
      </c>
      <c r="C3506" t="s">
        <v>1885</v>
      </c>
      <c r="D3506" t="s">
        <v>1807</v>
      </c>
    </row>
    <row r="3507" spans="1:4" x14ac:dyDescent="0.2">
      <c r="A3507" t="s">
        <v>5300</v>
      </c>
      <c r="B3507" s="2">
        <v>43031</v>
      </c>
      <c r="C3507" t="s">
        <v>2131</v>
      </c>
      <c r="D3507" t="s">
        <v>1031</v>
      </c>
    </row>
    <row r="3508" spans="1:4" x14ac:dyDescent="0.2">
      <c r="A3508" t="s">
        <v>5301</v>
      </c>
      <c r="B3508" s="2">
        <v>43005</v>
      </c>
      <c r="C3508" t="s">
        <v>1987</v>
      </c>
      <c r="D3508" t="s">
        <v>1807</v>
      </c>
    </row>
    <row r="3509" spans="1:4" x14ac:dyDescent="0.2">
      <c r="A3509" t="s">
        <v>5302</v>
      </c>
      <c r="B3509" s="2">
        <v>43202</v>
      </c>
      <c r="C3509" t="s">
        <v>1863</v>
      </c>
      <c r="D3509" t="s">
        <v>1804</v>
      </c>
    </row>
    <row r="3510" spans="1:4" x14ac:dyDescent="0.2">
      <c r="A3510" t="s">
        <v>5303</v>
      </c>
      <c r="B3510" s="2">
        <v>43039</v>
      </c>
      <c r="C3510" t="s">
        <v>2321</v>
      </c>
      <c r="D3510" t="s">
        <v>1807</v>
      </c>
    </row>
    <row r="3511" spans="1:4" x14ac:dyDescent="0.2">
      <c r="A3511" t="s">
        <v>5304</v>
      </c>
      <c r="B3511" s="2">
        <v>43159</v>
      </c>
      <c r="C3511" t="s">
        <v>1816</v>
      </c>
      <c r="D3511" t="s">
        <v>1810</v>
      </c>
    </row>
    <row r="3512" spans="1:4" x14ac:dyDescent="0.2">
      <c r="A3512" t="s">
        <v>5305</v>
      </c>
      <c r="B3512" s="2">
        <v>43172</v>
      </c>
      <c r="C3512" t="s">
        <v>1836</v>
      </c>
      <c r="D3512" t="s">
        <v>1031</v>
      </c>
    </row>
    <row r="3513" spans="1:4" x14ac:dyDescent="0.2">
      <c r="A3513" t="s">
        <v>798</v>
      </c>
      <c r="B3513" s="2">
        <v>43053</v>
      </c>
      <c r="C3513" t="s">
        <v>1809</v>
      </c>
      <c r="D3513" t="s">
        <v>1810</v>
      </c>
    </row>
    <row r="3514" spans="1:4" x14ac:dyDescent="0.2">
      <c r="A3514" t="s">
        <v>5306</v>
      </c>
      <c r="B3514" s="2">
        <v>43125</v>
      </c>
      <c r="C3514" t="s">
        <v>1825</v>
      </c>
      <c r="D3514" t="s">
        <v>1810</v>
      </c>
    </row>
    <row r="3515" spans="1:4" x14ac:dyDescent="0.2">
      <c r="A3515" t="s">
        <v>5307</v>
      </c>
      <c r="B3515" s="2">
        <v>43229</v>
      </c>
      <c r="C3515" t="s">
        <v>2831</v>
      </c>
      <c r="D3515" t="s">
        <v>1807</v>
      </c>
    </row>
    <row r="3516" spans="1:4" x14ac:dyDescent="0.2">
      <c r="A3516" t="s">
        <v>5308</v>
      </c>
      <c r="B3516" s="2">
        <v>43160</v>
      </c>
      <c r="C3516" t="s">
        <v>1867</v>
      </c>
      <c r="D3516" t="s">
        <v>1031</v>
      </c>
    </row>
    <row r="3517" spans="1:4" x14ac:dyDescent="0.2">
      <c r="A3517" t="s">
        <v>5309</v>
      </c>
      <c r="B3517" s="2">
        <v>43171</v>
      </c>
      <c r="C3517" t="s">
        <v>5310</v>
      </c>
      <c r="D3517" t="s">
        <v>1810</v>
      </c>
    </row>
    <row r="3518" spans="1:4" x14ac:dyDescent="0.2">
      <c r="A3518" t="s">
        <v>5311</v>
      </c>
      <c r="B3518" s="2">
        <v>43108</v>
      </c>
      <c r="C3518" t="s">
        <v>2445</v>
      </c>
      <c r="D3518" t="s">
        <v>1807</v>
      </c>
    </row>
    <row r="3519" spans="1:4" x14ac:dyDescent="0.2">
      <c r="A3519" t="s">
        <v>5312</v>
      </c>
      <c r="B3519" s="2">
        <v>43189</v>
      </c>
      <c r="C3519" t="s">
        <v>1905</v>
      </c>
      <c r="D3519" t="s">
        <v>1840</v>
      </c>
    </row>
    <row r="3520" spans="1:4" x14ac:dyDescent="0.2">
      <c r="A3520" t="s">
        <v>5313</v>
      </c>
      <c r="B3520" s="2">
        <v>42941</v>
      </c>
      <c r="C3520" t="s">
        <v>2750</v>
      </c>
      <c r="D3520" t="s">
        <v>1807</v>
      </c>
    </row>
    <row r="3521" spans="1:4" x14ac:dyDescent="0.2">
      <c r="A3521" t="s">
        <v>5314</v>
      </c>
      <c r="B3521" s="2">
        <v>43045</v>
      </c>
      <c r="C3521" t="s">
        <v>1885</v>
      </c>
      <c r="D3521" t="s">
        <v>1810</v>
      </c>
    </row>
    <row r="3522" spans="1:4" x14ac:dyDescent="0.2">
      <c r="A3522" t="s">
        <v>5315</v>
      </c>
      <c r="B3522" s="2">
        <v>43060</v>
      </c>
      <c r="C3522" t="s">
        <v>1825</v>
      </c>
      <c r="D3522" t="s">
        <v>1810</v>
      </c>
    </row>
    <row r="3523" spans="1:4" x14ac:dyDescent="0.2">
      <c r="A3523" t="s">
        <v>801</v>
      </c>
      <c r="B3523" s="2">
        <v>43143</v>
      </c>
      <c r="C3523" t="s">
        <v>1809</v>
      </c>
      <c r="D3523" t="s">
        <v>1810</v>
      </c>
    </row>
    <row r="3524" spans="1:4" x14ac:dyDescent="0.2">
      <c r="A3524" t="s">
        <v>5316</v>
      </c>
      <c r="B3524" s="2">
        <v>42953</v>
      </c>
      <c r="C3524" t="s">
        <v>1836</v>
      </c>
      <c r="D3524" t="s">
        <v>1031</v>
      </c>
    </row>
    <row r="3525" spans="1:4" x14ac:dyDescent="0.2">
      <c r="A3525" t="s">
        <v>5317</v>
      </c>
      <c r="B3525" s="2">
        <v>43224</v>
      </c>
      <c r="C3525" t="s">
        <v>1836</v>
      </c>
      <c r="D3525" t="s">
        <v>1810</v>
      </c>
    </row>
    <row r="3526" spans="1:4" x14ac:dyDescent="0.2">
      <c r="A3526" t="s">
        <v>5318</v>
      </c>
      <c r="B3526" s="2">
        <v>42975</v>
      </c>
      <c r="C3526" t="s">
        <v>1894</v>
      </c>
      <c r="D3526" t="s">
        <v>1804</v>
      </c>
    </row>
    <row r="3527" spans="1:4" x14ac:dyDescent="0.2">
      <c r="A3527" t="s">
        <v>5319</v>
      </c>
      <c r="B3527" s="2">
        <v>43094</v>
      </c>
      <c r="C3527" t="s">
        <v>1803</v>
      </c>
      <c r="D3527" t="s">
        <v>1804</v>
      </c>
    </row>
    <row r="3528" spans="1:4" x14ac:dyDescent="0.2">
      <c r="A3528" t="s">
        <v>5320</v>
      </c>
      <c r="B3528" s="2">
        <v>43165</v>
      </c>
      <c r="C3528" t="s">
        <v>2048</v>
      </c>
      <c r="D3528" t="s">
        <v>1840</v>
      </c>
    </row>
    <row r="3529" spans="1:4" x14ac:dyDescent="0.2">
      <c r="A3529" t="s">
        <v>5321</v>
      </c>
      <c r="B3529" s="2">
        <v>43217</v>
      </c>
      <c r="C3529" t="s">
        <v>1863</v>
      </c>
      <c r="D3529" t="s">
        <v>1804</v>
      </c>
    </row>
    <row r="3530" spans="1:4" x14ac:dyDescent="0.2">
      <c r="A3530" t="s">
        <v>5322</v>
      </c>
      <c r="B3530" s="2">
        <v>43172</v>
      </c>
      <c r="C3530" t="s">
        <v>2187</v>
      </c>
      <c r="D3530" t="s">
        <v>1810</v>
      </c>
    </row>
    <row r="3531" spans="1:4" x14ac:dyDescent="0.2">
      <c r="A3531" t="s">
        <v>5323</v>
      </c>
      <c r="B3531" s="2">
        <v>43122</v>
      </c>
      <c r="C3531" t="s">
        <v>2108</v>
      </c>
      <c r="D3531" t="s">
        <v>1813</v>
      </c>
    </row>
    <row r="3532" spans="1:4" x14ac:dyDescent="0.2">
      <c r="A3532" t="s">
        <v>5324</v>
      </c>
      <c r="B3532" s="2">
        <v>43222</v>
      </c>
      <c r="C3532" t="s">
        <v>2263</v>
      </c>
      <c r="D3532" t="s">
        <v>1807</v>
      </c>
    </row>
    <row r="3533" spans="1:4" x14ac:dyDescent="0.2">
      <c r="A3533" t="s">
        <v>5325</v>
      </c>
      <c r="B3533" s="2">
        <v>43125</v>
      </c>
      <c r="C3533" t="s">
        <v>1831</v>
      </c>
      <c r="D3533" t="s">
        <v>1810</v>
      </c>
    </row>
    <row r="3534" spans="1:4" x14ac:dyDescent="0.2">
      <c r="A3534" t="s">
        <v>5326</v>
      </c>
      <c r="B3534" s="2">
        <v>42977</v>
      </c>
      <c r="C3534" t="s">
        <v>3440</v>
      </c>
      <c r="D3534" t="s">
        <v>1849</v>
      </c>
    </row>
    <row r="3535" spans="1:4" x14ac:dyDescent="0.2">
      <c r="A3535" t="s">
        <v>5327</v>
      </c>
      <c r="B3535" s="2">
        <v>43217</v>
      </c>
      <c r="C3535" t="s">
        <v>2503</v>
      </c>
      <c r="D3535" t="s">
        <v>1810</v>
      </c>
    </row>
    <row r="3536" spans="1:4" x14ac:dyDescent="0.2">
      <c r="A3536" t="s">
        <v>803</v>
      </c>
      <c r="B3536" s="2">
        <v>43251</v>
      </c>
      <c r="C3536" t="s">
        <v>1827</v>
      </c>
      <c r="D3536" t="s">
        <v>1807</v>
      </c>
    </row>
    <row r="3537" spans="1:4" x14ac:dyDescent="0.2">
      <c r="A3537" t="s">
        <v>5328</v>
      </c>
      <c r="B3537" s="2">
        <v>43179</v>
      </c>
      <c r="C3537" t="s">
        <v>1993</v>
      </c>
      <c r="D3537" t="s">
        <v>1840</v>
      </c>
    </row>
    <row r="3538" spans="1:4" x14ac:dyDescent="0.2">
      <c r="A3538" t="s">
        <v>5329</v>
      </c>
      <c r="B3538" s="2">
        <v>43169</v>
      </c>
      <c r="C3538" t="s">
        <v>1816</v>
      </c>
      <c r="D3538" t="s">
        <v>1810</v>
      </c>
    </row>
    <row r="3539" spans="1:4" x14ac:dyDescent="0.2">
      <c r="A3539" t="s">
        <v>5330</v>
      </c>
      <c r="B3539" s="2">
        <v>43213</v>
      </c>
      <c r="C3539" t="s">
        <v>1863</v>
      </c>
      <c r="D3539" t="s">
        <v>1804</v>
      </c>
    </row>
    <row r="3540" spans="1:4" x14ac:dyDescent="0.2">
      <c r="A3540" t="s">
        <v>5331</v>
      </c>
      <c r="B3540" s="2">
        <v>43172</v>
      </c>
      <c r="C3540" t="s">
        <v>1867</v>
      </c>
      <c r="D3540" t="s">
        <v>1810</v>
      </c>
    </row>
    <row r="3541" spans="1:4" x14ac:dyDescent="0.2">
      <c r="A3541" t="s">
        <v>5332</v>
      </c>
      <c r="B3541" s="2">
        <v>43146</v>
      </c>
      <c r="C3541" t="s">
        <v>1803</v>
      </c>
      <c r="D3541" t="s">
        <v>1804</v>
      </c>
    </row>
    <row r="3542" spans="1:4" x14ac:dyDescent="0.2">
      <c r="A3542" t="s">
        <v>805</v>
      </c>
      <c r="B3542" s="2">
        <v>43210</v>
      </c>
      <c r="C3542" t="s">
        <v>1816</v>
      </c>
      <c r="D3542" t="s">
        <v>1840</v>
      </c>
    </row>
    <row r="3543" spans="1:4" x14ac:dyDescent="0.2">
      <c r="A3543" t="s">
        <v>5333</v>
      </c>
      <c r="B3543" s="2">
        <v>43180</v>
      </c>
      <c r="C3543" t="s">
        <v>2048</v>
      </c>
      <c r="D3543" t="s">
        <v>1804</v>
      </c>
    </row>
    <row r="3544" spans="1:4" x14ac:dyDescent="0.2">
      <c r="A3544" t="s">
        <v>5334</v>
      </c>
      <c r="B3544" s="2">
        <v>43242</v>
      </c>
      <c r="C3544" t="s">
        <v>1828</v>
      </c>
      <c r="D3544" t="s">
        <v>1810</v>
      </c>
    </row>
    <row r="3545" spans="1:4" x14ac:dyDescent="0.2">
      <c r="A3545" t="s">
        <v>807</v>
      </c>
      <c r="B3545" s="2">
        <v>43025</v>
      </c>
      <c r="C3545" t="s">
        <v>1939</v>
      </c>
      <c r="D3545" t="s">
        <v>1810</v>
      </c>
    </row>
    <row r="3546" spans="1:4" x14ac:dyDescent="0.2">
      <c r="A3546" t="s">
        <v>5335</v>
      </c>
      <c r="B3546" s="2">
        <v>43137</v>
      </c>
      <c r="C3546" t="s">
        <v>1831</v>
      </c>
      <c r="D3546" t="s">
        <v>1807</v>
      </c>
    </row>
    <row r="3547" spans="1:4" x14ac:dyDescent="0.2">
      <c r="A3547" t="s">
        <v>5336</v>
      </c>
      <c r="B3547" s="2">
        <v>43153</v>
      </c>
      <c r="C3547" t="s">
        <v>1930</v>
      </c>
      <c r="D3547" t="s">
        <v>1807</v>
      </c>
    </row>
    <row r="3548" spans="1:4" x14ac:dyDescent="0.2">
      <c r="A3548" t="s">
        <v>5337</v>
      </c>
      <c r="B3548" s="2">
        <v>43178</v>
      </c>
      <c r="C3548" t="s">
        <v>1816</v>
      </c>
      <c r="D3548" t="s">
        <v>1840</v>
      </c>
    </row>
    <row r="3549" spans="1:4" x14ac:dyDescent="0.2">
      <c r="A3549" t="s">
        <v>5338</v>
      </c>
      <c r="B3549" s="2">
        <v>43234</v>
      </c>
      <c r="C3549" t="s">
        <v>2070</v>
      </c>
      <c r="D3549" t="s">
        <v>1813</v>
      </c>
    </row>
    <row r="3550" spans="1:4" x14ac:dyDescent="0.2">
      <c r="A3550" t="s">
        <v>5339</v>
      </c>
      <c r="B3550" s="2">
        <v>43186</v>
      </c>
      <c r="C3550" t="s">
        <v>1836</v>
      </c>
      <c r="D3550" t="s">
        <v>1031</v>
      </c>
    </row>
    <row r="3551" spans="1:4" x14ac:dyDescent="0.2">
      <c r="A3551" t="s">
        <v>5340</v>
      </c>
      <c r="B3551" s="2">
        <v>43009</v>
      </c>
      <c r="C3551" t="s">
        <v>1825</v>
      </c>
      <c r="D3551" t="s">
        <v>1807</v>
      </c>
    </row>
    <row r="3552" spans="1:4" x14ac:dyDescent="0.2">
      <c r="A3552" t="s">
        <v>5341</v>
      </c>
      <c r="B3552" s="2">
        <v>43230</v>
      </c>
      <c r="C3552" t="s">
        <v>1863</v>
      </c>
      <c r="D3552" t="s">
        <v>1804</v>
      </c>
    </row>
    <row r="3553" spans="1:4" x14ac:dyDescent="0.2">
      <c r="A3553" t="s">
        <v>5342</v>
      </c>
      <c r="B3553" s="2">
        <v>43223</v>
      </c>
      <c r="C3553" t="s">
        <v>1832</v>
      </c>
      <c r="D3553" t="s">
        <v>1807</v>
      </c>
    </row>
    <row r="3554" spans="1:4" x14ac:dyDescent="0.2">
      <c r="A3554" t="s">
        <v>809</v>
      </c>
      <c r="B3554" s="2">
        <v>43224</v>
      </c>
      <c r="C3554" t="s">
        <v>1836</v>
      </c>
      <c r="D3554" t="s">
        <v>1810</v>
      </c>
    </row>
    <row r="3555" spans="1:4" x14ac:dyDescent="0.2">
      <c r="A3555" t="s">
        <v>5343</v>
      </c>
      <c r="B3555" s="2">
        <v>42982</v>
      </c>
      <c r="C3555" t="s">
        <v>1816</v>
      </c>
      <c r="D3555" t="s">
        <v>1810</v>
      </c>
    </row>
    <row r="3556" spans="1:4" x14ac:dyDescent="0.2">
      <c r="A3556" t="s">
        <v>5344</v>
      </c>
      <c r="B3556" s="2">
        <v>43246</v>
      </c>
      <c r="C3556" t="s">
        <v>1930</v>
      </c>
      <c r="D3556" t="s">
        <v>1829</v>
      </c>
    </row>
    <row r="3557" spans="1:4" x14ac:dyDescent="0.2">
      <c r="A3557" t="s">
        <v>811</v>
      </c>
      <c r="B3557" s="2">
        <v>43249</v>
      </c>
      <c r="C3557" t="s">
        <v>1863</v>
      </c>
      <c r="D3557" t="s">
        <v>1804</v>
      </c>
    </row>
    <row r="3558" spans="1:4" x14ac:dyDescent="0.2">
      <c r="A3558" t="s">
        <v>5345</v>
      </c>
      <c r="B3558" s="2">
        <v>42964</v>
      </c>
      <c r="C3558" t="s">
        <v>1836</v>
      </c>
      <c r="D3558" t="s">
        <v>1807</v>
      </c>
    </row>
    <row r="3559" spans="1:4" x14ac:dyDescent="0.2">
      <c r="A3559" t="s">
        <v>5346</v>
      </c>
      <c r="B3559" s="2">
        <v>43160</v>
      </c>
      <c r="C3559" t="s">
        <v>1930</v>
      </c>
      <c r="D3559" t="s">
        <v>1807</v>
      </c>
    </row>
    <row r="3560" spans="1:4" x14ac:dyDescent="0.2">
      <c r="A3560" t="s">
        <v>5347</v>
      </c>
      <c r="B3560" s="2">
        <v>42961</v>
      </c>
      <c r="C3560" t="s">
        <v>1836</v>
      </c>
      <c r="D3560" t="s">
        <v>1810</v>
      </c>
    </row>
    <row r="3561" spans="1:4" x14ac:dyDescent="0.2">
      <c r="A3561" t="s">
        <v>5348</v>
      </c>
      <c r="B3561" s="2">
        <v>43193</v>
      </c>
      <c r="C3561" t="s">
        <v>2933</v>
      </c>
      <c r="D3561" t="s">
        <v>1813</v>
      </c>
    </row>
    <row r="3562" spans="1:4" x14ac:dyDescent="0.2">
      <c r="A3562" t="s">
        <v>5349</v>
      </c>
      <c r="B3562" s="2">
        <v>43056</v>
      </c>
      <c r="C3562" t="s">
        <v>1867</v>
      </c>
      <c r="D3562" t="s">
        <v>1810</v>
      </c>
    </row>
    <row r="3563" spans="1:4" x14ac:dyDescent="0.2">
      <c r="A3563" t="s">
        <v>5350</v>
      </c>
      <c r="B3563" s="2">
        <v>43096</v>
      </c>
      <c r="C3563" t="s">
        <v>2187</v>
      </c>
      <c r="D3563" t="s">
        <v>1807</v>
      </c>
    </row>
    <row r="3564" spans="1:4" x14ac:dyDescent="0.2">
      <c r="A3564" t="s">
        <v>5351</v>
      </c>
      <c r="B3564" s="2">
        <v>43196</v>
      </c>
      <c r="C3564" t="s">
        <v>5352</v>
      </c>
      <c r="D3564" t="s">
        <v>1810</v>
      </c>
    </row>
    <row r="3565" spans="1:4" x14ac:dyDescent="0.2">
      <c r="A3565" t="s">
        <v>5353</v>
      </c>
      <c r="B3565" s="2">
        <v>43085</v>
      </c>
      <c r="C3565" t="s">
        <v>1825</v>
      </c>
      <c r="D3565" t="s">
        <v>1804</v>
      </c>
    </row>
    <row r="3566" spans="1:4" x14ac:dyDescent="0.2">
      <c r="A3566" t="s">
        <v>5354</v>
      </c>
      <c r="B3566" s="2">
        <v>43169</v>
      </c>
      <c r="C3566" t="s">
        <v>1905</v>
      </c>
      <c r="D3566" t="s">
        <v>1810</v>
      </c>
    </row>
    <row r="3567" spans="1:4" x14ac:dyDescent="0.2">
      <c r="A3567" t="s">
        <v>5355</v>
      </c>
      <c r="B3567" s="2">
        <v>42970</v>
      </c>
      <c r="C3567" t="s">
        <v>2066</v>
      </c>
      <c r="D3567" t="s">
        <v>1813</v>
      </c>
    </row>
    <row r="3568" spans="1:4" x14ac:dyDescent="0.2">
      <c r="A3568" t="s">
        <v>5356</v>
      </c>
      <c r="B3568" s="2">
        <v>42940</v>
      </c>
      <c r="C3568" t="s">
        <v>1843</v>
      </c>
      <c r="D3568" t="s">
        <v>1807</v>
      </c>
    </row>
    <row r="3569" spans="1:4" x14ac:dyDescent="0.2">
      <c r="A3569" t="s">
        <v>5357</v>
      </c>
      <c r="B3569" s="2">
        <v>43227</v>
      </c>
      <c r="C3569" t="s">
        <v>5358</v>
      </c>
      <c r="D3569" t="s">
        <v>1031</v>
      </c>
    </row>
    <row r="3570" spans="1:4" x14ac:dyDescent="0.2">
      <c r="A3570" t="s">
        <v>5359</v>
      </c>
      <c r="B3570" s="2">
        <v>43145</v>
      </c>
      <c r="C3570" t="s">
        <v>1859</v>
      </c>
      <c r="D3570" t="s">
        <v>1807</v>
      </c>
    </row>
    <row r="3571" spans="1:4" x14ac:dyDescent="0.2">
      <c r="A3571" t="s">
        <v>5360</v>
      </c>
      <c r="B3571" s="2">
        <v>43062</v>
      </c>
      <c r="C3571" t="s">
        <v>1867</v>
      </c>
      <c r="D3571" t="s">
        <v>1804</v>
      </c>
    </row>
    <row r="3572" spans="1:4" x14ac:dyDescent="0.2">
      <c r="A3572" t="s">
        <v>5361</v>
      </c>
      <c r="B3572" s="2">
        <v>43194</v>
      </c>
      <c r="C3572" t="s">
        <v>1930</v>
      </c>
      <c r="D3572" t="s">
        <v>1810</v>
      </c>
    </row>
    <row r="3573" spans="1:4" x14ac:dyDescent="0.2">
      <c r="A3573" t="s">
        <v>5362</v>
      </c>
      <c r="B3573" s="2">
        <v>42954</v>
      </c>
      <c r="C3573" t="s">
        <v>1843</v>
      </c>
      <c r="D3573" t="s">
        <v>1807</v>
      </c>
    </row>
    <row r="3574" spans="1:4" x14ac:dyDescent="0.2">
      <c r="A3574" t="s">
        <v>5363</v>
      </c>
      <c r="B3574" s="2">
        <v>43214</v>
      </c>
      <c r="C3574" t="s">
        <v>1905</v>
      </c>
      <c r="D3574" t="s">
        <v>1807</v>
      </c>
    </row>
    <row r="3575" spans="1:4" x14ac:dyDescent="0.2">
      <c r="A3575" t="s">
        <v>5364</v>
      </c>
      <c r="B3575" s="2">
        <v>42970</v>
      </c>
      <c r="C3575" t="s">
        <v>1806</v>
      </c>
      <c r="D3575" t="s">
        <v>1807</v>
      </c>
    </row>
    <row r="3576" spans="1:4" x14ac:dyDescent="0.2">
      <c r="A3576" t="s">
        <v>5365</v>
      </c>
      <c r="B3576" s="2">
        <v>43070</v>
      </c>
      <c r="C3576" t="s">
        <v>1816</v>
      </c>
      <c r="D3576" t="s">
        <v>1804</v>
      </c>
    </row>
    <row r="3577" spans="1:4" x14ac:dyDescent="0.2">
      <c r="A3577" t="s">
        <v>5366</v>
      </c>
      <c r="B3577" s="2">
        <v>43214</v>
      </c>
      <c r="C3577" t="s">
        <v>5367</v>
      </c>
      <c r="D3577" t="s">
        <v>1810</v>
      </c>
    </row>
    <row r="3578" spans="1:4" x14ac:dyDescent="0.2">
      <c r="A3578" t="s">
        <v>5368</v>
      </c>
      <c r="B3578" s="2">
        <v>43172</v>
      </c>
      <c r="C3578" t="s">
        <v>2019</v>
      </c>
      <c r="D3578" t="s">
        <v>1813</v>
      </c>
    </row>
    <row r="3579" spans="1:4" x14ac:dyDescent="0.2">
      <c r="A3579" t="s">
        <v>5369</v>
      </c>
      <c r="B3579" s="2">
        <v>43165</v>
      </c>
      <c r="C3579" t="s">
        <v>5370</v>
      </c>
      <c r="D3579" t="s">
        <v>1031</v>
      </c>
    </row>
    <row r="3580" spans="1:4" x14ac:dyDescent="0.2">
      <c r="A3580" t="s">
        <v>5371</v>
      </c>
      <c r="B3580" s="2">
        <v>43182</v>
      </c>
      <c r="C3580" t="s">
        <v>2291</v>
      </c>
      <c r="D3580" t="s">
        <v>1031</v>
      </c>
    </row>
    <row r="3581" spans="1:4" x14ac:dyDescent="0.2">
      <c r="A3581" t="s">
        <v>5372</v>
      </c>
      <c r="B3581" s="2">
        <v>43166</v>
      </c>
      <c r="C3581" t="s">
        <v>1836</v>
      </c>
      <c r="D3581" t="s">
        <v>1031</v>
      </c>
    </row>
    <row r="3582" spans="1:4" x14ac:dyDescent="0.2">
      <c r="A3582" t="s">
        <v>5373</v>
      </c>
      <c r="B3582" s="2">
        <v>43193</v>
      </c>
      <c r="C3582" t="s">
        <v>1836</v>
      </c>
      <c r="D3582" t="s">
        <v>1031</v>
      </c>
    </row>
    <row r="3583" spans="1:4" x14ac:dyDescent="0.2">
      <c r="A3583" t="s">
        <v>5374</v>
      </c>
      <c r="B3583" s="2">
        <v>43105</v>
      </c>
      <c r="C3583" t="s">
        <v>1836</v>
      </c>
      <c r="D3583" t="s">
        <v>1031</v>
      </c>
    </row>
    <row r="3584" spans="1:4" x14ac:dyDescent="0.2">
      <c r="A3584" t="s">
        <v>5375</v>
      </c>
      <c r="B3584" s="2">
        <v>42935</v>
      </c>
      <c r="C3584" t="s">
        <v>5376</v>
      </c>
      <c r="D3584" t="s">
        <v>1810</v>
      </c>
    </row>
    <row r="3585" spans="1:4" x14ac:dyDescent="0.2">
      <c r="A3585" t="s">
        <v>5377</v>
      </c>
      <c r="B3585" s="2">
        <v>43032</v>
      </c>
      <c r="C3585" t="s">
        <v>2535</v>
      </c>
      <c r="D3585" t="s">
        <v>1807</v>
      </c>
    </row>
    <row r="3586" spans="1:4" x14ac:dyDescent="0.2">
      <c r="A3586" t="s">
        <v>5378</v>
      </c>
      <c r="B3586" s="2">
        <v>42969</v>
      </c>
      <c r="C3586" t="s">
        <v>1816</v>
      </c>
      <c r="D3586" t="s">
        <v>1810</v>
      </c>
    </row>
    <row r="3587" spans="1:4" x14ac:dyDescent="0.2">
      <c r="A3587" t="s">
        <v>5379</v>
      </c>
      <c r="B3587" s="2">
        <v>43119</v>
      </c>
      <c r="C3587" t="s">
        <v>1859</v>
      </c>
      <c r="D3587" t="s">
        <v>1810</v>
      </c>
    </row>
    <row r="3588" spans="1:4" x14ac:dyDescent="0.2">
      <c r="A3588" t="s">
        <v>5380</v>
      </c>
      <c r="B3588" s="2">
        <v>43188</v>
      </c>
      <c r="C3588" t="s">
        <v>5381</v>
      </c>
      <c r="D3588" t="s">
        <v>1031</v>
      </c>
    </row>
    <row r="3589" spans="1:4" x14ac:dyDescent="0.2">
      <c r="A3589" t="s">
        <v>5382</v>
      </c>
      <c r="B3589" s="2">
        <v>43122</v>
      </c>
      <c r="C3589" t="s">
        <v>1812</v>
      </c>
      <c r="D3589" t="s">
        <v>1807</v>
      </c>
    </row>
    <row r="3590" spans="1:4" x14ac:dyDescent="0.2">
      <c r="A3590" t="s">
        <v>813</v>
      </c>
      <c r="B3590" s="2">
        <v>43230</v>
      </c>
      <c r="C3590" t="s">
        <v>1863</v>
      </c>
      <c r="D3590" t="s">
        <v>1804</v>
      </c>
    </row>
    <row r="3591" spans="1:4" x14ac:dyDescent="0.2">
      <c r="A3591" t="s">
        <v>5383</v>
      </c>
      <c r="B3591" s="2">
        <v>43122</v>
      </c>
      <c r="C3591" t="s">
        <v>1812</v>
      </c>
      <c r="D3591" t="s">
        <v>1810</v>
      </c>
    </row>
    <row r="3592" spans="1:4" x14ac:dyDescent="0.2">
      <c r="A3592" t="s">
        <v>5384</v>
      </c>
      <c r="B3592" s="2">
        <v>43236</v>
      </c>
      <c r="C3592" t="s">
        <v>1928</v>
      </c>
      <c r="D3592" t="s">
        <v>1829</v>
      </c>
    </row>
    <row r="3593" spans="1:4" x14ac:dyDescent="0.2">
      <c r="A3593" t="s">
        <v>5385</v>
      </c>
      <c r="B3593" s="2">
        <v>43196</v>
      </c>
      <c r="C3593" t="s">
        <v>1832</v>
      </c>
      <c r="D3593" t="s">
        <v>1807</v>
      </c>
    </row>
    <row r="3594" spans="1:4" x14ac:dyDescent="0.2">
      <c r="A3594" t="s">
        <v>5386</v>
      </c>
      <c r="B3594" s="2">
        <v>43166</v>
      </c>
      <c r="C3594" t="s">
        <v>1816</v>
      </c>
      <c r="D3594" t="s">
        <v>1910</v>
      </c>
    </row>
    <row r="3595" spans="1:4" x14ac:dyDescent="0.2">
      <c r="A3595" t="s">
        <v>815</v>
      </c>
      <c r="B3595" s="2">
        <v>43150</v>
      </c>
      <c r="C3595" t="s">
        <v>1816</v>
      </c>
      <c r="D3595" t="s">
        <v>1807</v>
      </c>
    </row>
    <row r="3596" spans="1:4" x14ac:dyDescent="0.2">
      <c r="A3596" t="s">
        <v>5387</v>
      </c>
      <c r="B3596" s="2">
        <v>43117</v>
      </c>
      <c r="C3596" t="s">
        <v>2998</v>
      </c>
      <c r="D3596" t="s">
        <v>1810</v>
      </c>
    </row>
    <row r="3597" spans="1:4" x14ac:dyDescent="0.2">
      <c r="A3597" t="s">
        <v>5388</v>
      </c>
      <c r="B3597" s="2">
        <v>43127</v>
      </c>
      <c r="C3597" t="s">
        <v>1816</v>
      </c>
      <c r="D3597" t="s">
        <v>1813</v>
      </c>
    </row>
    <row r="3598" spans="1:4" x14ac:dyDescent="0.2">
      <c r="A3598" t="s">
        <v>5389</v>
      </c>
      <c r="B3598" s="2">
        <v>43012</v>
      </c>
      <c r="C3598" t="s">
        <v>5390</v>
      </c>
      <c r="D3598" t="s">
        <v>1031</v>
      </c>
    </row>
    <row r="3599" spans="1:4" x14ac:dyDescent="0.2">
      <c r="A3599" t="s">
        <v>5391</v>
      </c>
      <c r="B3599" s="2">
        <v>43105</v>
      </c>
      <c r="C3599" t="s">
        <v>1816</v>
      </c>
      <c r="D3599" t="s">
        <v>1810</v>
      </c>
    </row>
    <row r="3600" spans="1:4" x14ac:dyDescent="0.2">
      <c r="A3600" t="s">
        <v>5392</v>
      </c>
      <c r="B3600" s="2">
        <v>43179</v>
      </c>
      <c r="C3600" t="s">
        <v>2062</v>
      </c>
      <c r="D3600" t="s">
        <v>1813</v>
      </c>
    </row>
    <row r="3601" spans="1:4" x14ac:dyDescent="0.2">
      <c r="A3601" t="s">
        <v>817</v>
      </c>
      <c r="B3601" s="2">
        <v>43049</v>
      </c>
      <c r="C3601" t="s">
        <v>1816</v>
      </c>
      <c r="D3601" t="s">
        <v>1810</v>
      </c>
    </row>
    <row r="3602" spans="1:4" x14ac:dyDescent="0.2">
      <c r="A3602" t="s">
        <v>5393</v>
      </c>
      <c r="B3602" s="2">
        <v>43033</v>
      </c>
      <c r="C3602" t="s">
        <v>2143</v>
      </c>
      <c r="D3602" t="s">
        <v>1810</v>
      </c>
    </row>
    <row r="3603" spans="1:4" x14ac:dyDescent="0.2">
      <c r="A3603" t="s">
        <v>5394</v>
      </c>
      <c r="B3603" s="2">
        <v>43039</v>
      </c>
      <c r="C3603" t="s">
        <v>5395</v>
      </c>
      <c r="D3603" t="s">
        <v>1810</v>
      </c>
    </row>
    <row r="3604" spans="1:4" x14ac:dyDescent="0.2">
      <c r="A3604" t="s">
        <v>5396</v>
      </c>
      <c r="B3604" s="2">
        <v>43194</v>
      </c>
      <c r="C3604" t="s">
        <v>2254</v>
      </c>
      <c r="D3604" t="s">
        <v>1807</v>
      </c>
    </row>
    <row r="3605" spans="1:4" x14ac:dyDescent="0.2">
      <c r="A3605" t="s">
        <v>5397</v>
      </c>
      <c r="B3605" s="2">
        <v>43143</v>
      </c>
      <c r="C3605" t="s">
        <v>5398</v>
      </c>
      <c r="D3605" t="s">
        <v>1804</v>
      </c>
    </row>
    <row r="3606" spans="1:4" x14ac:dyDescent="0.2">
      <c r="A3606" t="s">
        <v>5399</v>
      </c>
      <c r="B3606" s="2">
        <v>43231</v>
      </c>
      <c r="C3606" t="s">
        <v>1836</v>
      </c>
      <c r="D3606" t="s">
        <v>1031</v>
      </c>
    </row>
    <row r="3607" spans="1:4" x14ac:dyDescent="0.2">
      <c r="A3607" t="s">
        <v>5400</v>
      </c>
      <c r="B3607" s="2">
        <v>43208</v>
      </c>
      <c r="C3607" t="s">
        <v>2158</v>
      </c>
      <c r="D3607" t="s">
        <v>1829</v>
      </c>
    </row>
    <row r="3608" spans="1:4" x14ac:dyDescent="0.2">
      <c r="A3608" t="s">
        <v>5401</v>
      </c>
      <c r="B3608" s="2">
        <v>43113</v>
      </c>
      <c r="C3608" t="s">
        <v>1825</v>
      </c>
      <c r="D3608" t="s">
        <v>1810</v>
      </c>
    </row>
    <row r="3609" spans="1:4" x14ac:dyDescent="0.2">
      <c r="A3609" t="s">
        <v>5402</v>
      </c>
      <c r="B3609" s="2">
        <v>43164</v>
      </c>
      <c r="C3609" t="s">
        <v>1907</v>
      </c>
      <c r="D3609" t="s">
        <v>1807</v>
      </c>
    </row>
    <row r="3610" spans="1:4" x14ac:dyDescent="0.2">
      <c r="A3610" t="s">
        <v>5403</v>
      </c>
      <c r="B3610" s="2">
        <v>42996</v>
      </c>
      <c r="C3610" t="s">
        <v>2309</v>
      </c>
      <c r="D3610" t="s">
        <v>1810</v>
      </c>
    </row>
    <row r="3611" spans="1:4" x14ac:dyDescent="0.2">
      <c r="A3611" t="s">
        <v>5404</v>
      </c>
      <c r="B3611" s="2">
        <v>43126</v>
      </c>
      <c r="C3611" t="s">
        <v>1905</v>
      </c>
      <c r="D3611" t="s">
        <v>1807</v>
      </c>
    </row>
    <row r="3612" spans="1:4" x14ac:dyDescent="0.2">
      <c r="A3612" t="s">
        <v>5405</v>
      </c>
      <c r="B3612" s="2">
        <v>43193</v>
      </c>
      <c r="C3612" t="s">
        <v>1930</v>
      </c>
      <c r="D3612" t="s">
        <v>1807</v>
      </c>
    </row>
    <row r="3613" spans="1:4" x14ac:dyDescent="0.2">
      <c r="A3613" t="s">
        <v>5406</v>
      </c>
      <c r="B3613" s="2">
        <v>43216</v>
      </c>
      <c r="C3613" t="s">
        <v>1909</v>
      </c>
      <c r="D3613" t="s">
        <v>1810</v>
      </c>
    </row>
    <row r="3614" spans="1:4" x14ac:dyDescent="0.2">
      <c r="A3614" t="s">
        <v>5407</v>
      </c>
      <c r="B3614" s="2">
        <v>43191</v>
      </c>
      <c r="C3614" t="s">
        <v>1996</v>
      </c>
      <c r="D3614" t="s">
        <v>1804</v>
      </c>
    </row>
    <row r="3615" spans="1:4" x14ac:dyDescent="0.2">
      <c r="A3615" t="s">
        <v>5408</v>
      </c>
      <c r="B3615" s="2">
        <v>43132</v>
      </c>
      <c r="C3615" t="s">
        <v>2535</v>
      </c>
      <c r="D3615" t="s">
        <v>1807</v>
      </c>
    </row>
    <row r="3616" spans="1:4" x14ac:dyDescent="0.2">
      <c r="A3616" t="s">
        <v>5409</v>
      </c>
      <c r="B3616" s="2">
        <v>43181</v>
      </c>
      <c r="C3616" t="s">
        <v>1905</v>
      </c>
      <c r="D3616" t="s">
        <v>1807</v>
      </c>
    </row>
    <row r="3617" spans="1:4" x14ac:dyDescent="0.2">
      <c r="A3617" t="s">
        <v>5410</v>
      </c>
      <c r="B3617" s="2">
        <v>43135</v>
      </c>
      <c r="C3617" t="s">
        <v>1816</v>
      </c>
      <c r="D3617" t="s">
        <v>1810</v>
      </c>
    </row>
    <row r="3618" spans="1:4" x14ac:dyDescent="0.2">
      <c r="A3618" t="s">
        <v>5411</v>
      </c>
      <c r="B3618" s="2">
        <v>43154</v>
      </c>
      <c r="C3618" t="s">
        <v>2115</v>
      </c>
      <c r="D3618" t="s">
        <v>1804</v>
      </c>
    </row>
    <row r="3619" spans="1:4" x14ac:dyDescent="0.2">
      <c r="A3619" t="s">
        <v>5412</v>
      </c>
      <c r="B3619" s="2">
        <v>43251</v>
      </c>
      <c r="C3619" t="s">
        <v>1863</v>
      </c>
      <c r="D3619" t="s">
        <v>1804</v>
      </c>
    </row>
    <row r="3620" spans="1:4" x14ac:dyDescent="0.2">
      <c r="A3620" t="s">
        <v>5413</v>
      </c>
      <c r="B3620" s="2">
        <v>42970</v>
      </c>
      <c r="C3620" t="s">
        <v>1894</v>
      </c>
      <c r="D3620" t="s">
        <v>1804</v>
      </c>
    </row>
    <row r="3621" spans="1:4" x14ac:dyDescent="0.2">
      <c r="A3621" t="s">
        <v>5414</v>
      </c>
      <c r="B3621" s="2">
        <v>43189</v>
      </c>
      <c r="C3621" t="s">
        <v>1836</v>
      </c>
      <c r="D3621" t="s">
        <v>1031</v>
      </c>
    </row>
    <row r="3622" spans="1:4" x14ac:dyDescent="0.2">
      <c r="A3622" t="s">
        <v>5415</v>
      </c>
      <c r="B3622" s="2">
        <v>43158</v>
      </c>
      <c r="C3622" t="s">
        <v>1825</v>
      </c>
      <c r="D3622" t="s">
        <v>1810</v>
      </c>
    </row>
    <row r="3623" spans="1:4" x14ac:dyDescent="0.2">
      <c r="A3623" t="s">
        <v>5416</v>
      </c>
      <c r="B3623" s="2">
        <v>43230</v>
      </c>
      <c r="C3623" t="s">
        <v>1873</v>
      </c>
      <c r="D3623" t="s">
        <v>1807</v>
      </c>
    </row>
    <row r="3624" spans="1:4" x14ac:dyDescent="0.2">
      <c r="A3624" t="s">
        <v>5417</v>
      </c>
      <c r="B3624" s="2">
        <v>43051</v>
      </c>
      <c r="C3624" t="s">
        <v>1803</v>
      </c>
      <c r="D3624" t="s">
        <v>1804</v>
      </c>
    </row>
    <row r="3625" spans="1:4" x14ac:dyDescent="0.2">
      <c r="A3625" t="s">
        <v>5418</v>
      </c>
      <c r="B3625" s="2">
        <v>43206</v>
      </c>
      <c r="C3625" t="s">
        <v>2115</v>
      </c>
      <c r="D3625" t="s">
        <v>1810</v>
      </c>
    </row>
    <row r="3626" spans="1:4" x14ac:dyDescent="0.2">
      <c r="A3626" t="s">
        <v>5419</v>
      </c>
      <c r="B3626" s="2">
        <v>43105</v>
      </c>
      <c r="C3626" t="s">
        <v>1816</v>
      </c>
      <c r="D3626" t="s">
        <v>1810</v>
      </c>
    </row>
    <row r="3627" spans="1:4" x14ac:dyDescent="0.2">
      <c r="A3627" t="s">
        <v>819</v>
      </c>
      <c r="B3627" s="2">
        <v>43046</v>
      </c>
      <c r="C3627" t="s">
        <v>1803</v>
      </c>
      <c r="D3627" t="s">
        <v>1804</v>
      </c>
    </row>
    <row r="3628" spans="1:4" x14ac:dyDescent="0.2">
      <c r="A3628" t="s">
        <v>5420</v>
      </c>
      <c r="B3628" s="2">
        <v>43241</v>
      </c>
      <c r="C3628" t="s">
        <v>1867</v>
      </c>
      <c r="D3628" t="s">
        <v>1810</v>
      </c>
    </row>
    <row r="3629" spans="1:4" x14ac:dyDescent="0.2">
      <c r="A3629" t="s">
        <v>5421</v>
      </c>
      <c r="B3629" s="2">
        <v>43124</v>
      </c>
      <c r="C3629" t="s">
        <v>5422</v>
      </c>
      <c r="D3629" t="s">
        <v>1031</v>
      </c>
    </row>
    <row r="3630" spans="1:4" x14ac:dyDescent="0.2">
      <c r="A3630" t="s">
        <v>5423</v>
      </c>
      <c r="B3630" s="2">
        <v>43117</v>
      </c>
      <c r="C3630" t="s">
        <v>1836</v>
      </c>
      <c r="D3630" t="s">
        <v>1807</v>
      </c>
    </row>
    <row r="3631" spans="1:4" x14ac:dyDescent="0.2">
      <c r="A3631" t="s">
        <v>5424</v>
      </c>
      <c r="B3631" s="2">
        <v>43147</v>
      </c>
      <c r="C3631" t="s">
        <v>1816</v>
      </c>
      <c r="D3631" t="s">
        <v>1810</v>
      </c>
    </row>
    <row r="3632" spans="1:4" x14ac:dyDescent="0.2">
      <c r="A3632" t="s">
        <v>5425</v>
      </c>
      <c r="B3632" s="2">
        <v>43112</v>
      </c>
      <c r="C3632" t="s">
        <v>1867</v>
      </c>
      <c r="D3632" t="s">
        <v>1829</v>
      </c>
    </row>
    <row r="3633" spans="1:4" x14ac:dyDescent="0.2">
      <c r="A3633" t="s">
        <v>5426</v>
      </c>
      <c r="B3633" s="2">
        <v>43188</v>
      </c>
      <c r="C3633" t="s">
        <v>1863</v>
      </c>
      <c r="D3633" t="s">
        <v>1804</v>
      </c>
    </row>
    <row r="3634" spans="1:4" x14ac:dyDescent="0.2">
      <c r="A3634" t="s">
        <v>5427</v>
      </c>
      <c r="B3634" s="2">
        <v>42976</v>
      </c>
      <c r="C3634" t="s">
        <v>2535</v>
      </c>
      <c r="D3634" t="s">
        <v>1807</v>
      </c>
    </row>
    <row r="3635" spans="1:4" x14ac:dyDescent="0.2">
      <c r="A3635" t="s">
        <v>5428</v>
      </c>
      <c r="B3635" s="2">
        <v>43042</v>
      </c>
      <c r="C3635" t="s">
        <v>1867</v>
      </c>
      <c r="D3635" t="s">
        <v>1807</v>
      </c>
    </row>
    <row r="3636" spans="1:4" x14ac:dyDescent="0.2">
      <c r="A3636" t="s">
        <v>5429</v>
      </c>
      <c r="B3636" s="2">
        <v>43241</v>
      </c>
      <c r="C3636" t="s">
        <v>2163</v>
      </c>
      <c r="D3636" t="s">
        <v>1810</v>
      </c>
    </row>
    <row r="3637" spans="1:4" x14ac:dyDescent="0.2">
      <c r="A3637" t="s">
        <v>5430</v>
      </c>
      <c r="B3637" s="2">
        <v>43166</v>
      </c>
      <c r="C3637" t="s">
        <v>1905</v>
      </c>
      <c r="D3637" t="s">
        <v>1829</v>
      </c>
    </row>
    <row r="3638" spans="1:4" x14ac:dyDescent="0.2">
      <c r="A3638" t="s">
        <v>5431</v>
      </c>
      <c r="B3638" s="2">
        <v>43174</v>
      </c>
      <c r="C3638" t="s">
        <v>1809</v>
      </c>
      <c r="D3638" t="s">
        <v>1810</v>
      </c>
    </row>
    <row r="3639" spans="1:4" x14ac:dyDescent="0.2">
      <c r="A3639" t="s">
        <v>5432</v>
      </c>
      <c r="B3639" s="2">
        <v>43246</v>
      </c>
      <c r="C3639" t="s">
        <v>2204</v>
      </c>
      <c r="D3639" t="s">
        <v>1807</v>
      </c>
    </row>
    <row r="3640" spans="1:4" x14ac:dyDescent="0.2">
      <c r="A3640" t="s">
        <v>5433</v>
      </c>
      <c r="B3640" s="2">
        <v>43138</v>
      </c>
      <c r="C3640" t="s">
        <v>1803</v>
      </c>
      <c r="D3640" t="s">
        <v>1804</v>
      </c>
    </row>
    <row r="3641" spans="1:4" x14ac:dyDescent="0.2">
      <c r="A3641" t="s">
        <v>5434</v>
      </c>
      <c r="B3641" s="2">
        <v>43222</v>
      </c>
      <c r="C3641" t="s">
        <v>1998</v>
      </c>
      <c r="D3641" t="s">
        <v>1804</v>
      </c>
    </row>
    <row r="3642" spans="1:4" x14ac:dyDescent="0.2">
      <c r="A3642" t="s">
        <v>5435</v>
      </c>
      <c r="B3642" s="2">
        <v>43123</v>
      </c>
      <c r="C3642" t="s">
        <v>1816</v>
      </c>
      <c r="D3642" t="s">
        <v>1810</v>
      </c>
    </row>
    <row r="3643" spans="1:4" x14ac:dyDescent="0.2">
      <c r="A3643" t="s">
        <v>5436</v>
      </c>
      <c r="B3643" s="2">
        <v>43166</v>
      </c>
      <c r="C3643" t="s">
        <v>1836</v>
      </c>
      <c r="D3643" t="s">
        <v>1031</v>
      </c>
    </row>
    <row r="3644" spans="1:4" x14ac:dyDescent="0.2">
      <c r="A3644" t="s">
        <v>5437</v>
      </c>
      <c r="B3644" s="2">
        <v>43159</v>
      </c>
      <c r="C3644" t="s">
        <v>1834</v>
      </c>
      <c r="D3644" t="s">
        <v>1031</v>
      </c>
    </row>
    <row r="3645" spans="1:4" x14ac:dyDescent="0.2">
      <c r="A3645" t="s">
        <v>5438</v>
      </c>
      <c r="B3645" s="2">
        <v>43237</v>
      </c>
      <c r="C3645" t="s">
        <v>1816</v>
      </c>
      <c r="D3645" t="s">
        <v>1840</v>
      </c>
    </row>
    <row r="3646" spans="1:4" x14ac:dyDescent="0.2">
      <c r="A3646" t="s">
        <v>5439</v>
      </c>
      <c r="B3646" s="2">
        <v>43215</v>
      </c>
      <c r="C3646" t="s">
        <v>2115</v>
      </c>
      <c r="D3646" t="s">
        <v>1804</v>
      </c>
    </row>
    <row r="3647" spans="1:4" x14ac:dyDescent="0.2">
      <c r="A3647" t="s">
        <v>5440</v>
      </c>
      <c r="B3647" s="2">
        <v>43116</v>
      </c>
      <c r="C3647" t="s">
        <v>1836</v>
      </c>
      <c r="D3647" t="s">
        <v>1031</v>
      </c>
    </row>
    <row r="3648" spans="1:4" x14ac:dyDescent="0.2">
      <c r="A3648" t="s">
        <v>821</v>
      </c>
      <c r="B3648" s="2">
        <v>43171</v>
      </c>
      <c r="C3648" t="s">
        <v>5441</v>
      </c>
      <c r="D3648" t="s">
        <v>1810</v>
      </c>
    </row>
    <row r="3649" spans="1:4" x14ac:dyDescent="0.2">
      <c r="A3649" t="s">
        <v>5442</v>
      </c>
      <c r="B3649" s="2">
        <v>43204</v>
      </c>
      <c r="C3649" t="s">
        <v>1930</v>
      </c>
      <c r="D3649" t="s">
        <v>1807</v>
      </c>
    </row>
    <row r="3650" spans="1:4" x14ac:dyDescent="0.2">
      <c r="A3650" t="s">
        <v>5443</v>
      </c>
      <c r="B3650" s="2">
        <v>43243</v>
      </c>
      <c r="C3650" t="s">
        <v>1863</v>
      </c>
      <c r="D3650" t="s">
        <v>1804</v>
      </c>
    </row>
    <row r="3651" spans="1:4" x14ac:dyDescent="0.2">
      <c r="A3651" t="s">
        <v>5444</v>
      </c>
      <c r="B3651" s="2">
        <v>43032</v>
      </c>
      <c r="C3651" t="s">
        <v>1825</v>
      </c>
      <c r="D3651" t="s">
        <v>1807</v>
      </c>
    </row>
    <row r="3652" spans="1:4" x14ac:dyDescent="0.2">
      <c r="A3652" t="s">
        <v>5445</v>
      </c>
      <c r="B3652" s="2">
        <v>43128</v>
      </c>
      <c r="C3652" t="s">
        <v>1867</v>
      </c>
      <c r="D3652" t="s">
        <v>1810</v>
      </c>
    </row>
    <row r="3653" spans="1:4" x14ac:dyDescent="0.2">
      <c r="A3653" t="s">
        <v>5446</v>
      </c>
      <c r="B3653" s="2">
        <v>43156</v>
      </c>
      <c r="C3653" t="s">
        <v>1930</v>
      </c>
      <c r="D3653" t="s">
        <v>1807</v>
      </c>
    </row>
    <row r="3654" spans="1:4" x14ac:dyDescent="0.2">
      <c r="A3654" t="s">
        <v>5447</v>
      </c>
      <c r="B3654" s="2">
        <v>43114</v>
      </c>
      <c r="C3654" t="s">
        <v>1831</v>
      </c>
      <c r="D3654" t="s">
        <v>1804</v>
      </c>
    </row>
    <row r="3655" spans="1:4" x14ac:dyDescent="0.2">
      <c r="A3655" t="s">
        <v>823</v>
      </c>
      <c r="B3655" s="2">
        <v>43111</v>
      </c>
      <c r="C3655" t="s">
        <v>1930</v>
      </c>
      <c r="D3655" t="s">
        <v>1807</v>
      </c>
    </row>
    <row r="3656" spans="1:4" x14ac:dyDescent="0.2">
      <c r="A3656" t="s">
        <v>5448</v>
      </c>
      <c r="B3656" s="2">
        <v>43127</v>
      </c>
      <c r="C3656" t="s">
        <v>1803</v>
      </c>
      <c r="D3656" t="s">
        <v>1804</v>
      </c>
    </row>
    <row r="3657" spans="1:4" x14ac:dyDescent="0.2">
      <c r="A3657" t="s">
        <v>5449</v>
      </c>
      <c r="B3657" s="2">
        <v>43203</v>
      </c>
      <c r="C3657" t="s">
        <v>2196</v>
      </c>
      <c r="D3657" t="s">
        <v>1810</v>
      </c>
    </row>
    <row r="3658" spans="1:4" x14ac:dyDescent="0.2">
      <c r="A3658" t="s">
        <v>5450</v>
      </c>
      <c r="B3658" s="2">
        <v>43234</v>
      </c>
      <c r="C3658" t="s">
        <v>1867</v>
      </c>
      <c r="D3658" t="s">
        <v>1810</v>
      </c>
    </row>
    <row r="3659" spans="1:4" x14ac:dyDescent="0.2">
      <c r="A3659" t="s">
        <v>825</v>
      </c>
      <c r="B3659" s="2">
        <v>43147</v>
      </c>
      <c r="C3659" t="s">
        <v>1867</v>
      </c>
      <c r="D3659" t="s">
        <v>1807</v>
      </c>
    </row>
    <row r="3660" spans="1:4" x14ac:dyDescent="0.2">
      <c r="A3660" t="s">
        <v>5451</v>
      </c>
      <c r="B3660" s="2">
        <v>43012</v>
      </c>
      <c r="C3660" t="s">
        <v>1836</v>
      </c>
      <c r="D3660" t="s">
        <v>1031</v>
      </c>
    </row>
    <row r="3661" spans="1:4" x14ac:dyDescent="0.2">
      <c r="A3661" t="s">
        <v>5452</v>
      </c>
      <c r="B3661" s="2">
        <v>43007</v>
      </c>
      <c r="C3661" t="s">
        <v>1939</v>
      </c>
      <c r="D3661" t="s">
        <v>160</v>
      </c>
    </row>
    <row r="3662" spans="1:4" x14ac:dyDescent="0.2">
      <c r="A3662" t="s">
        <v>827</v>
      </c>
      <c r="B3662" s="2">
        <v>43174</v>
      </c>
      <c r="C3662" t="s">
        <v>1825</v>
      </c>
      <c r="D3662" t="s">
        <v>1810</v>
      </c>
    </row>
    <row r="3663" spans="1:4" x14ac:dyDescent="0.2">
      <c r="A3663" t="s">
        <v>5453</v>
      </c>
      <c r="B3663" s="2">
        <v>43150</v>
      </c>
      <c r="C3663" t="s">
        <v>2998</v>
      </c>
      <c r="D3663" t="s">
        <v>1031</v>
      </c>
    </row>
    <row r="3664" spans="1:4" x14ac:dyDescent="0.2">
      <c r="A3664" t="s">
        <v>5454</v>
      </c>
      <c r="B3664" s="2">
        <v>43234</v>
      </c>
      <c r="C3664" t="s">
        <v>1859</v>
      </c>
      <c r="D3664" t="s">
        <v>1810</v>
      </c>
    </row>
    <row r="3665" spans="1:4" x14ac:dyDescent="0.2">
      <c r="A3665" t="s">
        <v>5455</v>
      </c>
      <c r="B3665" s="2">
        <v>43195</v>
      </c>
      <c r="C3665" t="s">
        <v>5456</v>
      </c>
      <c r="D3665" t="s">
        <v>1031</v>
      </c>
    </row>
    <row r="3666" spans="1:4" x14ac:dyDescent="0.2">
      <c r="A3666" t="s">
        <v>829</v>
      </c>
      <c r="B3666" s="2">
        <v>43136</v>
      </c>
      <c r="C3666" t="s">
        <v>2163</v>
      </c>
      <c r="D3666" t="s">
        <v>1829</v>
      </c>
    </row>
    <row r="3667" spans="1:4" x14ac:dyDescent="0.2">
      <c r="A3667" t="s">
        <v>5457</v>
      </c>
      <c r="B3667" s="2">
        <v>43084</v>
      </c>
      <c r="C3667" t="s">
        <v>1803</v>
      </c>
      <c r="D3667" t="s">
        <v>1804</v>
      </c>
    </row>
    <row r="3668" spans="1:4" x14ac:dyDescent="0.2">
      <c r="A3668" t="s">
        <v>5458</v>
      </c>
      <c r="B3668" s="2">
        <v>43115</v>
      </c>
      <c r="C3668" t="s">
        <v>1825</v>
      </c>
      <c r="D3668" t="s">
        <v>1810</v>
      </c>
    </row>
    <row r="3669" spans="1:4" x14ac:dyDescent="0.2">
      <c r="A3669" t="s">
        <v>5459</v>
      </c>
      <c r="B3669" s="2">
        <v>43195</v>
      </c>
      <c r="C3669" t="s">
        <v>2048</v>
      </c>
      <c r="D3669" t="s">
        <v>1810</v>
      </c>
    </row>
    <row r="3670" spans="1:4" x14ac:dyDescent="0.2">
      <c r="A3670" t="s">
        <v>831</v>
      </c>
      <c r="B3670" s="2">
        <v>43191</v>
      </c>
      <c r="C3670" t="s">
        <v>1816</v>
      </c>
      <c r="D3670" t="s">
        <v>1031</v>
      </c>
    </row>
    <row r="3671" spans="1:4" x14ac:dyDescent="0.2">
      <c r="A3671" t="s">
        <v>5460</v>
      </c>
      <c r="B3671" s="2">
        <v>43172</v>
      </c>
      <c r="C3671" t="s">
        <v>1930</v>
      </c>
      <c r="D3671" t="s">
        <v>1807</v>
      </c>
    </row>
    <row r="3672" spans="1:4" x14ac:dyDescent="0.2">
      <c r="A3672" t="s">
        <v>5461</v>
      </c>
      <c r="B3672" s="2">
        <v>43138</v>
      </c>
      <c r="C3672" t="s">
        <v>1865</v>
      </c>
      <c r="D3672" t="s">
        <v>1810</v>
      </c>
    </row>
    <row r="3673" spans="1:4" x14ac:dyDescent="0.2">
      <c r="A3673" t="s">
        <v>5462</v>
      </c>
      <c r="B3673" s="2">
        <v>42967</v>
      </c>
      <c r="C3673" t="s">
        <v>2410</v>
      </c>
      <c r="D3673" t="s">
        <v>1810</v>
      </c>
    </row>
    <row r="3674" spans="1:4" x14ac:dyDescent="0.2">
      <c r="A3674" t="s">
        <v>5463</v>
      </c>
      <c r="B3674" s="2">
        <v>43023</v>
      </c>
      <c r="C3674" t="s">
        <v>1915</v>
      </c>
      <c r="D3674" t="s">
        <v>1807</v>
      </c>
    </row>
    <row r="3675" spans="1:4" x14ac:dyDescent="0.2">
      <c r="A3675" t="s">
        <v>5464</v>
      </c>
      <c r="B3675" s="2">
        <v>43247</v>
      </c>
      <c r="C3675" t="s">
        <v>2242</v>
      </c>
      <c r="D3675" t="s">
        <v>1829</v>
      </c>
    </row>
    <row r="3676" spans="1:4" x14ac:dyDescent="0.2">
      <c r="A3676" t="s">
        <v>5465</v>
      </c>
      <c r="B3676" s="2">
        <v>43195</v>
      </c>
      <c r="C3676" t="s">
        <v>1836</v>
      </c>
      <c r="D3676" t="s">
        <v>1031</v>
      </c>
    </row>
    <row r="3677" spans="1:4" x14ac:dyDescent="0.2">
      <c r="A3677" t="s">
        <v>5466</v>
      </c>
      <c r="B3677" s="2">
        <v>43152</v>
      </c>
      <c r="C3677" t="s">
        <v>1836</v>
      </c>
      <c r="D3677" t="s">
        <v>1031</v>
      </c>
    </row>
    <row r="3678" spans="1:4" x14ac:dyDescent="0.2">
      <c r="A3678" t="s">
        <v>5467</v>
      </c>
      <c r="B3678" s="2">
        <v>43033</v>
      </c>
      <c r="C3678" t="s">
        <v>1803</v>
      </c>
      <c r="D3678" t="s">
        <v>1804</v>
      </c>
    </row>
    <row r="3679" spans="1:4" x14ac:dyDescent="0.2">
      <c r="A3679" t="s">
        <v>5468</v>
      </c>
      <c r="B3679" s="2">
        <v>42969</v>
      </c>
      <c r="C3679" t="s">
        <v>1907</v>
      </c>
      <c r="D3679" t="s">
        <v>1807</v>
      </c>
    </row>
    <row r="3680" spans="1:4" x14ac:dyDescent="0.2">
      <c r="A3680" t="s">
        <v>5469</v>
      </c>
      <c r="B3680" s="2">
        <v>43167</v>
      </c>
      <c r="C3680" t="s">
        <v>1831</v>
      </c>
      <c r="D3680" t="s">
        <v>1810</v>
      </c>
    </row>
    <row r="3681" spans="1:4" x14ac:dyDescent="0.2">
      <c r="A3681" t="s">
        <v>5470</v>
      </c>
      <c r="B3681" s="2">
        <v>43117</v>
      </c>
      <c r="C3681" t="s">
        <v>1803</v>
      </c>
      <c r="D3681" t="s">
        <v>1804</v>
      </c>
    </row>
    <row r="3682" spans="1:4" x14ac:dyDescent="0.2">
      <c r="A3682" t="s">
        <v>5471</v>
      </c>
      <c r="B3682" s="2">
        <v>43023</v>
      </c>
      <c r="C3682" t="s">
        <v>3515</v>
      </c>
      <c r="D3682" t="s">
        <v>1804</v>
      </c>
    </row>
    <row r="3683" spans="1:4" x14ac:dyDescent="0.2">
      <c r="A3683" t="s">
        <v>5472</v>
      </c>
      <c r="B3683" s="2">
        <v>43180</v>
      </c>
      <c r="C3683" t="s">
        <v>1836</v>
      </c>
      <c r="D3683" t="s">
        <v>1807</v>
      </c>
    </row>
    <row r="3684" spans="1:4" x14ac:dyDescent="0.2">
      <c r="A3684" t="s">
        <v>5473</v>
      </c>
      <c r="B3684" s="2">
        <v>43245</v>
      </c>
      <c r="C3684" t="s">
        <v>2342</v>
      </c>
      <c r="D3684" t="s">
        <v>1813</v>
      </c>
    </row>
    <row r="3685" spans="1:4" x14ac:dyDescent="0.2">
      <c r="A3685" t="s">
        <v>5474</v>
      </c>
      <c r="B3685" s="2">
        <v>43238</v>
      </c>
      <c r="C3685" t="s">
        <v>1863</v>
      </c>
      <c r="D3685" t="s">
        <v>1804</v>
      </c>
    </row>
    <row r="3686" spans="1:4" x14ac:dyDescent="0.2">
      <c r="A3686" t="s">
        <v>5475</v>
      </c>
      <c r="B3686" s="2">
        <v>43103</v>
      </c>
      <c r="C3686" t="s">
        <v>2318</v>
      </c>
      <c r="D3686" t="s">
        <v>1810</v>
      </c>
    </row>
    <row r="3687" spans="1:4" x14ac:dyDescent="0.2">
      <c r="A3687" t="s">
        <v>5476</v>
      </c>
      <c r="B3687" s="2">
        <v>43116</v>
      </c>
      <c r="C3687" t="s">
        <v>1996</v>
      </c>
      <c r="D3687" t="s">
        <v>1810</v>
      </c>
    </row>
    <row r="3688" spans="1:4" x14ac:dyDescent="0.2">
      <c r="A3688" t="s">
        <v>5477</v>
      </c>
      <c r="B3688" s="2">
        <v>43247</v>
      </c>
      <c r="C3688" t="s">
        <v>3390</v>
      </c>
      <c r="D3688" t="s">
        <v>1807</v>
      </c>
    </row>
    <row r="3689" spans="1:4" x14ac:dyDescent="0.2">
      <c r="A3689" t="s">
        <v>5478</v>
      </c>
      <c r="B3689" s="2">
        <v>43196</v>
      </c>
      <c r="C3689" t="s">
        <v>1825</v>
      </c>
      <c r="D3689" t="s">
        <v>1031</v>
      </c>
    </row>
    <row r="3690" spans="1:4" x14ac:dyDescent="0.2">
      <c r="A3690" t="s">
        <v>5479</v>
      </c>
      <c r="B3690" s="2">
        <v>42970</v>
      </c>
      <c r="C3690" t="s">
        <v>1836</v>
      </c>
      <c r="D3690" t="s">
        <v>1031</v>
      </c>
    </row>
    <row r="3691" spans="1:4" x14ac:dyDescent="0.2">
      <c r="A3691" t="s">
        <v>5480</v>
      </c>
      <c r="B3691" s="2">
        <v>42966</v>
      </c>
      <c r="C3691" t="s">
        <v>1894</v>
      </c>
      <c r="D3691" t="s">
        <v>1804</v>
      </c>
    </row>
    <row r="3692" spans="1:4" x14ac:dyDescent="0.2">
      <c r="A3692" t="s">
        <v>5481</v>
      </c>
      <c r="B3692" s="2">
        <v>43186</v>
      </c>
      <c r="C3692" t="s">
        <v>5482</v>
      </c>
      <c r="D3692" t="s">
        <v>1813</v>
      </c>
    </row>
    <row r="3693" spans="1:4" x14ac:dyDescent="0.2">
      <c r="A3693" t="s">
        <v>5483</v>
      </c>
      <c r="B3693" s="2">
        <v>43145</v>
      </c>
      <c r="C3693" t="s">
        <v>1987</v>
      </c>
      <c r="D3693" t="s">
        <v>1810</v>
      </c>
    </row>
    <row r="3694" spans="1:4" x14ac:dyDescent="0.2">
      <c r="A3694" t="s">
        <v>5484</v>
      </c>
      <c r="B3694" s="2">
        <v>43157</v>
      </c>
      <c r="C3694" t="s">
        <v>1816</v>
      </c>
      <c r="D3694" t="s">
        <v>1810</v>
      </c>
    </row>
    <row r="3695" spans="1:4" x14ac:dyDescent="0.2">
      <c r="A3695" t="s">
        <v>833</v>
      </c>
      <c r="B3695" s="2">
        <v>43161</v>
      </c>
      <c r="C3695" t="s">
        <v>1930</v>
      </c>
      <c r="D3695" t="s">
        <v>1810</v>
      </c>
    </row>
    <row r="3696" spans="1:4" x14ac:dyDescent="0.2">
      <c r="A3696" t="s">
        <v>835</v>
      </c>
      <c r="B3696" s="2">
        <v>43235</v>
      </c>
      <c r="C3696" t="s">
        <v>1902</v>
      </c>
      <c r="D3696" t="s">
        <v>1031</v>
      </c>
    </row>
    <row r="3697" spans="1:4" x14ac:dyDescent="0.2">
      <c r="A3697" t="s">
        <v>5485</v>
      </c>
      <c r="B3697" s="2">
        <v>43108</v>
      </c>
      <c r="C3697" t="s">
        <v>1836</v>
      </c>
      <c r="D3697" t="s">
        <v>1031</v>
      </c>
    </row>
    <row r="3698" spans="1:4" x14ac:dyDescent="0.2">
      <c r="A3698" t="s">
        <v>5486</v>
      </c>
      <c r="B3698" s="2">
        <v>42990</v>
      </c>
      <c r="C3698" t="s">
        <v>1894</v>
      </c>
      <c r="D3698" t="s">
        <v>1804</v>
      </c>
    </row>
    <row r="3699" spans="1:4" x14ac:dyDescent="0.2">
      <c r="A3699" t="s">
        <v>5487</v>
      </c>
      <c r="B3699" s="2">
        <v>43010</v>
      </c>
      <c r="C3699" t="s">
        <v>2829</v>
      </c>
      <c r="D3699" t="s">
        <v>1810</v>
      </c>
    </row>
    <row r="3700" spans="1:4" x14ac:dyDescent="0.2">
      <c r="A3700" t="s">
        <v>5488</v>
      </c>
      <c r="B3700" s="2">
        <v>43034</v>
      </c>
      <c r="C3700" t="s">
        <v>5489</v>
      </c>
      <c r="D3700" t="s">
        <v>1807</v>
      </c>
    </row>
    <row r="3701" spans="1:4" x14ac:dyDescent="0.2">
      <c r="A3701" t="s">
        <v>5490</v>
      </c>
      <c r="B3701" s="2">
        <v>43042</v>
      </c>
      <c r="C3701" t="s">
        <v>1939</v>
      </c>
      <c r="D3701" t="s">
        <v>1910</v>
      </c>
    </row>
    <row r="3702" spans="1:4" x14ac:dyDescent="0.2">
      <c r="A3702" t="s">
        <v>5491</v>
      </c>
      <c r="B3702" s="2">
        <v>43236</v>
      </c>
      <c r="C3702" t="s">
        <v>2072</v>
      </c>
      <c r="D3702" t="s">
        <v>1807</v>
      </c>
    </row>
    <row r="3703" spans="1:4" x14ac:dyDescent="0.2">
      <c r="A3703" t="s">
        <v>837</v>
      </c>
      <c r="B3703" s="2">
        <v>43199</v>
      </c>
      <c r="C3703" t="s">
        <v>1816</v>
      </c>
      <c r="D3703" t="s">
        <v>1810</v>
      </c>
    </row>
    <row r="3704" spans="1:4" x14ac:dyDescent="0.2">
      <c r="A3704" t="s">
        <v>5492</v>
      </c>
      <c r="B3704" s="2">
        <v>43180</v>
      </c>
      <c r="C3704" t="s">
        <v>2187</v>
      </c>
      <c r="D3704" t="s">
        <v>1807</v>
      </c>
    </row>
    <row r="3705" spans="1:4" x14ac:dyDescent="0.2">
      <c r="A3705" t="s">
        <v>5493</v>
      </c>
      <c r="B3705" s="2">
        <v>43248</v>
      </c>
      <c r="C3705" t="s">
        <v>1836</v>
      </c>
      <c r="D3705" t="s">
        <v>1031</v>
      </c>
    </row>
    <row r="3706" spans="1:4" x14ac:dyDescent="0.2">
      <c r="A3706" t="s">
        <v>5494</v>
      </c>
      <c r="B3706" s="2">
        <v>43116</v>
      </c>
      <c r="C3706" t="s">
        <v>1867</v>
      </c>
      <c r="D3706" t="s">
        <v>1810</v>
      </c>
    </row>
    <row r="3707" spans="1:4" x14ac:dyDescent="0.2">
      <c r="A3707" t="s">
        <v>5495</v>
      </c>
      <c r="B3707" s="2">
        <v>43228</v>
      </c>
      <c r="C3707" t="s">
        <v>1825</v>
      </c>
      <c r="D3707" t="s">
        <v>1807</v>
      </c>
    </row>
    <row r="3708" spans="1:4" x14ac:dyDescent="0.2">
      <c r="A3708" t="s">
        <v>5496</v>
      </c>
      <c r="B3708" s="2">
        <v>43075</v>
      </c>
      <c r="C3708" t="s">
        <v>1915</v>
      </c>
      <c r="D3708" t="s">
        <v>1807</v>
      </c>
    </row>
    <row r="3709" spans="1:4" x14ac:dyDescent="0.2">
      <c r="A3709" t="s">
        <v>5497</v>
      </c>
      <c r="B3709" s="2">
        <v>43034</v>
      </c>
      <c r="C3709" t="s">
        <v>1907</v>
      </c>
      <c r="D3709" t="s">
        <v>1807</v>
      </c>
    </row>
    <row r="3710" spans="1:4" x14ac:dyDescent="0.2">
      <c r="A3710" t="s">
        <v>5498</v>
      </c>
      <c r="B3710" s="2">
        <v>42970</v>
      </c>
      <c r="C3710" t="s">
        <v>2066</v>
      </c>
      <c r="D3710" t="s">
        <v>1813</v>
      </c>
    </row>
    <row r="3711" spans="1:4" x14ac:dyDescent="0.2">
      <c r="A3711" t="s">
        <v>5499</v>
      </c>
      <c r="B3711" s="2">
        <v>43139</v>
      </c>
      <c r="C3711" t="s">
        <v>1836</v>
      </c>
      <c r="D3711" t="s">
        <v>1031</v>
      </c>
    </row>
    <row r="3712" spans="1:4" x14ac:dyDescent="0.2">
      <c r="A3712" t="s">
        <v>5500</v>
      </c>
      <c r="B3712" s="2">
        <v>42957</v>
      </c>
      <c r="C3712" t="s">
        <v>2576</v>
      </c>
      <c r="D3712" t="s">
        <v>1813</v>
      </c>
    </row>
    <row r="3713" spans="1:4" x14ac:dyDescent="0.2">
      <c r="A3713" t="s">
        <v>5501</v>
      </c>
      <c r="B3713" s="2">
        <v>42975</v>
      </c>
      <c r="C3713" t="s">
        <v>1894</v>
      </c>
      <c r="D3713" t="s">
        <v>1804</v>
      </c>
    </row>
    <row r="3714" spans="1:4" x14ac:dyDescent="0.2">
      <c r="A3714" t="s">
        <v>5502</v>
      </c>
      <c r="B3714" s="2">
        <v>43122</v>
      </c>
      <c r="C3714" t="s">
        <v>1803</v>
      </c>
      <c r="D3714" t="s">
        <v>1804</v>
      </c>
    </row>
    <row r="3715" spans="1:4" x14ac:dyDescent="0.2">
      <c r="A3715" t="s">
        <v>5503</v>
      </c>
      <c r="B3715" s="2">
        <v>43160</v>
      </c>
      <c r="C3715" t="s">
        <v>1836</v>
      </c>
      <c r="D3715" t="s">
        <v>1031</v>
      </c>
    </row>
    <row r="3716" spans="1:4" x14ac:dyDescent="0.2">
      <c r="A3716" t="s">
        <v>5504</v>
      </c>
      <c r="B3716" s="2">
        <v>43208</v>
      </c>
      <c r="C3716" t="s">
        <v>2158</v>
      </c>
      <c r="D3716" t="s">
        <v>1796</v>
      </c>
    </row>
    <row r="3717" spans="1:4" x14ac:dyDescent="0.2">
      <c r="A3717" t="s">
        <v>5505</v>
      </c>
      <c r="B3717" s="2">
        <v>42966</v>
      </c>
      <c r="C3717" t="s">
        <v>1816</v>
      </c>
      <c r="D3717" t="s">
        <v>1829</v>
      </c>
    </row>
    <row r="3718" spans="1:4" x14ac:dyDescent="0.2">
      <c r="A3718" t="s">
        <v>5506</v>
      </c>
      <c r="B3718" s="2">
        <v>42957</v>
      </c>
      <c r="C3718" t="s">
        <v>1867</v>
      </c>
      <c r="D3718" t="s">
        <v>1910</v>
      </c>
    </row>
    <row r="3719" spans="1:4" x14ac:dyDescent="0.2">
      <c r="A3719" t="s">
        <v>5507</v>
      </c>
      <c r="B3719" s="2">
        <v>43231</v>
      </c>
      <c r="C3719" t="s">
        <v>1836</v>
      </c>
      <c r="D3719" t="s">
        <v>1840</v>
      </c>
    </row>
    <row r="3720" spans="1:4" x14ac:dyDescent="0.2">
      <c r="A3720" t="s">
        <v>5508</v>
      </c>
      <c r="B3720" s="2">
        <v>43067</v>
      </c>
      <c r="C3720" t="s">
        <v>1803</v>
      </c>
      <c r="D3720" t="s">
        <v>1804</v>
      </c>
    </row>
    <row r="3721" spans="1:4" x14ac:dyDescent="0.2">
      <c r="A3721" t="s">
        <v>839</v>
      </c>
      <c r="B3721" s="2">
        <v>43194</v>
      </c>
      <c r="C3721" t="s">
        <v>1816</v>
      </c>
      <c r="D3721" t="s">
        <v>1810</v>
      </c>
    </row>
    <row r="3722" spans="1:4" x14ac:dyDescent="0.2">
      <c r="A3722" t="s">
        <v>5509</v>
      </c>
      <c r="B3722" s="2">
        <v>43070</v>
      </c>
      <c r="C3722" t="s">
        <v>1803</v>
      </c>
      <c r="D3722" t="s">
        <v>1804</v>
      </c>
    </row>
    <row r="3723" spans="1:4" x14ac:dyDescent="0.2">
      <c r="A3723" t="s">
        <v>5510</v>
      </c>
      <c r="B3723" s="2">
        <v>43038</v>
      </c>
      <c r="C3723" t="s">
        <v>2294</v>
      </c>
      <c r="D3723" t="s">
        <v>1031</v>
      </c>
    </row>
    <row r="3724" spans="1:4" x14ac:dyDescent="0.2">
      <c r="A3724" t="s">
        <v>5511</v>
      </c>
      <c r="B3724" s="2">
        <v>43153</v>
      </c>
      <c r="C3724" t="s">
        <v>2249</v>
      </c>
      <c r="D3724" t="s">
        <v>1031</v>
      </c>
    </row>
    <row r="3725" spans="1:4" x14ac:dyDescent="0.2">
      <c r="A3725" t="s">
        <v>5512</v>
      </c>
      <c r="B3725" s="2">
        <v>43061</v>
      </c>
      <c r="C3725" t="s">
        <v>3732</v>
      </c>
      <c r="D3725" t="s">
        <v>1849</v>
      </c>
    </row>
    <row r="3726" spans="1:4" x14ac:dyDescent="0.2">
      <c r="A3726" t="s">
        <v>5513</v>
      </c>
      <c r="B3726" s="2">
        <v>43244</v>
      </c>
      <c r="C3726" t="s">
        <v>1905</v>
      </c>
      <c r="D3726" t="s">
        <v>1840</v>
      </c>
    </row>
    <row r="3727" spans="1:4" x14ac:dyDescent="0.2">
      <c r="A3727" t="s">
        <v>5514</v>
      </c>
      <c r="B3727" s="2">
        <v>43178</v>
      </c>
      <c r="C3727" t="s">
        <v>1836</v>
      </c>
      <c r="D3727" t="s">
        <v>1031</v>
      </c>
    </row>
    <row r="3728" spans="1:4" x14ac:dyDescent="0.2">
      <c r="A3728" t="s">
        <v>5515</v>
      </c>
      <c r="B3728" s="2">
        <v>42964</v>
      </c>
      <c r="C3728" t="s">
        <v>2163</v>
      </c>
      <c r="D3728" t="s">
        <v>1840</v>
      </c>
    </row>
    <row r="3729" spans="1:4" x14ac:dyDescent="0.2">
      <c r="A3729" t="s">
        <v>5516</v>
      </c>
      <c r="B3729" s="2">
        <v>43205</v>
      </c>
      <c r="C3729" t="s">
        <v>1863</v>
      </c>
      <c r="D3729" t="s">
        <v>1804</v>
      </c>
    </row>
    <row r="3730" spans="1:4" x14ac:dyDescent="0.2">
      <c r="A3730" t="s">
        <v>5517</v>
      </c>
      <c r="B3730" s="2">
        <v>43223</v>
      </c>
      <c r="C3730" t="s">
        <v>1836</v>
      </c>
      <c r="D3730" t="s">
        <v>1810</v>
      </c>
    </row>
    <row r="3731" spans="1:4" x14ac:dyDescent="0.2">
      <c r="A3731" t="s">
        <v>5518</v>
      </c>
      <c r="B3731" s="2">
        <v>43242</v>
      </c>
      <c r="C3731" t="s">
        <v>1902</v>
      </c>
      <c r="D3731" t="s">
        <v>1810</v>
      </c>
    </row>
    <row r="3732" spans="1:4" x14ac:dyDescent="0.2">
      <c r="A3732" t="s">
        <v>5519</v>
      </c>
      <c r="B3732" s="2">
        <v>43227</v>
      </c>
      <c r="C3732" t="s">
        <v>1836</v>
      </c>
      <c r="D3732" t="s">
        <v>1031</v>
      </c>
    </row>
    <row r="3733" spans="1:4" x14ac:dyDescent="0.2">
      <c r="A3733" t="s">
        <v>5520</v>
      </c>
      <c r="B3733" s="2">
        <v>42990</v>
      </c>
      <c r="C3733" t="s">
        <v>1894</v>
      </c>
      <c r="D3733" t="s">
        <v>1804</v>
      </c>
    </row>
    <row r="3734" spans="1:4" x14ac:dyDescent="0.2">
      <c r="A3734" t="s">
        <v>5521</v>
      </c>
      <c r="B3734" s="2">
        <v>43176</v>
      </c>
      <c r="C3734" t="s">
        <v>2318</v>
      </c>
      <c r="D3734" t="s">
        <v>1810</v>
      </c>
    </row>
    <row r="3735" spans="1:4" x14ac:dyDescent="0.2">
      <c r="A3735" t="s">
        <v>841</v>
      </c>
      <c r="B3735" s="2">
        <v>43158</v>
      </c>
      <c r="C3735" t="s">
        <v>1905</v>
      </c>
      <c r="D3735" t="s">
        <v>1810</v>
      </c>
    </row>
    <row r="3736" spans="1:4" x14ac:dyDescent="0.2">
      <c r="A3736" t="s">
        <v>5522</v>
      </c>
      <c r="B3736" s="2">
        <v>43145</v>
      </c>
      <c r="C3736" t="s">
        <v>1803</v>
      </c>
      <c r="D3736" t="s">
        <v>1804</v>
      </c>
    </row>
    <row r="3737" spans="1:4" x14ac:dyDescent="0.2">
      <c r="A3737" t="s">
        <v>5523</v>
      </c>
      <c r="B3737" s="2">
        <v>43203</v>
      </c>
      <c r="C3737" t="s">
        <v>1816</v>
      </c>
      <c r="D3737" t="s">
        <v>1807</v>
      </c>
    </row>
    <row r="3738" spans="1:4" x14ac:dyDescent="0.2">
      <c r="A3738" t="s">
        <v>5524</v>
      </c>
      <c r="B3738" s="2">
        <v>43154</v>
      </c>
      <c r="C3738" t="s">
        <v>1814</v>
      </c>
      <c r="D3738" t="s">
        <v>1810</v>
      </c>
    </row>
    <row r="3739" spans="1:4" x14ac:dyDescent="0.2">
      <c r="A3739" t="s">
        <v>5525</v>
      </c>
      <c r="B3739" s="2">
        <v>43195</v>
      </c>
      <c r="C3739" t="s">
        <v>2242</v>
      </c>
      <c r="D3739" t="s">
        <v>1796</v>
      </c>
    </row>
    <row r="3740" spans="1:4" x14ac:dyDescent="0.2">
      <c r="A3740" t="s">
        <v>5526</v>
      </c>
      <c r="B3740" s="2">
        <v>43234</v>
      </c>
      <c r="C3740" t="s">
        <v>1836</v>
      </c>
      <c r="D3740" t="s">
        <v>1031</v>
      </c>
    </row>
    <row r="3741" spans="1:4" x14ac:dyDescent="0.2">
      <c r="A3741" t="s">
        <v>5527</v>
      </c>
      <c r="B3741" s="2">
        <v>43049</v>
      </c>
      <c r="C3741" t="s">
        <v>1803</v>
      </c>
      <c r="D3741" t="s">
        <v>1804</v>
      </c>
    </row>
    <row r="3742" spans="1:4" x14ac:dyDescent="0.2">
      <c r="A3742" t="s">
        <v>5528</v>
      </c>
      <c r="B3742" s="2">
        <v>43096</v>
      </c>
      <c r="C3742" t="s">
        <v>1816</v>
      </c>
      <c r="D3742" t="s">
        <v>1840</v>
      </c>
    </row>
    <row r="3743" spans="1:4" x14ac:dyDescent="0.2">
      <c r="A3743" t="s">
        <v>5529</v>
      </c>
      <c r="B3743" s="2">
        <v>43173</v>
      </c>
      <c r="C3743" t="s">
        <v>1825</v>
      </c>
      <c r="D3743" t="s">
        <v>1810</v>
      </c>
    </row>
    <row r="3744" spans="1:4" x14ac:dyDescent="0.2">
      <c r="A3744" t="s">
        <v>5530</v>
      </c>
      <c r="B3744" s="2">
        <v>43066</v>
      </c>
      <c r="C3744" t="s">
        <v>3163</v>
      </c>
      <c r="D3744" t="s">
        <v>1810</v>
      </c>
    </row>
    <row r="3745" spans="1:4" x14ac:dyDescent="0.2">
      <c r="A3745" t="s">
        <v>5531</v>
      </c>
      <c r="B3745" s="2">
        <v>42957</v>
      </c>
      <c r="C3745" t="s">
        <v>5532</v>
      </c>
      <c r="D3745" t="s">
        <v>1813</v>
      </c>
    </row>
    <row r="3746" spans="1:4" x14ac:dyDescent="0.2">
      <c r="A3746" t="s">
        <v>5533</v>
      </c>
      <c r="B3746" s="2">
        <v>42958</v>
      </c>
      <c r="C3746" t="s">
        <v>1836</v>
      </c>
      <c r="D3746" t="s">
        <v>1829</v>
      </c>
    </row>
    <row r="3747" spans="1:4" x14ac:dyDescent="0.2">
      <c r="A3747" t="s">
        <v>5534</v>
      </c>
      <c r="B3747" s="2">
        <v>43062</v>
      </c>
      <c r="C3747" t="s">
        <v>1836</v>
      </c>
      <c r="D3747" t="s">
        <v>1031</v>
      </c>
    </row>
    <row r="3748" spans="1:4" x14ac:dyDescent="0.2">
      <c r="A3748" t="s">
        <v>5535</v>
      </c>
      <c r="B3748" s="2">
        <v>43216</v>
      </c>
      <c r="C3748" t="s">
        <v>1930</v>
      </c>
      <c r="D3748" t="s">
        <v>1807</v>
      </c>
    </row>
    <row r="3749" spans="1:4" x14ac:dyDescent="0.2">
      <c r="A3749" t="s">
        <v>5536</v>
      </c>
      <c r="B3749" s="2">
        <v>43130</v>
      </c>
      <c r="C3749" t="s">
        <v>1803</v>
      </c>
      <c r="D3749" t="s">
        <v>1804</v>
      </c>
    </row>
    <row r="3750" spans="1:4" x14ac:dyDescent="0.2">
      <c r="A3750" t="s">
        <v>5537</v>
      </c>
      <c r="B3750" s="2">
        <v>43073</v>
      </c>
      <c r="C3750" t="s">
        <v>3515</v>
      </c>
      <c r="D3750" t="s">
        <v>1804</v>
      </c>
    </row>
    <row r="3751" spans="1:4" x14ac:dyDescent="0.2">
      <c r="A3751" t="s">
        <v>5538</v>
      </c>
      <c r="B3751" s="2">
        <v>43208</v>
      </c>
      <c r="C3751" t="s">
        <v>1816</v>
      </c>
      <c r="D3751" t="s">
        <v>1810</v>
      </c>
    </row>
    <row r="3752" spans="1:4" x14ac:dyDescent="0.2">
      <c r="A3752" t="s">
        <v>5539</v>
      </c>
      <c r="B3752" s="2">
        <v>43171</v>
      </c>
      <c r="C3752" t="s">
        <v>1928</v>
      </c>
      <c r="D3752" t="s">
        <v>1840</v>
      </c>
    </row>
    <row r="3753" spans="1:4" x14ac:dyDescent="0.2">
      <c r="A3753" t="s">
        <v>5540</v>
      </c>
      <c r="B3753" s="2">
        <v>43143</v>
      </c>
      <c r="C3753" t="s">
        <v>1930</v>
      </c>
      <c r="D3753" t="s">
        <v>1810</v>
      </c>
    </row>
    <row r="3754" spans="1:4" x14ac:dyDescent="0.2">
      <c r="A3754" t="s">
        <v>5541</v>
      </c>
      <c r="B3754" s="2">
        <v>43234</v>
      </c>
      <c r="C3754" t="s">
        <v>1905</v>
      </c>
      <c r="D3754" t="s">
        <v>1807</v>
      </c>
    </row>
    <row r="3755" spans="1:4" x14ac:dyDescent="0.2">
      <c r="A3755" t="s">
        <v>5542</v>
      </c>
      <c r="B3755" s="2">
        <v>43084</v>
      </c>
      <c r="C3755" t="s">
        <v>2108</v>
      </c>
      <c r="D3755" t="s">
        <v>1813</v>
      </c>
    </row>
    <row r="3756" spans="1:4" x14ac:dyDescent="0.2">
      <c r="A3756" t="s">
        <v>5543</v>
      </c>
      <c r="B3756" s="2">
        <v>43140</v>
      </c>
      <c r="C3756" t="s">
        <v>1809</v>
      </c>
      <c r="D3756" t="s">
        <v>1810</v>
      </c>
    </row>
    <row r="3757" spans="1:4" x14ac:dyDescent="0.2">
      <c r="A3757" t="s">
        <v>5544</v>
      </c>
      <c r="B3757" s="2">
        <v>42962</v>
      </c>
      <c r="C3757" t="s">
        <v>2576</v>
      </c>
      <c r="D3757" t="s">
        <v>1031</v>
      </c>
    </row>
    <row r="3758" spans="1:4" x14ac:dyDescent="0.2">
      <c r="A3758" t="s">
        <v>5545</v>
      </c>
      <c r="B3758" s="2">
        <v>43158</v>
      </c>
      <c r="C3758" t="s">
        <v>5546</v>
      </c>
      <c r="D3758" t="s">
        <v>1031</v>
      </c>
    </row>
    <row r="3759" spans="1:4" x14ac:dyDescent="0.2">
      <c r="A3759" t="s">
        <v>5547</v>
      </c>
      <c r="B3759" s="2">
        <v>43153</v>
      </c>
      <c r="C3759" t="s">
        <v>1834</v>
      </c>
      <c r="D3759" t="s">
        <v>1807</v>
      </c>
    </row>
    <row r="3760" spans="1:4" x14ac:dyDescent="0.2">
      <c r="A3760" t="s">
        <v>5548</v>
      </c>
      <c r="B3760" s="2">
        <v>43135</v>
      </c>
      <c r="C3760" t="s">
        <v>3163</v>
      </c>
      <c r="D3760" t="s">
        <v>1813</v>
      </c>
    </row>
    <row r="3761" spans="1:4" x14ac:dyDescent="0.2">
      <c r="A3761" t="s">
        <v>5549</v>
      </c>
      <c r="B3761" s="2">
        <v>43042</v>
      </c>
      <c r="C3761" t="s">
        <v>2576</v>
      </c>
      <c r="D3761" t="s">
        <v>1031</v>
      </c>
    </row>
    <row r="3762" spans="1:4" x14ac:dyDescent="0.2">
      <c r="A3762" t="s">
        <v>5550</v>
      </c>
      <c r="B3762" s="2">
        <v>43117</v>
      </c>
      <c r="C3762" t="s">
        <v>1836</v>
      </c>
      <c r="D3762" t="s">
        <v>1840</v>
      </c>
    </row>
    <row r="3763" spans="1:4" x14ac:dyDescent="0.2">
      <c r="A3763" t="s">
        <v>5551</v>
      </c>
      <c r="B3763" s="2">
        <v>42979</v>
      </c>
      <c r="C3763" t="s">
        <v>3161</v>
      </c>
      <c r="D3763" t="s">
        <v>1813</v>
      </c>
    </row>
    <row r="3764" spans="1:4" x14ac:dyDescent="0.2">
      <c r="A3764" t="s">
        <v>843</v>
      </c>
      <c r="B3764" s="2">
        <v>43182</v>
      </c>
      <c r="C3764" t="s">
        <v>1816</v>
      </c>
      <c r="D3764" t="s">
        <v>1810</v>
      </c>
    </row>
    <row r="3765" spans="1:4" x14ac:dyDescent="0.2">
      <c r="A3765" t="s">
        <v>5552</v>
      </c>
      <c r="B3765" s="2">
        <v>43073</v>
      </c>
      <c r="C3765" t="s">
        <v>1939</v>
      </c>
      <c r="D3765" t="s">
        <v>1807</v>
      </c>
    </row>
    <row r="3766" spans="1:4" x14ac:dyDescent="0.2">
      <c r="A3766" t="s">
        <v>5553</v>
      </c>
      <c r="B3766" s="2">
        <v>43229</v>
      </c>
      <c r="C3766" t="s">
        <v>1816</v>
      </c>
      <c r="D3766" t="s">
        <v>1807</v>
      </c>
    </row>
    <row r="3767" spans="1:4" x14ac:dyDescent="0.2">
      <c r="A3767" t="s">
        <v>5554</v>
      </c>
      <c r="B3767" s="2">
        <v>43130</v>
      </c>
      <c r="C3767" t="s">
        <v>5555</v>
      </c>
      <c r="D3767" t="s">
        <v>1807</v>
      </c>
    </row>
    <row r="3768" spans="1:4" x14ac:dyDescent="0.2">
      <c r="A3768" t="s">
        <v>5556</v>
      </c>
      <c r="B3768" s="2">
        <v>43018</v>
      </c>
      <c r="C3768" t="s">
        <v>1803</v>
      </c>
      <c r="D3768" t="s">
        <v>1804</v>
      </c>
    </row>
    <row r="3769" spans="1:4" x14ac:dyDescent="0.2">
      <c r="A3769" t="s">
        <v>845</v>
      </c>
      <c r="B3769" s="2">
        <v>43136</v>
      </c>
      <c r="C3769" t="s">
        <v>1803</v>
      </c>
      <c r="D3769" t="s">
        <v>1804</v>
      </c>
    </row>
    <row r="3770" spans="1:4" x14ac:dyDescent="0.2">
      <c r="A3770" t="s">
        <v>5557</v>
      </c>
      <c r="B3770" s="2">
        <v>43181</v>
      </c>
      <c r="C3770" t="s">
        <v>1987</v>
      </c>
      <c r="D3770" t="s">
        <v>1807</v>
      </c>
    </row>
    <row r="3771" spans="1:4" x14ac:dyDescent="0.2">
      <c r="A3771" t="s">
        <v>5558</v>
      </c>
      <c r="B3771" s="2">
        <v>43104</v>
      </c>
      <c r="C3771" t="s">
        <v>1867</v>
      </c>
      <c r="D3771" t="s">
        <v>1813</v>
      </c>
    </row>
    <row r="3772" spans="1:4" x14ac:dyDescent="0.2">
      <c r="A3772" t="s">
        <v>5559</v>
      </c>
      <c r="B3772" s="2">
        <v>43039</v>
      </c>
      <c r="C3772" t="s">
        <v>1859</v>
      </c>
      <c r="D3772" t="s">
        <v>1810</v>
      </c>
    </row>
    <row r="3773" spans="1:4" x14ac:dyDescent="0.2">
      <c r="A3773" t="s">
        <v>5560</v>
      </c>
      <c r="B3773" s="2">
        <v>43182</v>
      </c>
      <c r="C3773" t="s">
        <v>1816</v>
      </c>
      <c r="D3773" t="s">
        <v>1031</v>
      </c>
    </row>
    <row r="3774" spans="1:4" x14ac:dyDescent="0.2">
      <c r="A3774" t="s">
        <v>5561</v>
      </c>
      <c r="B3774" s="2">
        <v>42942</v>
      </c>
      <c r="C3774" t="s">
        <v>3369</v>
      </c>
      <c r="D3774" t="s">
        <v>1813</v>
      </c>
    </row>
    <row r="3775" spans="1:4" x14ac:dyDescent="0.2">
      <c r="A3775" t="s">
        <v>5562</v>
      </c>
      <c r="B3775" s="2">
        <v>43161</v>
      </c>
      <c r="C3775" t="s">
        <v>2344</v>
      </c>
      <c r="D3775" t="s">
        <v>1840</v>
      </c>
    </row>
    <row r="3776" spans="1:4" x14ac:dyDescent="0.2">
      <c r="A3776" t="s">
        <v>5563</v>
      </c>
      <c r="B3776" s="2">
        <v>43240</v>
      </c>
      <c r="C3776" t="s">
        <v>1816</v>
      </c>
      <c r="D3776" t="s">
        <v>1829</v>
      </c>
    </row>
    <row r="3777" spans="1:4" x14ac:dyDescent="0.2">
      <c r="A3777" t="s">
        <v>5564</v>
      </c>
      <c r="B3777" s="2">
        <v>43009</v>
      </c>
      <c r="C3777" t="s">
        <v>2318</v>
      </c>
      <c r="D3777" t="s">
        <v>1810</v>
      </c>
    </row>
    <row r="3778" spans="1:4" x14ac:dyDescent="0.2">
      <c r="A3778" t="s">
        <v>5565</v>
      </c>
      <c r="B3778" s="2">
        <v>43241</v>
      </c>
      <c r="C3778" t="s">
        <v>1834</v>
      </c>
      <c r="D3778" t="s">
        <v>1810</v>
      </c>
    </row>
    <row r="3779" spans="1:4" x14ac:dyDescent="0.2">
      <c r="A3779" t="s">
        <v>847</v>
      </c>
      <c r="B3779" s="2">
        <v>43231</v>
      </c>
      <c r="C3779" t="s">
        <v>2242</v>
      </c>
      <c r="D3779" t="s">
        <v>1829</v>
      </c>
    </row>
    <row r="3780" spans="1:4" x14ac:dyDescent="0.2">
      <c r="A3780" t="s">
        <v>5566</v>
      </c>
      <c r="B3780" s="2">
        <v>43140</v>
      </c>
      <c r="C3780" t="s">
        <v>1859</v>
      </c>
      <c r="D3780" t="s">
        <v>1810</v>
      </c>
    </row>
    <row r="3781" spans="1:4" x14ac:dyDescent="0.2">
      <c r="A3781" t="s">
        <v>5567</v>
      </c>
      <c r="B3781" s="2">
        <v>42979</v>
      </c>
      <c r="C3781" t="s">
        <v>1822</v>
      </c>
      <c r="D3781" t="s">
        <v>1810</v>
      </c>
    </row>
    <row r="3782" spans="1:4" x14ac:dyDescent="0.2">
      <c r="A3782" t="s">
        <v>5568</v>
      </c>
      <c r="B3782" s="2">
        <v>43172</v>
      </c>
      <c r="C3782" t="s">
        <v>1836</v>
      </c>
      <c r="D3782" t="s">
        <v>1031</v>
      </c>
    </row>
    <row r="3783" spans="1:4" x14ac:dyDescent="0.2">
      <c r="A3783" t="s">
        <v>5569</v>
      </c>
      <c r="B3783" s="2">
        <v>42982</v>
      </c>
      <c r="C3783" t="s">
        <v>1894</v>
      </c>
      <c r="D3783" t="s">
        <v>1804</v>
      </c>
    </row>
    <row r="3784" spans="1:4" x14ac:dyDescent="0.2">
      <c r="A3784" t="s">
        <v>5570</v>
      </c>
      <c r="B3784" s="2">
        <v>43215</v>
      </c>
      <c r="C3784" t="s">
        <v>1909</v>
      </c>
      <c r="D3784" t="s">
        <v>1810</v>
      </c>
    </row>
    <row r="3785" spans="1:4" x14ac:dyDescent="0.2">
      <c r="A3785" t="s">
        <v>5571</v>
      </c>
      <c r="B3785" s="2">
        <v>42973</v>
      </c>
      <c r="C3785" t="s">
        <v>2535</v>
      </c>
      <c r="D3785" t="s">
        <v>1807</v>
      </c>
    </row>
    <row r="3786" spans="1:4" x14ac:dyDescent="0.2">
      <c r="A3786" t="s">
        <v>5572</v>
      </c>
      <c r="B3786" s="2">
        <v>43148</v>
      </c>
      <c r="C3786" t="s">
        <v>1803</v>
      </c>
      <c r="D3786" t="s">
        <v>1804</v>
      </c>
    </row>
    <row r="3787" spans="1:4" x14ac:dyDescent="0.2">
      <c r="A3787" t="s">
        <v>849</v>
      </c>
      <c r="B3787" s="2">
        <v>43120</v>
      </c>
      <c r="C3787" t="s">
        <v>1905</v>
      </c>
      <c r="D3787" t="s">
        <v>1810</v>
      </c>
    </row>
    <row r="3788" spans="1:4" x14ac:dyDescent="0.2">
      <c r="A3788" t="s">
        <v>5573</v>
      </c>
      <c r="B3788" s="2">
        <v>43227</v>
      </c>
      <c r="C3788" t="s">
        <v>1863</v>
      </c>
      <c r="D3788" t="s">
        <v>1804</v>
      </c>
    </row>
    <row r="3789" spans="1:4" x14ac:dyDescent="0.2">
      <c r="A3789" t="s">
        <v>5574</v>
      </c>
      <c r="B3789" s="2">
        <v>43232</v>
      </c>
      <c r="C3789" t="s">
        <v>1863</v>
      </c>
      <c r="D3789" t="s">
        <v>160</v>
      </c>
    </row>
    <row r="3790" spans="1:4" x14ac:dyDescent="0.2">
      <c r="A3790" t="s">
        <v>851</v>
      </c>
      <c r="B3790" s="2">
        <v>43111</v>
      </c>
      <c r="C3790" t="s">
        <v>1836</v>
      </c>
      <c r="D3790" t="s">
        <v>1810</v>
      </c>
    </row>
    <row r="3791" spans="1:4" x14ac:dyDescent="0.2">
      <c r="A3791" t="s">
        <v>853</v>
      </c>
      <c r="B3791" s="2">
        <v>43168</v>
      </c>
      <c r="C3791" t="s">
        <v>1905</v>
      </c>
      <c r="D3791" t="s">
        <v>1807</v>
      </c>
    </row>
    <row r="3792" spans="1:4" x14ac:dyDescent="0.2">
      <c r="A3792" t="s">
        <v>5575</v>
      </c>
      <c r="B3792" s="2">
        <v>42942</v>
      </c>
      <c r="C3792" t="s">
        <v>2679</v>
      </c>
      <c r="D3792" t="s">
        <v>1807</v>
      </c>
    </row>
    <row r="3793" spans="1:4" x14ac:dyDescent="0.2">
      <c r="A3793" t="s">
        <v>5576</v>
      </c>
      <c r="B3793" s="2">
        <v>43214</v>
      </c>
      <c r="C3793" t="s">
        <v>1836</v>
      </c>
      <c r="D3793" t="s">
        <v>1031</v>
      </c>
    </row>
    <row r="3794" spans="1:4" x14ac:dyDescent="0.2">
      <c r="A3794" t="s">
        <v>5577</v>
      </c>
      <c r="B3794" s="2">
        <v>43061</v>
      </c>
      <c r="C3794" t="s">
        <v>1889</v>
      </c>
      <c r="D3794" t="s">
        <v>1810</v>
      </c>
    </row>
    <row r="3795" spans="1:4" x14ac:dyDescent="0.2">
      <c r="A3795" t="s">
        <v>5578</v>
      </c>
      <c r="B3795" s="2">
        <v>43122</v>
      </c>
      <c r="C3795" t="s">
        <v>1930</v>
      </c>
      <c r="D3795" t="s">
        <v>1810</v>
      </c>
    </row>
    <row r="3796" spans="1:4" x14ac:dyDescent="0.2">
      <c r="A3796" t="s">
        <v>5579</v>
      </c>
      <c r="B3796" s="2">
        <v>43099</v>
      </c>
      <c r="C3796" t="s">
        <v>4439</v>
      </c>
      <c r="D3796" t="s">
        <v>1829</v>
      </c>
    </row>
    <row r="3797" spans="1:4" x14ac:dyDescent="0.2">
      <c r="A3797" t="s">
        <v>5580</v>
      </c>
      <c r="B3797" s="2">
        <v>43214</v>
      </c>
      <c r="C3797" t="s">
        <v>1836</v>
      </c>
      <c r="D3797" t="s">
        <v>1031</v>
      </c>
    </row>
    <row r="3798" spans="1:4" x14ac:dyDescent="0.2">
      <c r="A3798" t="s">
        <v>5581</v>
      </c>
      <c r="B3798" s="2">
        <v>43234</v>
      </c>
      <c r="C3798" t="s">
        <v>1814</v>
      </c>
      <c r="D3798" t="s">
        <v>1829</v>
      </c>
    </row>
    <row r="3799" spans="1:4" x14ac:dyDescent="0.2">
      <c r="A3799" t="s">
        <v>5582</v>
      </c>
      <c r="B3799" s="2">
        <v>43014</v>
      </c>
      <c r="C3799" t="s">
        <v>1900</v>
      </c>
      <c r="D3799" t="s">
        <v>1810</v>
      </c>
    </row>
    <row r="3800" spans="1:4" x14ac:dyDescent="0.2">
      <c r="A3800" t="s">
        <v>855</v>
      </c>
      <c r="B3800" s="2">
        <v>43146</v>
      </c>
      <c r="C3800" t="s">
        <v>1806</v>
      </c>
      <c r="D3800" t="s">
        <v>1807</v>
      </c>
    </row>
    <row r="3801" spans="1:4" x14ac:dyDescent="0.2">
      <c r="A3801" t="s">
        <v>5583</v>
      </c>
      <c r="B3801" s="2">
        <v>43172</v>
      </c>
      <c r="C3801" t="s">
        <v>1825</v>
      </c>
      <c r="D3801" t="s">
        <v>1810</v>
      </c>
    </row>
    <row r="3802" spans="1:4" x14ac:dyDescent="0.2">
      <c r="A3802" t="s">
        <v>5584</v>
      </c>
      <c r="B3802" s="2">
        <v>43091</v>
      </c>
      <c r="C3802" t="s">
        <v>2074</v>
      </c>
      <c r="D3802" t="s">
        <v>1810</v>
      </c>
    </row>
    <row r="3803" spans="1:4" x14ac:dyDescent="0.2">
      <c r="A3803" t="s">
        <v>5585</v>
      </c>
      <c r="B3803" s="2">
        <v>43208</v>
      </c>
      <c r="C3803" t="s">
        <v>1836</v>
      </c>
      <c r="D3803" t="s">
        <v>1031</v>
      </c>
    </row>
    <row r="3804" spans="1:4" x14ac:dyDescent="0.2">
      <c r="A3804" t="s">
        <v>5586</v>
      </c>
      <c r="B3804" s="2">
        <v>43235</v>
      </c>
      <c r="C3804" t="s">
        <v>1816</v>
      </c>
      <c r="D3804" t="s">
        <v>1810</v>
      </c>
    </row>
    <row r="3805" spans="1:4" x14ac:dyDescent="0.2">
      <c r="A3805" t="s">
        <v>5587</v>
      </c>
      <c r="B3805" s="2">
        <v>43145</v>
      </c>
      <c r="C3805" t="s">
        <v>1836</v>
      </c>
      <c r="D3805" t="s">
        <v>1807</v>
      </c>
    </row>
    <row r="3806" spans="1:4" x14ac:dyDescent="0.2">
      <c r="A3806" t="s">
        <v>5588</v>
      </c>
      <c r="B3806" s="2">
        <v>42993</v>
      </c>
      <c r="C3806" t="s">
        <v>1865</v>
      </c>
      <c r="D3806" t="s">
        <v>1807</v>
      </c>
    </row>
    <row r="3807" spans="1:4" x14ac:dyDescent="0.2">
      <c r="A3807" t="s">
        <v>5589</v>
      </c>
      <c r="B3807" s="2">
        <v>43224</v>
      </c>
      <c r="C3807" t="s">
        <v>1905</v>
      </c>
      <c r="D3807" t="s">
        <v>1840</v>
      </c>
    </row>
    <row r="3808" spans="1:4" x14ac:dyDescent="0.2">
      <c r="A3808" t="s">
        <v>5590</v>
      </c>
      <c r="B3808" s="2">
        <v>43055</v>
      </c>
      <c r="C3808" t="s">
        <v>1889</v>
      </c>
      <c r="D3808" t="s">
        <v>1810</v>
      </c>
    </row>
    <row r="3809" spans="1:4" x14ac:dyDescent="0.2">
      <c r="A3809" t="s">
        <v>5591</v>
      </c>
      <c r="B3809" s="2">
        <v>43049</v>
      </c>
      <c r="C3809" t="s">
        <v>1939</v>
      </c>
      <c r="D3809" t="s">
        <v>1810</v>
      </c>
    </row>
    <row r="3810" spans="1:4" x14ac:dyDescent="0.2">
      <c r="A3810" t="s">
        <v>5592</v>
      </c>
      <c r="B3810" s="2">
        <v>42948</v>
      </c>
      <c r="C3810" t="s">
        <v>1843</v>
      </c>
      <c r="D3810" t="s">
        <v>1807</v>
      </c>
    </row>
    <row r="3811" spans="1:4" x14ac:dyDescent="0.2">
      <c r="A3811" t="s">
        <v>857</v>
      </c>
      <c r="B3811" s="2">
        <v>43251</v>
      </c>
      <c r="C3811" t="s">
        <v>1816</v>
      </c>
      <c r="D3811" t="s">
        <v>1829</v>
      </c>
    </row>
    <row r="3812" spans="1:4" x14ac:dyDescent="0.2">
      <c r="A3812" t="s">
        <v>5593</v>
      </c>
      <c r="B3812" s="2">
        <v>43194</v>
      </c>
      <c r="C3812" t="s">
        <v>1816</v>
      </c>
      <c r="D3812" t="s">
        <v>1910</v>
      </c>
    </row>
    <row r="3813" spans="1:4" x14ac:dyDescent="0.2">
      <c r="A3813" t="s">
        <v>5594</v>
      </c>
      <c r="B3813" s="2">
        <v>43116</v>
      </c>
      <c r="C3813" t="s">
        <v>1930</v>
      </c>
      <c r="D3813" t="s">
        <v>1807</v>
      </c>
    </row>
    <row r="3814" spans="1:4" x14ac:dyDescent="0.2">
      <c r="A3814" t="s">
        <v>5595</v>
      </c>
      <c r="B3814" s="2">
        <v>43014</v>
      </c>
      <c r="C3814" t="s">
        <v>1900</v>
      </c>
      <c r="D3814" t="s">
        <v>1813</v>
      </c>
    </row>
    <row r="3815" spans="1:4" x14ac:dyDescent="0.2">
      <c r="A3815" t="s">
        <v>5596</v>
      </c>
      <c r="B3815" s="2">
        <v>43124</v>
      </c>
      <c r="C3815" t="s">
        <v>1854</v>
      </c>
      <c r="D3815" t="s">
        <v>1031</v>
      </c>
    </row>
    <row r="3816" spans="1:4" x14ac:dyDescent="0.2">
      <c r="A3816" t="s">
        <v>5597</v>
      </c>
      <c r="B3816" s="2">
        <v>43232</v>
      </c>
      <c r="C3816" t="s">
        <v>1809</v>
      </c>
      <c r="D3816" t="s">
        <v>1810</v>
      </c>
    </row>
    <row r="3817" spans="1:4" x14ac:dyDescent="0.2">
      <c r="A3817" t="s">
        <v>5598</v>
      </c>
      <c r="B3817" s="2">
        <v>43161</v>
      </c>
      <c r="C3817" t="s">
        <v>1816</v>
      </c>
      <c r="D3817" t="s">
        <v>1810</v>
      </c>
    </row>
    <row r="3818" spans="1:4" x14ac:dyDescent="0.2">
      <c r="A3818" t="s">
        <v>5599</v>
      </c>
      <c r="B3818" s="2">
        <v>43192</v>
      </c>
      <c r="C3818" t="s">
        <v>2216</v>
      </c>
      <c r="D3818" t="s">
        <v>1910</v>
      </c>
    </row>
    <row r="3819" spans="1:4" x14ac:dyDescent="0.2">
      <c r="A3819" t="s">
        <v>5600</v>
      </c>
      <c r="B3819" s="2">
        <v>43025</v>
      </c>
      <c r="C3819" t="s">
        <v>1859</v>
      </c>
      <c r="D3819" t="s">
        <v>1810</v>
      </c>
    </row>
    <row r="3820" spans="1:4" x14ac:dyDescent="0.2">
      <c r="A3820" t="s">
        <v>5601</v>
      </c>
      <c r="B3820" s="2">
        <v>42979</v>
      </c>
      <c r="C3820" t="s">
        <v>2101</v>
      </c>
      <c r="D3820" t="s">
        <v>1813</v>
      </c>
    </row>
    <row r="3821" spans="1:4" x14ac:dyDescent="0.2">
      <c r="A3821" t="s">
        <v>5602</v>
      </c>
      <c r="B3821" s="2">
        <v>43186</v>
      </c>
      <c r="C3821" t="s">
        <v>1863</v>
      </c>
      <c r="D3821" t="s">
        <v>1804</v>
      </c>
    </row>
    <row r="3822" spans="1:4" x14ac:dyDescent="0.2">
      <c r="A3822" t="s">
        <v>5603</v>
      </c>
      <c r="B3822" s="2">
        <v>43108</v>
      </c>
      <c r="C3822" t="s">
        <v>1836</v>
      </c>
      <c r="D3822" t="s">
        <v>1031</v>
      </c>
    </row>
    <row r="3823" spans="1:4" x14ac:dyDescent="0.2">
      <c r="A3823" t="s">
        <v>859</v>
      </c>
      <c r="B3823" s="2">
        <v>43228</v>
      </c>
      <c r="C3823" t="s">
        <v>1905</v>
      </c>
      <c r="D3823" t="s">
        <v>1810</v>
      </c>
    </row>
    <row r="3824" spans="1:4" x14ac:dyDescent="0.2">
      <c r="A3824" t="s">
        <v>5604</v>
      </c>
      <c r="B3824" s="2">
        <v>43237</v>
      </c>
      <c r="C3824" t="s">
        <v>1863</v>
      </c>
      <c r="D3824" t="s">
        <v>1804</v>
      </c>
    </row>
    <row r="3825" spans="1:4" x14ac:dyDescent="0.2">
      <c r="A3825" t="s">
        <v>5605</v>
      </c>
      <c r="B3825" s="2">
        <v>43159</v>
      </c>
      <c r="C3825" t="s">
        <v>1816</v>
      </c>
      <c r="D3825" t="s">
        <v>1810</v>
      </c>
    </row>
    <row r="3826" spans="1:4" x14ac:dyDescent="0.2">
      <c r="A3826" t="s">
        <v>5606</v>
      </c>
      <c r="B3826" s="2">
        <v>43124</v>
      </c>
      <c r="C3826" t="s">
        <v>1905</v>
      </c>
      <c r="D3826" t="s">
        <v>1031</v>
      </c>
    </row>
    <row r="3827" spans="1:4" x14ac:dyDescent="0.2">
      <c r="A3827" t="s">
        <v>5607</v>
      </c>
      <c r="B3827" s="2">
        <v>43180</v>
      </c>
      <c r="C3827" t="s">
        <v>1867</v>
      </c>
      <c r="D3827" t="s">
        <v>1810</v>
      </c>
    </row>
    <row r="3828" spans="1:4" x14ac:dyDescent="0.2">
      <c r="A3828" t="s">
        <v>5608</v>
      </c>
      <c r="B3828" s="2">
        <v>43192</v>
      </c>
      <c r="C3828" t="s">
        <v>1937</v>
      </c>
      <c r="D3828" t="s">
        <v>1796</v>
      </c>
    </row>
    <row r="3829" spans="1:4" x14ac:dyDescent="0.2">
      <c r="A3829" t="s">
        <v>5609</v>
      </c>
      <c r="B3829" s="2">
        <v>43158</v>
      </c>
      <c r="C3829" t="s">
        <v>1836</v>
      </c>
      <c r="D3829" t="s">
        <v>1807</v>
      </c>
    </row>
    <row r="3830" spans="1:4" x14ac:dyDescent="0.2">
      <c r="A3830" t="s">
        <v>5610</v>
      </c>
      <c r="B3830" s="2">
        <v>43103</v>
      </c>
      <c r="C3830" t="s">
        <v>1889</v>
      </c>
      <c r="D3830" t="s">
        <v>1840</v>
      </c>
    </row>
    <row r="3831" spans="1:4" x14ac:dyDescent="0.2">
      <c r="A3831" t="s">
        <v>5611</v>
      </c>
      <c r="B3831" s="2">
        <v>43241</v>
      </c>
      <c r="C3831" t="s">
        <v>1816</v>
      </c>
      <c r="D3831" t="s">
        <v>1840</v>
      </c>
    </row>
    <row r="3832" spans="1:4" x14ac:dyDescent="0.2">
      <c r="A3832" t="s">
        <v>5612</v>
      </c>
      <c r="B3832" s="2">
        <v>43156</v>
      </c>
      <c r="C3832" t="s">
        <v>1803</v>
      </c>
      <c r="D3832" t="s">
        <v>1804</v>
      </c>
    </row>
    <row r="3833" spans="1:4" x14ac:dyDescent="0.2">
      <c r="A3833" t="s">
        <v>861</v>
      </c>
      <c r="B3833" s="2">
        <v>43172</v>
      </c>
      <c r="C3833" t="s">
        <v>1905</v>
      </c>
      <c r="D3833" t="s">
        <v>1840</v>
      </c>
    </row>
    <row r="3834" spans="1:4" x14ac:dyDescent="0.2">
      <c r="A3834" t="s">
        <v>5613</v>
      </c>
      <c r="B3834" s="2">
        <v>43229</v>
      </c>
      <c r="C3834" t="s">
        <v>3078</v>
      </c>
      <c r="D3834" t="s">
        <v>1804</v>
      </c>
    </row>
    <row r="3835" spans="1:4" x14ac:dyDescent="0.2">
      <c r="A3835" t="s">
        <v>863</v>
      </c>
      <c r="B3835" s="2">
        <v>43210</v>
      </c>
      <c r="C3835" t="s">
        <v>2901</v>
      </c>
      <c r="D3835" t="s">
        <v>1810</v>
      </c>
    </row>
    <row r="3836" spans="1:4" x14ac:dyDescent="0.2">
      <c r="A3836" t="s">
        <v>865</v>
      </c>
      <c r="B3836" s="2">
        <v>43198</v>
      </c>
      <c r="C3836" t="s">
        <v>1816</v>
      </c>
      <c r="D3836" t="s">
        <v>1810</v>
      </c>
    </row>
    <row r="3837" spans="1:4" x14ac:dyDescent="0.2">
      <c r="A3837" t="s">
        <v>5614</v>
      </c>
      <c r="B3837" s="2">
        <v>43242</v>
      </c>
      <c r="C3837" t="s">
        <v>1816</v>
      </c>
      <c r="D3837" t="s">
        <v>1829</v>
      </c>
    </row>
    <row r="3838" spans="1:4" x14ac:dyDescent="0.2">
      <c r="A3838" t="s">
        <v>5615</v>
      </c>
      <c r="B3838" s="2">
        <v>43227</v>
      </c>
      <c r="C3838" t="s">
        <v>1867</v>
      </c>
      <c r="D3838" t="s">
        <v>1804</v>
      </c>
    </row>
    <row r="3839" spans="1:4" x14ac:dyDescent="0.2">
      <c r="A3839" t="s">
        <v>5616</v>
      </c>
      <c r="B3839" s="2">
        <v>43120</v>
      </c>
      <c r="C3839" t="s">
        <v>1803</v>
      </c>
      <c r="D3839" t="s">
        <v>1804</v>
      </c>
    </row>
    <row r="3840" spans="1:4" x14ac:dyDescent="0.2">
      <c r="A3840" t="s">
        <v>5617</v>
      </c>
      <c r="B3840" s="2">
        <v>43229</v>
      </c>
      <c r="C3840" t="s">
        <v>2831</v>
      </c>
      <c r="D3840" t="s">
        <v>1807</v>
      </c>
    </row>
    <row r="3841" spans="1:4" x14ac:dyDescent="0.2">
      <c r="A3841" t="s">
        <v>5618</v>
      </c>
      <c r="B3841" s="2">
        <v>43214</v>
      </c>
      <c r="C3841" t="s">
        <v>5619</v>
      </c>
      <c r="D3841" t="s">
        <v>1804</v>
      </c>
    </row>
    <row r="3842" spans="1:4" x14ac:dyDescent="0.2">
      <c r="A3842" t="s">
        <v>5620</v>
      </c>
      <c r="B3842" s="2">
        <v>43167</v>
      </c>
      <c r="C3842" t="s">
        <v>1836</v>
      </c>
      <c r="D3842" t="s">
        <v>1031</v>
      </c>
    </row>
    <row r="3843" spans="1:4" x14ac:dyDescent="0.2">
      <c r="A3843" t="s">
        <v>5621</v>
      </c>
      <c r="B3843" s="2">
        <v>43171</v>
      </c>
      <c r="C3843" t="s">
        <v>5622</v>
      </c>
      <c r="D3843" t="s">
        <v>1031</v>
      </c>
    </row>
    <row r="3844" spans="1:4" x14ac:dyDescent="0.2">
      <c r="A3844" t="s">
        <v>5623</v>
      </c>
      <c r="B3844" s="2">
        <v>43181</v>
      </c>
      <c r="C3844" t="s">
        <v>1863</v>
      </c>
      <c r="D3844" t="s">
        <v>1804</v>
      </c>
    </row>
    <row r="3845" spans="1:4" x14ac:dyDescent="0.2">
      <c r="A3845" t="s">
        <v>5624</v>
      </c>
      <c r="B3845" s="2">
        <v>43059</v>
      </c>
      <c r="C3845" t="s">
        <v>1907</v>
      </c>
      <c r="D3845" t="s">
        <v>1813</v>
      </c>
    </row>
    <row r="3846" spans="1:4" x14ac:dyDescent="0.2">
      <c r="A3846" t="s">
        <v>5625</v>
      </c>
      <c r="B3846" s="2">
        <v>43209</v>
      </c>
      <c r="C3846" t="s">
        <v>1827</v>
      </c>
      <c r="D3846" t="s">
        <v>1807</v>
      </c>
    </row>
    <row r="3847" spans="1:4" x14ac:dyDescent="0.2">
      <c r="A3847" t="s">
        <v>5626</v>
      </c>
      <c r="B3847" s="2">
        <v>43225</v>
      </c>
      <c r="C3847" t="s">
        <v>2402</v>
      </c>
      <c r="D3847" t="s">
        <v>1810</v>
      </c>
    </row>
    <row r="3848" spans="1:4" x14ac:dyDescent="0.2">
      <c r="A3848" t="s">
        <v>867</v>
      </c>
      <c r="B3848" s="2">
        <v>43144</v>
      </c>
      <c r="C3848" t="s">
        <v>1836</v>
      </c>
      <c r="D3848" t="s">
        <v>1031</v>
      </c>
    </row>
    <row r="3849" spans="1:4" x14ac:dyDescent="0.2">
      <c r="A3849" t="s">
        <v>5627</v>
      </c>
      <c r="B3849" s="2">
        <v>43045</v>
      </c>
      <c r="C3849" t="s">
        <v>1809</v>
      </c>
      <c r="D3849" t="s">
        <v>1810</v>
      </c>
    </row>
    <row r="3850" spans="1:4" x14ac:dyDescent="0.2">
      <c r="A3850" t="s">
        <v>5628</v>
      </c>
      <c r="B3850" s="2">
        <v>43232</v>
      </c>
      <c r="C3850" t="s">
        <v>1816</v>
      </c>
      <c r="D3850" t="s">
        <v>1810</v>
      </c>
    </row>
    <row r="3851" spans="1:4" x14ac:dyDescent="0.2">
      <c r="A3851" t="s">
        <v>5629</v>
      </c>
      <c r="B3851" s="2">
        <v>43047</v>
      </c>
      <c r="C3851" t="s">
        <v>1939</v>
      </c>
      <c r="D3851" t="s">
        <v>1807</v>
      </c>
    </row>
    <row r="3852" spans="1:4" x14ac:dyDescent="0.2">
      <c r="A3852" t="s">
        <v>5630</v>
      </c>
      <c r="B3852" s="2">
        <v>43172</v>
      </c>
      <c r="C3852" t="s">
        <v>1865</v>
      </c>
      <c r="D3852" t="s">
        <v>1807</v>
      </c>
    </row>
    <row r="3853" spans="1:4" x14ac:dyDescent="0.2">
      <c r="A3853" t="s">
        <v>5631</v>
      </c>
      <c r="B3853" s="2">
        <v>43237</v>
      </c>
      <c r="C3853" t="s">
        <v>1818</v>
      </c>
      <c r="D3853" t="s">
        <v>1813</v>
      </c>
    </row>
    <row r="3854" spans="1:4" x14ac:dyDescent="0.2">
      <c r="A3854" t="s">
        <v>5632</v>
      </c>
      <c r="B3854" s="2">
        <v>43222</v>
      </c>
      <c r="C3854" t="s">
        <v>1836</v>
      </c>
      <c r="D3854" t="s">
        <v>1031</v>
      </c>
    </row>
    <row r="3855" spans="1:4" x14ac:dyDescent="0.2">
      <c r="A3855" t="s">
        <v>5633</v>
      </c>
      <c r="B3855" s="2">
        <v>43192</v>
      </c>
      <c r="C3855" t="s">
        <v>3090</v>
      </c>
      <c r="D3855" t="s">
        <v>1813</v>
      </c>
    </row>
    <row r="3856" spans="1:4" x14ac:dyDescent="0.2">
      <c r="A3856" t="s">
        <v>869</v>
      </c>
      <c r="B3856" s="2">
        <v>43130</v>
      </c>
      <c r="C3856" t="s">
        <v>1803</v>
      </c>
      <c r="D3856" t="s">
        <v>1810</v>
      </c>
    </row>
    <row r="3857" spans="1:4" x14ac:dyDescent="0.2">
      <c r="A3857" t="s">
        <v>871</v>
      </c>
      <c r="B3857" s="2">
        <v>43208</v>
      </c>
      <c r="C3857" t="s">
        <v>1816</v>
      </c>
      <c r="D3857" t="s">
        <v>1807</v>
      </c>
    </row>
    <row r="3858" spans="1:4" x14ac:dyDescent="0.2">
      <c r="A3858" t="s">
        <v>5634</v>
      </c>
      <c r="B3858" s="2">
        <v>43171</v>
      </c>
      <c r="C3858" t="s">
        <v>1803</v>
      </c>
      <c r="D3858" t="s">
        <v>1804</v>
      </c>
    </row>
    <row r="3859" spans="1:4" x14ac:dyDescent="0.2">
      <c r="A3859" t="s">
        <v>5635</v>
      </c>
      <c r="B3859" s="2">
        <v>43204</v>
      </c>
      <c r="C3859" t="s">
        <v>1863</v>
      </c>
      <c r="D3859" t="s">
        <v>1804</v>
      </c>
    </row>
    <row r="3860" spans="1:4" x14ac:dyDescent="0.2">
      <c r="A3860" t="s">
        <v>5636</v>
      </c>
      <c r="B3860" s="2">
        <v>43004</v>
      </c>
      <c r="C3860" t="s">
        <v>2242</v>
      </c>
      <c r="D3860" t="s">
        <v>1810</v>
      </c>
    </row>
    <row r="3861" spans="1:4" x14ac:dyDescent="0.2">
      <c r="A3861" t="s">
        <v>5637</v>
      </c>
      <c r="B3861" s="2">
        <v>43181</v>
      </c>
      <c r="C3861" t="s">
        <v>4328</v>
      </c>
      <c r="D3861" t="s">
        <v>1807</v>
      </c>
    </row>
    <row r="3862" spans="1:4" x14ac:dyDescent="0.2">
      <c r="A3862" t="s">
        <v>5638</v>
      </c>
      <c r="B3862" s="2">
        <v>42936</v>
      </c>
      <c r="C3862" t="s">
        <v>3419</v>
      </c>
      <c r="D3862" t="s">
        <v>1810</v>
      </c>
    </row>
    <row r="3863" spans="1:4" x14ac:dyDescent="0.2">
      <c r="A3863" t="s">
        <v>5639</v>
      </c>
      <c r="B3863" s="2">
        <v>43227</v>
      </c>
      <c r="C3863" t="s">
        <v>1836</v>
      </c>
      <c r="D3863" t="s">
        <v>1031</v>
      </c>
    </row>
    <row r="3864" spans="1:4" x14ac:dyDescent="0.2">
      <c r="A3864" t="s">
        <v>5640</v>
      </c>
      <c r="B3864" s="2">
        <v>43236</v>
      </c>
      <c r="C3864" t="s">
        <v>1836</v>
      </c>
      <c r="D3864" t="s">
        <v>1031</v>
      </c>
    </row>
    <row r="3865" spans="1:4" x14ac:dyDescent="0.2">
      <c r="A3865" t="s">
        <v>5641</v>
      </c>
      <c r="B3865" s="2">
        <v>43199</v>
      </c>
      <c r="C3865" t="s">
        <v>2382</v>
      </c>
      <c r="D3865" t="s">
        <v>1810</v>
      </c>
    </row>
    <row r="3866" spans="1:4" x14ac:dyDescent="0.2">
      <c r="A3866" t="s">
        <v>5642</v>
      </c>
      <c r="B3866" s="2">
        <v>42990</v>
      </c>
      <c r="C3866" t="s">
        <v>1836</v>
      </c>
      <c r="D3866" t="s">
        <v>1031</v>
      </c>
    </row>
    <row r="3867" spans="1:4" x14ac:dyDescent="0.2">
      <c r="A3867" t="s">
        <v>5643</v>
      </c>
      <c r="B3867" s="2">
        <v>43047</v>
      </c>
      <c r="C3867" t="s">
        <v>1885</v>
      </c>
      <c r="D3867" t="s">
        <v>1807</v>
      </c>
    </row>
    <row r="3868" spans="1:4" x14ac:dyDescent="0.2">
      <c r="A3868" t="s">
        <v>5644</v>
      </c>
      <c r="B3868" s="2">
        <v>43234</v>
      </c>
      <c r="C3868" t="s">
        <v>1836</v>
      </c>
      <c r="D3868" t="s">
        <v>1031</v>
      </c>
    </row>
    <row r="3869" spans="1:4" x14ac:dyDescent="0.2">
      <c r="A3869" t="s">
        <v>5645</v>
      </c>
      <c r="B3869" s="2">
        <v>43003</v>
      </c>
      <c r="C3869" t="s">
        <v>1836</v>
      </c>
      <c r="D3869" t="s">
        <v>1810</v>
      </c>
    </row>
    <row r="3870" spans="1:4" x14ac:dyDescent="0.2">
      <c r="A3870" t="s">
        <v>5646</v>
      </c>
      <c r="B3870" s="2">
        <v>43096</v>
      </c>
      <c r="C3870" t="s">
        <v>1939</v>
      </c>
      <c r="D3870" t="s">
        <v>1804</v>
      </c>
    </row>
    <row r="3871" spans="1:4" x14ac:dyDescent="0.2">
      <c r="A3871" t="s">
        <v>5647</v>
      </c>
      <c r="B3871" s="2">
        <v>43242</v>
      </c>
      <c r="C3871" t="s">
        <v>2283</v>
      </c>
      <c r="D3871" t="s">
        <v>1813</v>
      </c>
    </row>
    <row r="3872" spans="1:4" x14ac:dyDescent="0.2">
      <c r="A3872" t="s">
        <v>5648</v>
      </c>
      <c r="B3872" s="2">
        <v>43242</v>
      </c>
      <c r="C3872" t="s">
        <v>1816</v>
      </c>
      <c r="D3872" t="s">
        <v>1810</v>
      </c>
    </row>
    <row r="3873" spans="1:4" x14ac:dyDescent="0.2">
      <c r="A3873" t="s">
        <v>5649</v>
      </c>
      <c r="B3873" s="2">
        <v>43106</v>
      </c>
      <c r="C3873" t="s">
        <v>1867</v>
      </c>
      <c r="D3873" t="s">
        <v>1810</v>
      </c>
    </row>
    <row r="3874" spans="1:4" x14ac:dyDescent="0.2">
      <c r="A3874" t="s">
        <v>5650</v>
      </c>
      <c r="B3874" s="2">
        <v>43240</v>
      </c>
      <c r="C3874" t="s">
        <v>1816</v>
      </c>
      <c r="D3874" t="s">
        <v>1804</v>
      </c>
    </row>
    <row r="3875" spans="1:4" x14ac:dyDescent="0.2">
      <c r="A3875" t="s">
        <v>5651</v>
      </c>
      <c r="B3875" s="2">
        <v>43137</v>
      </c>
      <c r="C3875" t="s">
        <v>1803</v>
      </c>
      <c r="D3875" t="s">
        <v>1804</v>
      </c>
    </row>
    <row r="3876" spans="1:4" x14ac:dyDescent="0.2">
      <c r="A3876" t="s">
        <v>5652</v>
      </c>
      <c r="B3876" s="2">
        <v>43190</v>
      </c>
      <c r="C3876" t="s">
        <v>2035</v>
      </c>
      <c r="D3876" t="s">
        <v>1804</v>
      </c>
    </row>
    <row r="3877" spans="1:4" x14ac:dyDescent="0.2">
      <c r="A3877" t="s">
        <v>5653</v>
      </c>
      <c r="B3877" s="2">
        <v>43027</v>
      </c>
      <c r="C3877" t="s">
        <v>1939</v>
      </c>
      <c r="D3877" t="s">
        <v>1810</v>
      </c>
    </row>
    <row r="3878" spans="1:4" x14ac:dyDescent="0.2">
      <c r="A3878" t="s">
        <v>873</v>
      </c>
      <c r="B3878" s="2">
        <v>43180</v>
      </c>
      <c r="C3878" t="s">
        <v>1836</v>
      </c>
      <c r="D3878" t="s">
        <v>1031</v>
      </c>
    </row>
    <row r="3879" spans="1:4" x14ac:dyDescent="0.2">
      <c r="A3879" t="s">
        <v>5654</v>
      </c>
      <c r="B3879" s="2">
        <v>43221</v>
      </c>
      <c r="C3879" t="s">
        <v>5655</v>
      </c>
      <c r="D3879" t="s">
        <v>1810</v>
      </c>
    </row>
    <row r="3880" spans="1:4" x14ac:dyDescent="0.2">
      <c r="A3880" t="s">
        <v>5656</v>
      </c>
      <c r="B3880" s="2">
        <v>43131</v>
      </c>
      <c r="C3880" t="s">
        <v>2242</v>
      </c>
      <c r="D3880" t="s">
        <v>1810</v>
      </c>
    </row>
    <row r="3881" spans="1:4" x14ac:dyDescent="0.2">
      <c r="A3881" t="s">
        <v>5657</v>
      </c>
      <c r="B3881" s="2">
        <v>43173</v>
      </c>
      <c r="C3881" t="s">
        <v>2019</v>
      </c>
      <c r="D3881" t="s">
        <v>1807</v>
      </c>
    </row>
    <row r="3882" spans="1:4" x14ac:dyDescent="0.2">
      <c r="A3882" t="s">
        <v>5658</v>
      </c>
      <c r="B3882" s="2">
        <v>43166</v>
      </c>
      <c r="C3882" t="s">
        <v>1993</v>
      </c>
      <c r="D3882" t="s">
        <v>1813</v>
      </c>
    </row>
    <row r="3883" spans="1:4" x14ac:dyDescent="0.2">
      <c r="A3883" t="s">
        <v>875</v>
      </c>
      <c r="B3883" s="2">
        <v>43207</v>
      </c>
      <c r="C3883" t="s">
        <v>1816</v>
      </c>
      <c r="D3883" t="s">
        <v>1810</v>
      </c>
    </row>
    <row r="3884" spans="1:4" x14ac:dyDescent="0.2">
      <c r="A3884" t="s">
        <v>5659</v>
      </c>
      <c r="B3884" s="2">
        <v>43107</v>
      </c>
      <c r="C3884" t="s">
        <v>1825</v>
      </c>
      <c r="D3884" t="s">
        <v>1810</v>
      </c>
    </row>
    <row r="3885" spans="1:4" x14ac:dyDescent="0.2">
      <c r="A3885" t="s">
        <v>5660</v>
      </c>
      <c r="B3885" s="2">
        <v>43166</v>
      </c>
      <c r="C3885" t="s">
        <v>1993</v>
      </c>
      <c r="D3885" t="s">
        <v>1031</v>
      </c>
    </row>
    <row r="3886" spans="1:4" x14ac:dyDescent="0.2">
      <c r="A3886" t="s">
        <v>5661</v>
      </c>
      <c r="B3886" s="2">
        <v>43004</v>
      </c>
      <c r="C3886" t="s">
        <v>1894</v>
      </c>
      <c r="D3886" t="s">
        <v>1804</v>
      </c>
    </row>
    <row r="3887" spans="1:4" x14ac:dyDescent="0.2">
      <c r="A3887" t="s">
        <v>5662</v>
      </c>
      <c r="B3887" s="2">
        <v>43081</v>
      </c>
      <c r="C3887" t="s">
        <v>3457</v>
      </c>
      <c r="D3887" t="s">
        <v>1813</v>
      </c>
    </row>
    <row r="3888" spans="1:4" x14ac:dyDescent="0.2">
      <c r="A3888" t="s">
        <v>5663</v>
      </c>
      <c r="B3888" s="2">
        <v>43144</v>
      </c>
      <c r="C3888" t="s">
        <v>1803</v>
      </c>
      <c r="D3888" t="s">
        <v>1804</v>
      </c>
    </row>
    <row r="3889" spans="1:4" x14ac:dyDescent="0.2">
      <c r="A3889" t="s">
        <v>5664</v>
      </c>
      <c r="B3889" s="2">
        <v>43145</v>
      </c>
      <c r="C3889" t="s">
        <v>1987</v>
      </c>
      <c r="D3889" t="s">
        <v>1807</v>
      </c>
    </row>
    <row r="3890" spans="1:4" x14ac:dyDescent="0.2">
      <c r="A3890" t="s">
        <v>5665</v>
      </c>
      <c r="B3890" s="2">
        <v>43187</v>
      </c>
      <c r="C3890" t="s">
        <v>1806</v>
      </c>
      <c r="D3890" t="s">
        <v>1807</v>
      </c>
    </row>
    <row r="3891" spans="1:4" x14ac:dyDescent="0.2">
      <c r="A3891" t="s">
        <v>5666</v>
      </c>
      <c r="B3891" s="2">
        <v>43213</v>
      </c>
      <c r="C3891" t="s">
        <v>1863</v>
      </c>
      <c r="D3891" t="s">
        <v>1804</v>
      </c>
    </row>
    <row r="3892" spans="1:4" x14ac:dyDescent="0.2">
      <c r="A3892" t="s">
        <v>5667</v>
      </c>
      <c r="B3892" s="2">
        <v>43194</v>
      </c>
      <c r="C3892" t="s">
        <v>1863</v>
      </c>
      <c r="D3892" t="s">
        <v>1804</v>
      </c>
    </row>
    <row r="3893" spans="1:4" x14ac:dyDescent="0.2">
      <c r="A3893" t="s">
        <v>5668</v>
      </c>
      <c r="B3893" s="2">
        <v>43230</v>
      </c>
      <c r="C3893" t="s">
        <v>2182</v>
      </c>
      <c r="D3893" t="s">
        <v>1810</v>
      </c>
    </row>
    <row r="3894" spans="1:4" x14ac:dyDescent="0.2">
      <c r="A3894" t="s">
        <v>877</v>
      </c>
      <c r="B3894" s="2">
        <v>43145</v>
      </c>
      <c r="C3894" t="s">
        <v>1816</v>
      </c>
      <c r="D3894" t="s">
        <v>1807</v>
      </c>
    </row>
    <row r="3895" spans="1:4" x14ac:dyDescent="0.2">
      <c r="A3895" t="s">
        <v>5669</v>
      </c>
      <c r="B3895" s="2">
        <v>43215</v>
      </c>
      <c r="C3895" t="s">
        <v>1867</v>
      </c>
      <c r="D3895" t="s">
        <v>1807</v>
      </c>
    </row>
    <row r="3896" spans="1:4" x14ac:dyDescent="0.2">
      <c r="A3896" t="s">
        <v>5670</v>
      </c>
      <c r="B3896" s="2">
        <v>43104</v>
      </c>
      <c r="C3896" t="s">
        <v>1836</v>
      </c>
      <c r="D3896" t="s">
        <v>1031</v>
      </c>
    </row>
    <row r="3897" spans="1:4" x14ac:dyDescent="0.2">
      <c r="A3897" t="s">
        <v>5671</v>
      </c>
      <c r="B3897" s="2">
        <v>43102</v>
      </c>
      <c r="C3897" t="s">
        <v>1809</v>
      </c>
      <c r="D3897" t="s">
        <v>1810</v>
      </c>
    </row>
    <row r="3898" spans="1:4" x14ac:dyDescent="0.2">
      <c r="A3898" t="s">
        <v>5672</v>
      </c>
      <c r="B3898" s="2">
        <v>43172</v>
      </c>
      <c r="C3898" t="s">
        <v>2108</v>
      </c>
      <c r="D3898" t="s">
        <v>1813</v>
      </c>
    </row>
    <row r="3899" spans="1:4" x14ac:dyDescent="0.2">
      <c r="A3899" t="s">
        <v>5673</v>
      </c>
      <c r="B3899" s="2">
        <v>43197</v>
      </c>
      <c r="C3899" t="s">
        <v>1838</v>
      </c>
      <c r="D3899" t="s">
        <v>1810</v>
      </c>
    </row>
    <row r="3900" spans="1:4" x14ac:dyDescent="0.2">
      <c r="A3900" t="s">
        <v>5674</v>
      </c>
      <c r="B3900" s="2">
        <v>43208</v>
      </c>
      <c r="C3900" t="s">
        <v>1863</v>
      </c>
      <c r="D3900" t="s">
        <v>1804</v>
      </c>
    </row>
    <row r="3901" spans="1:4" x14ac:dyDescent="0.2">
      <c r="A3901" t="s">
        <v>879</v>
      </c>
      <c r="B3901" s="2">
        <v>43210</v>
      </c>
      <c r="C3901" t="s">
        <v>1836</v>
      </c>
      <c r="D3901" t="s">
        <v>1829</v>
      </c>
    </row>
    <row r="3902" spans="1:4" x14ac:dyDescent="0.2">
      <c r="A3902" t="s">
        <v>5675</v>
      </c>
      <c r="B3902" s="2">
        <v>43227</v>
      </c>
      <c r="C3902" t="s">
        <v>1836</v>
      </c>
      <c r="D3902" t="s">
        <v>1031</v>
      </c>
    </row>
    <row r="3903" spans="1:4" x14ac:dyDescent="0.2">
      <c r="A3903" t="s">
        <v>5676</v>
      </c>
      <c r="B3903" s="2">
        <v>43160</v>
      </c>
      <c r="C3903" t="s">
        <v>2056</v>
      </c>
      <c r="D3903" t="s">
        <v>1840</v>
      </c>
    </row>
    <row r="3904" spans="1:4" x14ac:dyDescent="0.2">
      <c r="A3904" t="s">
        <v>5677</v>
      </c>
      <c r="B3904" s="2">
        <v>43144</v>
      </c>
      <c r="C3904" t="s">
        <v>1816</v>
      </c>
      <c r="D3904" t="s">
        <v>1807</v>
      </c>
    </row>
    <row r="3905" spans="1:4" x14ac:dyDescent="0.2">
      <c r="A3905" t="s">
        <v>5678</v>
      </c>
      <c r="B3905" s="2">
        <v>43210</v>
      </c>
      <c r="C3905" t="s">
        <v>5679</v>
      </c>
      <c r="D3905" t="s">
        <v>1804</v>
      </c>
    </row>
    <row r="3906" spans="1:4" x14ac:dyDescent="0.2">
      <c r="A3906" t="s">
        <v>5680</v>
      </c>
      <c r="B3906" s="2">
        <v>43202</v>
      </c>
      <c r="C3906" t="s">
        <v>1863</v>
      </c>
      <c r="D3906" t="s">
        <v>1804</v>
      </c>
    </row>
    <row r="3907" spans="1:4" x14ac:dyDescent="0.2">
      <c r="A3907" t="s">
        <v>5681</v>
      </c>
      <c r="B3907" s="2">
        <v>43146</v>
      </c>
      <c r="C3907" t="s">
        <v>4092</v>
      </c>
      <c r="D3907" t="s">
        <v>1810</v>
      </c>
    </row>
    <row r="3908" spans="1:4" x14ac:dyDescent="0.2">
      <c r="A3908" t="s">
        <v>5682</v>
      </c>
      <c r="B3908" s="2">
        <v>43111</v>
      </c>
      <c r="C3908" t="s">
        <v>1930</v>
      </c>
      <c r="D3908" t="s">
        <v>1810</v>
      </c>
    </row>
    <row r="3909" spans="1:4" x14ac:dyDescent="0.2">
      <c r="A3909" t="s">
        <v>5683</v>
      </c>
      <c r="B3909" s="2">
        <v>43191</v>
      </c>
      <c r="C3909" t="s">
        <v>1825</v>
      </c>
      <c r="D3909" t="s">
        <v>1804</v>
      </c>
    </row>
    <row r="3910" spans="1:4" x14ac:dyDescent="0.2">
      <c r="A3910" t="s">
        <v>5684</v>
      </c>
      <c r="B3910" s="2">
        <v>43216</v>
      </c>
      <c r="C3910" t="s">
        <v>1816</v>
      </c>
      <c r="D3910" t="s">
        <v>1804</v>
      </c>
    </row>
    <row r="3911" spans="1:4" x14ac:dyDescent="0.2">
      <c r="A3911" t="s">
        <v>5685</v>
      </c>
      <c r="B3911" s="2">
        <v>43105</v>
      </c>
      <c r="C3911" t="s">
        <v>1816</v>
      </c>
      <c r="D3911" t="s">
        <v>1810</v>
      </c>
    </row>
    <row r="3912" spans="1:4" x14ac:dyDescent="0.2">
      <c r="A3912" t="s">
        <v>881</v>
      </c>
      <c r="B3912" s="2">
        <v>43158</v>
      </c>
      <c r="C3912" t="s">
        <v>1816</v>
      </c>
      <c r="D3912" t="s">
        <v>1829</v>
      </c>
    </row>
    <row r="3913" spans="1:4" x14ac:dyDescent="0.2">
      <c r="A3913" t="s">
        <v>5686</v>
      </c>
      <c r="B3913" s="2">
        <v>43250</v>
      </c>
      <c r="C3913" t="s">
        <v>1832</v>
      </c>
      <c r="D3913" t="s">
        <v>1807</v>
      </c>
    </row>
    <row r="3914" spans="1:4" x14ac:dyDescent="0.2">
      <c r="A3914" t="s">
        <v>5687</v>
      </c>
      <c r="B3914" s="2">
        <v>43197</v>
      </c>
      <c r="C3914" t="s">
        <v>2254</v>
      </c>
      <c r="D3914" t="s">
        <v>1829</v>
      </c>
    </row>
    <row r="3915" spans="1:4" x14ac:dyDescent="0.2">
      <c r="A3915" t="s">
        <v>5688</v>
      </c>
      <c r="B3915" s="2">
        <v>43167</v>
      </c>
      <c r="C3915" t="s">
        <v>1905</v>
      </c>
      <c r="D3915" t="s">
        <v>1810</v>
      </c>
    </row>
    <row r="3916" spans="1:4" x14ac:dyDescent="0.2">
      <c r="A3916" t="s">
        <v>5689</v>
      </c>
      <c r="B3916" s="2">
        <v>43146</v>
      </c>
      <c r="C3916" t="s">
        <v>4092</v>
      </c>
      <c r="D3916" t="s">
        <v>1810</v>
      </c>
    </row>
    <row r="3917" spans="1:4" x14ac:dyDescent="0.2">
      <c r="A3917" t="s">
        <v>5690</v>
      </c>
      <c r="B3917" s="2">
        <v>43136</v>
      </c>
      <c r="C3917" t="s">
        <v>1905</v>
      </c>
      <c r="D3917" t="s">
        <v>1807</v>
      </c>
    </row>
    <row r="3918" spans="1:4" x14ac:dyDescent="0.2">
      <c r="A3918" t="s">
        <v>5691</v>
      </c>
      <c r="B3918" s="2">
        <v>43161</v>
      </c>
      <c r="C3918" t="s">
        <v>1885</v>
      </c>
      <c r="D3918" t="s">
        <v>1810</v>
      </c>
    </row>
    <row r="3919" spans="1:4" x14ac:dyDescent="0.2">
      <c r="A3919" t="s">
        <v>5692</v>
      </c>
      <c r="B3919" s="2">
        <v>43116</v>
      </c>
      <c r="C3919" t="s">
        <v>1867</v>
      </c>
      <c r="D3919" t="s">
        <v>1840</v>
      </c>
    </row>
    <row r="3920" spans="1:4" x14ac:dyDescent="0.2">
      <c r="A3920" t="s">
        <v>5693</v>
      </c>
      <c r="B3920" s="2">
        <v>43214</v>
      </c>
      <c r="C3920" t="s">
        <v>1863</v>
      </c>
      <c r="D3920" t="s">
        <v>1804</v>
      </c>
    </row>
    <row r="3921" spans="1:4" x14ac:dyDescent="0.2">
      <c r="A3921" t="s">
        <v>5694</v>
      </c>
      <c r="B3921" s="2">
        <v>43163</v>
      </c>
      <c r="C3921" t="s">
        <v>2819</v>
      </c>
      <c r="D3921" t="s">
        <v>1810</v>
      </c>
    </row>
    <row r="3922" spans="1:4" x14ac:dyDescent="0.2">
      <c r="A3922" t="s">
        <v>5695</v>
      </c>
      <c r="B3922" s="2">
        <v>43182</v>
      </c>
      <c r="C3922" t="s">
        <v>1863</v>
      </c>
      <c r="D3922" t="s">
        <v>1804</v>
      </c>
    </row>
    <row r="3923" spans="1:4" x14ac:dyDescent="0.2">
      <c r="A3923" t="s">
        <v>5696</v>
      </c>
      <c r="B3923" s="2">
        <v>43135</v>
      </c>
      <c r="C3923" t="s">
        <v>1825</v>
      </c>
      <c r="D3923" t="s">
        <v>1804</v>
      </c>
    </row>
    <row r="3924" spans="1:4" x14ac:dyDescent="0.2">
      <c r="A3924" t="s">
        <v>5697</v>
      </c>
      <c r="B3924" s="2">
        <v>43160</v>
      </c>
      <c r="C3924" t="s">
        <v>2056</v>
      </c>
      <c r="D3924" t="s">
        <v>1810</v>
      </c>
    </row>
    <row r="3925" spans="1:4" x14ac:dyDescent="0.2">
      <c r="A3925" t="s">
        <v>5698</v>
      </c>
      <c r="B3925" s="2">
        <v>43220</v>
      </c>
      <c r="C3925" t="s">
        <v>1836</v>
      </c>
      <c r="D3925" t="s">
        <v>1031</v>
      </c>
    </row>
    <row r="3926" spans="1:4" x14ac:dyDescent="0.2">
      <c r="A3926" t="s">
        <v>5699</v>
      </c>
      <c r="B3926" s="2">
        <v>43226</v>
      </c>
      <c r="C3926" t="s">
        <v>1863</v>
      </c>
      <c r="D3926" t="s">
        <v>1804</v>
      </c>
    </row>
    <row r="3927" spans="1:4" x14ac:dyDescent="0.2">
      <c r="A3927" t="s">
        <v>5700</v>
      </c>
      <c r="B3927" s="2">
        <v>42954</v>
      </c>
      <c r="C3927" t="s">
        <v>1816</v>
      </c>
      <c r="D3927" t="s">
        <v>1810</v>
      </c>
    </row>
    <row r="3928" spans="1:4" x14ac:dyDescent="0.2">
      <c r="A3928" t="s">
        <v>5701</v>
      </c>
      <c r="B3928" s="2">
        <v>43194</v>
      </c>
      <c r="C3928" t="s">
        <v>5702</v>
      </c>
      <c r="D3928" t="s">
        <v>1810</v>
      </c>
    </row>
    <row r="3929" spans="1:4" x14ac:dyDescent="0.2">
      <c r="A3929" t="s">
        <v>5703</v>
      </c>
      <c r="B3929" s="2">
        <v>43250</v>
      </c>
      <c r="C3929" t="s">
        <v>2910</v>
      </c>
      <c r="D3929" t="s">
        <v>1807</v>
      </c>
    </row>
    <row r="3930" spans="1:4" x14ac:dyDescent="0.2">
      <c r="A3930" t="s">
        <v>5704</v>
      </c>
      <c r="B3930" s="2">
        <v>43195</v>
      </c>
      <c r="C3930" t="s">
        <v>1816</v>
      </c>
      <c r="D3930" t="s">
        <v>1810</v>
      </c>
    </row>
    <row r="3931" spans="1:4" x14ac:dyDescent="0.2">
      <c r="A3931" t="s">
        <v>5705</v>
      </c>
      <c r="B3931" s="2">
        <v>43115</v>
      </c>
      <c r="C3931" t="s">
        <v>1880</v>
      </c>
      <c r="D3931" t="s">
        <v>1829</v>
      </c>
    </row>
    <row r="3932" spans="1:4" x14ac:dyDescent="0.2">
      <c r="A3932" t="s">
        <v>5706</v>
      </c>
      <c r="B3932" s="2">
        <v>43132</v>
      </c>
      <c r="C3932" t="s">
        <v>1816</v>
      </c>
      <c r="D3932" t="s">
        <v>1810</v>
      </c>
    </row>
    <row r="3933" spans="1:4" x14ac:dyDescent="0.2">
      <c r="A3933" t="s">
        <v>5707</v>
      </c>
      <c r="B3933" s="2">
        <v>43158</v>
      </c>
      <c r="C3933" t="s">
        <v>1885</v>
      </c>
      <c r="D3933" t="s">
        <v>1807</v>
      </c>
    </row>
    <row r="3934" spans="1:4" x14ac:dyDescent="0.2">
      <c r="A3934" t="s">
        <v>5708</v>
      </c>
      <c r="B3934" s="2">
        <v>43167</v>
      </c>
      <c r="C3934" t="s">
        <v>2187</v>
      </c>
      <c r="D3934" t="s">
        <v>1810</v>
      </c>
    </row>
    <row r="3935" spans="1:4" x14ac:dyDescent="0.2">
      <c r="A3935" t="s">
        <v>5709</v>
      </c>
      <c r="B3935" s="2">
        <v>42928</v>
      </c>
      <c r="C3935" t="s">
        <v>3501</v>
      </c>
      <c r="D3935" t="s">
        <v>1810</v>
      </c>
    </row>
    <row r="3936" spans="1:4" x14ac:dyDescent="0.2">
      <c r="A3936" t="s">
        <v>5710</v>
      </c>
      <c r="B3936" s="2">
        <v>43177</v>
      </c>
      <c r="C3936" t="s">
        <v>1816</v>
      </c>
      <c r="D3936" t="s">
        <v>1810</v>
      </c>
    </row>
    <row r="3937" spans="1:4" x14ac:dyDescent="0.2">
      <c r="A3937" t="s">
        <v>5711</v>
      </c>
      <c r="B3937" s="2">
        <v>43241</v>
      </c>
      <c r="C3937" t="s">
        <v>1928</v>
      </c>
      <c r="D3937" t="s">
        <v>1810</v>
      </c>
    </row>
    <row r="3938" spans="1:4" x14ac:dyDescent="0.2">
      <c r="A3938" t="s">
        <v>5712</v>
      </c>
      <c r="B3938" s="2">
        <v>43207</v>
      </c>
      <c r="C3938" t="s">
        <v>2342</v>
      </c>
      <c r="D3938" t="s">
        <v>1031</v>
      </c>
    </row>
    <row r="3939" spans="1:4" x14ac:dyDescent="0.2">
      <c r="A3939" t="s">
        <v>5713</v>
      </c>
      <c r="B3939" s="2">
        <v>43186</v>
      </c>
      <c r="C3939" t="s">
        <v>1836</v>
      </c>
      <c r="D3939" t="s">
        <v>1031</v>
      </c>
    </row>
    <row r="3940" spans="1:4" x14ac:dyDescent="0.2">
      <c r="A3940" t="s">
        <v>5714</v>
      </c>
      <c r="B3940" s="2">
        <v>43235</v>
      </c>
      <c r="C3940" t="s">
        <v>1998</v>
      </c>
      <c r="D3940" t="s">
        <v>1807</v>
      </c>
    </row>
    <row r="3941" spans="1:4" x14ac:dyDescent="0.2">
      <c r="A3941" t="s">
        <v>5715</v>
      </c>
      <c r="B3941" s="2">
        <v>43134</v>
      </c>
      <c r="C3941" t="s">
        <v>1907</v>
      </c>
      <c r="D3941" t="s">
        <v>1807</v>
      </c>
    </row>
    <row r="3942" spans="1:4" x14ac:dyDescent="0.2">
      <c r="A3942" t="s">
        <v>5716</v>
      </c>
      <c r="B3942" s="2">
        <v>43126</v>
      </c>
      <c r="C3942" t="s">
        <v>1816</v>
      </c>
      <c r="D3942" t="s">
        <v>1807</v>
      </c>
    </row>
    <row r="3943" spans="1:4" x14ac:dyDescent="0.2">
      <c r="A3943" t="s">
        <v>5717</v>
      </c>
      <c r="B3943" s="2">
        <v>42993</v>
      </c>
      <c r="C3943" t="s">
        <v>1836</v>
      </c>
      <c r="D3943" t="s">
        <v>1031</v>
      </c>
    </row>
    <row r="3944" spans="1:4" x14ac:dyDescent="0.2">
      <c r="A3944" t="s">
        <v>5718</v>
      </c>
      <c r="B3944" s="2">
        <v>43222</v>
      </c>
      <c r="C3944" t="s">
        <v>1809</v>
      </c>
      <c r="D3944" t="s">
        <v>1810</v>
      </c>
    </row>
    <row r="3945" spans="1:4" x14ac:dyDescent="0.2">
      <c r="A3945" t="s">
        <v>5719</v>
      </c>
      <c r="B3945" s="2">
        <v>43171</v>
      </c>
      <c r="C3945" t="s">
        <v>1905</v>
      </c>
      <c r="D3945" t="s">
        <v>1810</v>
      </c>
    </row>
    <row r="3946" spans="1:4" x14ac:dyDescent="0.2">
      <c r="A3946" t="s">
        <v>5720</v>
      </c>
      <c r="B3946" s="2">
        <v>43153</v>
      </c>
      <c r="C3946" t="s">
        <v>2291</v>
      </c>
      <c r="D3946" t="s">
        <v>1031</v>
      </c>
    </row>
    <row r="3947" spans="1:4" x14ac:dyDescent="0.2">
      <c r="A3947" t="s">
        <v>883</v>
      </c>
      <c r="B3947" s="2">
        <v>43224</v>
      </c>
      <c r="C3947" t="s">
        <v>1863</v>
      </c>
      <c r="D3947" t="s">
        <v>1804</v>
      </c>
    </row>
    <row r="3948" spans="1:4" x14ac:dyDescent="0.2">
      <c r="A3948" t="s">
        <v>5721</v>
      </c>
      <c r="B3948" s="2">
        <v>43146</v>
      </c>
      <c r="C3948" t="s">
        <v>1803</v>
      </c>
      <c r="D3948" t="s">
        <v>1804</v>
      </c>
    </row>
    <row r="3949" spans="1:4" x14ac:dyDescent="0.2">
      <c r="A3949" t="s">
        <v>5722</v>
      </c>
      <c r="B3949" s="2">
        <v>43185</v>
      </c>
      <c r="C3949" t="s">
        <v>1809</v>
      </c>
      <c r="D3949" t="s">
        <v>1810</v>
      </c>
    </row>
    <row r="3950" spans="1:4" x14ac:dyDescent="0.2">
      <c r="A3950" t="s">
        <v>5723</v>
      </c>
      <c r="B3950" s="2">
        <v>43152</v>
      </c>
      <c r="C3950" t="s">
        <v>1987</v>
      </c>
      <c r="D3950" t="s">
        <v>1807</v>
      </c>
    </row>
    <row r="3951" spans="1:4" x14ac:dyDescent="0.2">
      <c r="A3951" t="s">
        <v>5724</v>
      </c>
      <c r="B3951" s="2">
        <v>43146</v>
      </c>
      <c r="C3951" t="s">
        <v>4092</v>
      </c>
      <c r="D3951" t="s">
        <v>1807</v>
      </c>
    </row>
    <row r="3952" spans="1:4" x14ac:dyDescent="0.2">
      <c r="A3952" t="s">
        <v>5725</v>
      </c>
      <c r="B3952" s="2">
        <v>43193</v>
      </c>
      <c r="C3952" t="s">
        <v>1863</v>
      </c>
      <c r="D3952" t="s">
        <v>1804</v>
      </c>
    </row>
    <row r="3953" spans="1:4" x14ac:dyDescent="0.2">
      <c r="A3953" t="s">
        <v>5726</v>
      </c>
      <c r="B3953" s="2">
        <v>43013</v>
      </c>
      <c r="C3953" t="s">
        <v>5532</v>
      </c>
      <c r="D3953" t="s">
        <v>1810</v>
      </c>
    </row>
    <row r="3954" spans="1:4" x14ac:dyDescent="0.2">
      <c r="A3954" t="s">
        <v>5727</v>
      </c>
      <c r="B3954" s="2">
        <v>43229</v>
      </c>
      <c r="C3954" t="s">
        <v>1836</v>
      </c>
      <c r="D3954" t="s">
        <v>1807</v>
      </c>
    </row>
    <row r="3955" spans="1:4" x14ac:dyDescent="0.2">
      <c r="A3955" t="s">
        <v>5728</v>
      </c>
      <c r="B3955" s="2">
        <v>43015</v>
      </c>
      <c r="C3955" t="s">
        <v>1803</v>
      </c>
      <c r="D3955" t="s">
        <v>1804</v>
      </c>
    </row>
    <row r="3956" spans="1:4" x14ac:dyDescent="0.2">
      <c r="A3956" t="s">
        <v>5729</v>
      </c>
      <c r="B3956" s="2">
        <v>42982</v>
      </c>
      <c r="C3956" t="s">
        <v>1894</v>
      </c>
      <c r="D3956" t="s">
        <v>1804</v>
      </c>
    </row>
    <row r="3957" spans="1:4" x14ac:dyDescent="0.2">
      <c r="A3957" t="s">
        <v>5730</v>
      </c>
      <c r="B3957" s="2">
        <v>43117</v>
      </c>
      <c r="C3957" t="s">
        <v>1816</v>
      </c>
      <c r="D3957" t="s">
        <v>1807</v>
      </c>
    </row>
    <row r="3958" spans="1:4" x14ac:dyDescent="0.2">
      <c r="A3958" t="s">
        <v>5731</v>
      </c>
      <c r="B3958" s="2">
        <v>43035</v>
      </c>
      <c r="C3958" t="s">
        <v>1902</v>
      </c>
      <c r="D3958" t="s">
        <v>1813</v>
      </c>
    </row>
    <row r="3959" spans="1:4" x14ac:dyDescent="0.2">
      <c r="A3959" t="s">
        <v>5732</v>
      </c>
      <c r="B3959" s="2">
        <v>43166</v>
      </c>
      <c r="C3959" t="s">
        <v>1905</v>
      </c>
      <c r="D3959" t="s">
        <v>1804</v>
      </c>
    </row>
    <row r="3960" spans="1:4" x14ac:dyDescent="0.2">
      <c r="A3960" t="s">
        <v>5733</v>
      </c>
      <c r="B3960" s="2">
        <v>43112</v>
      </c>
      <c r="C3960" t="s">
        <v>1831</v>
      </c>
      <c r="D3960" t="s">
        <v>160</v>
      </c>
    </row>
    <row r="3961" spans="1:4" x14ac:dyDescent="0.2">
      <c r="A3961" t="s">
        <v>5734</v>
      </c>
      <c r="B3961" s="2">
        <v>43213</v>
      </c>
      <c r="C3961" t="s">
        <v>2158</v>
      </c>
      <c r="D3961" t="s">
        <v>1807</v>
      </c>
    </row>
    <row r="3962" spans="1:4" x14ac:dyDescent="0.2">
      <c r="A3962" t="s">
        <v>885</v>
      </c>
      <c r="B3962" s="2">
        <v>43165</v>
      </c>
      <c r="C3962" t="s">
        <v>1987</v>
      </c>
      <c r="D3962" t="s">
        <v>1807</v>
      </c>
    </row>
    <row r="3963" spans="1:4" x14ac:dyDescent="0.2">
      <c r="A3963" t="s">
        <v>5735</v>
      </c>
      <c r="B3963" s="2">
        <v>43192</v>
      </c>
      <c r="C3963" t="s">
        <v>1907</v>
      </c>
      <c r="D3963" t="s">
        <v>1810</v>
      </c>
    </row>
    <row r="3964" spans="1:4" x14ac:dyDescent="0.2">
      <c r="A3964" t="s">
        <v>5736</v>
      </c>
      <c r="B3964" s="2">
        <v>43205</v>
      </c>
      <c r="C3964" t="s">
        <v>2115</v>
      </c>
      <c r="D3964" t="s">
        <v>1804</v>
      </c>
    </row>
    <row r="3965" spans="1:4" x14ac:dyDescent="0.2">
      <c r="A3965" t="s">
        <v>5737</v>
      </c>
      <c r="B3965" s="2">
        <v>43230</v>
      </c>
      <c r="C3965" t="s">
        <v>1816</v>
      </c>
      <c r="D3965" t="s">
        <v>1840</v>
      </c>
    </row>
    <row r="3966" spans="1:4" x14ac:dyDescent="0.2">
      <c r="A3966" t="s">
        <v>5738</v>
      </c>
      <c r="B3966" s="2">
        <v>43234</v>
      </c>
      <c r="C3966" t="s">
        <v>1863</v>
      </c>
      <c r="D3966" t="s">
        <v>1804</v>
      </c>
    </row>
    <row r="3967" spans="1:4" x14ac:dyDescent="0.2">
      <c r="A3967" t="s">
        <v>5739</v>
      </c>
      <c r="B3967" s="2">
        <v>43153</v>
      </c>
      <c r="C3967" t="s">
        <v>1816</v>
      </c>
      <c r="D3967" t="s">
        <v>1810</v>
      </c>
    </row>
    <row r="3968" spans="1:4" x14ac:dyDescent="0.2">
      <c r="A3968" t="s">
        <v>887</v>
      </c>
      <c r="B3968" s="2">
        <v>43248</v>
      </c>
      <c r="C3968" t="s">
        <v>2242</v>
      </c>
      <c r="D3968" t="s">
        <v>1810</v>
      </c>
    </row>
    <row r="3969" spans="1:4" x14ac:dyDescent="0.2">
      <c r="A3969" t="s">
        <v>5740</v>
      </c>
      <c r="B3969" s="2">
        <v>43199</v>
      </c>
      <c r="C3969" t="s">
        <v>1863</v>
      </c>
      <c r="D3969" t="s">
        <v>1804</v>
      </c>
    </row>
    <row r="3970" spans="1:4" x14ac:dyDescent="0.2">
      <c r="A3970" t="s">
        <v>5741</v>
      </c>
      <c r="B3970" s="2">
        <v>43194</v>
      </c>
      <c r="C3970" t="s">
        <v>5742</v>
      </c>
      <c r="D3970" t="s">
        <v>1031</v>
      </c>
    </row>
    <row r="3971" spans="1:4" x14ac:dyDescent="0.2">
      <c r="A3971" t="s">
        <v>5743</v>
      </c>
      <c r="B3971" s="2">
        <v>43174</v>
      </c>
      <c r="C3971" t="s">
        <v>2242</v>
      </c>
      <c r="D3971" t="s">
        <v>1810</v>
      </c>
    </row>
    <row r="3972" spans="1:4" x14ac:dyDescent="0.2">
      <c r="A3972" t="s">
        <v>5744</v>
      </c>
      <c r="B3972" s="2">
        <v>43138</v>
      </c>
      <c r="C3972" t="s">
        <v>1836</v>
      </c>
      <c r="D3972" t="s">
        <v>1031</v>
      </c>
    </row>
    <row r="3973" spans="1:4" x14ac:dyDescent="0.2">
      <c r="A3973" t="s">
        <v>5745</v>
      </c>
      <c r="B3973" s="2">
        <v>43160</v>
      </c>
      <c r="C3973" t="s">
        <v>1816</v>
      </c>
      <c r="D3973" t="s">
        <v>1829</v>
      </c>
    </row>
    <row r="3974" spans="1:4" x14ac:dyDescent="0.2">
      <c r="A3974" t="s">
        <v>5746</v>
      </c>
      <c r="B3974" s="2">
        <v>43216</v>
      </c>
      <c r="C3974" t="s">
        <v>1836</v>
      </c>
      <c r="D3974" t="s">
        <v>1031</v>
      </c>
    </row>
    <row r="3975" spans="1:4" x14ac:dyDescent="0.2">
      <c r="A3975" t="s">
        <v>5747</v>
      </c>
      <c r="B3975" s="2">
        <v>43124</v>
      </c>
      <c r="C3975" t="s">
        <v>1930</v>
      </c>
      <c r="D3975" t="s">
        <v>1810</v>
      </c>
    </row>
    <row r="3976" spans="1:4" x14ac:dyDescent="0.2">
      <c r="A3976" t="s">
        <v>5748</v>
      </c>
      <c r="B3976" s="2">
        <v>43219</v>
      </c>
      <c r="C3976" t="s">
        <v>1863</v>
      </c>
      <c r="D3976" t="s">
        <v>1804</v>
      </c>
    </row>
    <row r="3977" spans="1:4" x14ac:dyDescent="0.2">
      <c r="A3977" t="s">
        <v>5749</v>
      </c>
      <c r="B3977" s="2">
        <v>43222</v>
      </c>
      <c r="C3977" t="s">
        <v>1827</v>
      </c>
      <c r="D3977" t="s">
        <v>1807</v>
      </c>
    </row>
    <row r="3978" spans="1:4" x14ac:dyDescent="0.2">
      <c r="A3978" t="s">
        <v>5750</v>
      </c>
      <c r="B3978" s="2">
        <v>43233</v>
      </c>
      <c r="C3978" t="s">
        <v>1827</v>
      </c>
      <c r="D3978" t="s">
        <v>1807</v>
      </c>
    </row>
    <row r="3979" spans="1:4" x14ac:dyDescent="0.2">
      <c r="A3979" t="s">
        <v>5751</v>
      </c>
      <c r="B3979" s="2">
        <v>43099</v>
      </c>
      <c r="C3979" t="s">
        <v>1803</v>
      </c>
      <c r="D3979" t="s">
        <v>1804</v>
      </c>
    </row>
    <row r="3980" spans="1:4" x14ac:dyDescent="0.2">
      <c r="A3980" t="s">
        <v>5752</v>
      </c>
      <c r="B3980" s="2">
        <v>43113</v>
      </c>
      <c r="C3980" t="s">
        <v>1959</v>
      </c>
      <c r="D3980" t="s">
        <v>1840</v>
      </c>
    </row>
    <row r="3981" spans="1:4" x14ac:dyDescent="0.2">
      <c r="A3981" t="s">
        <v>5753</v>
      </c>
      <c r="B3981" s="2">
        <v>43199</v>
      </c>
      <c r="C3981" t="s">
        <v>1863</v>
      </c>
      <c r="D3981" t="s">
        <v>1804</v>
      </c>
    </row>
    <row r="3982" spans="1:4" x14ac:dyDescent="0.2">
      <c r="A3982" t="s">
        <v>5754</v>
      </c>
      <c r="B3982" s="2">
        <v>43193</v>
      </c>
      <c r="C3982" t="s">
        <v>1867</v>
      </c>
      <c r="D3982" t="s">
        <v>1813</v>
      </c>
    </row>
    <row r="3983" spans="1:4" x14ac:dyDescent="0.2">
      <c r="A3983" t="s">
        <v>5755</v>
      </c>
      <c r="B3983" s="2">
        <v>43036</v>
      </c>
      <c r="C3983" t="s">
        <v>1803</v>
      </c>
      <c r="D3983" t="s">
        <v>1804</v>
      </c>
    </row>
    <row r="3984" spans="1:4" x14ac:dyDescent="0.2">
      <c r="A3984" t="s">
        <v>5756</v>
      </c>
      <c r="B3984" s="2">
        <v>43244</v>
      </c>
      <c r="C3984" t="s">
        <v>1863</v>
      </c>
      <c r="D3984" t="s">
        <v>1804</v>
      </c>
    </row>
    <row r="3985" spans="1:4" x14ac:dyDescent="0.2">
      <c r="A3985" t="s">
        <v>5757</v>
      </c>
      <c r="B3985" s="2">
        <v>43199</v>
      </c>
      <c r="C3985" t="s">
        <v>1905</v>
      </c>
      <c r="D3985" t="s">
        <v>1810</v>
      </c>
    </row>
    <row r="3986" spans="1:4" x14ac:dyDescent="0.2">
      <c r="A3986" t="s">
        <v>5758</v>
      </c>
      <c r="B3986" s="2">
        <v>42999</v>
      </c>
      <c r="C3986" t="s">
        <v>2206</v>
      </c>
      <c r="D3986" t="s">
        <v>160</v>
      </c>
    </row>
    <row r="3987" spans="1:4" x14ac:dyDescent="0.2">
      <c r="A3987" t="s">
        <v>889</v>
      </c>
      <c r="B3987" s="2">
        <v>43209</v>
      </c>
      <c r="C3987" t="s">
        <v>2620</v>
      </c>
      <c r="D3987" t="s">
        <v>1807</v>
      </c>
    </row>
    <row r="3988" spans="1:4" x14ac:dyDescent="0.2">
      <c r="A3988" t="s">
        <v>5759</v>
      </c>
      <c r="B3988" s="2">
        <v>42972</v>
      </c>
      <c r="C3988" t="s">
        <v>1806</v>
      </c>
      <c r="D3988" t="s">
        <v>1810</v>
      </c>
    </row>
    <row r="3989" spans="1:4" x14ac:dyDescent="0.2">
      <c r="A3989" t="s">
        <v>5760</v>
      </c>
      <c r="B3989" s="2">
        <v>43105</v>
      </c>
      <c r="C3989" t="s">
        <v>1816</v>
      </c>
      <c r="D3989" t="s">
        <v>1810</v>
      </c>
    </row>
    <row r="3990" spans="1:4" x14ac:dyDescent="0.2">
      <c r="A3990" t="s">
        <v>891</v>
      </c>
      <c r="B3990" s="2">
        <v>43201</v>
      </c>
      <c r="C3990" t="s">
        <v>2303</v>
      </c>
      <c r="D3990" t="s">
        <v>1840</v>
      </c>
    </row>
    <row r="3991" spans="1:4" x14ac:dyDescent="0.2">
      <c r="A3991" t="s">
        <v>5761</v>
      </c>
      <c r="B3991" s="2">
        <v>43218</v>
      </c>
      <c r="C3991" t="s">
        <v>1867</v>
      </c>
      <c r="D3991" t="s">
        <v>1804</v>
      </c>
    </row>
    <row r="3992" spans="1:4" x14ac:dyDescent="0.2">
      <c r="A3992" t="s">
        <v>5762</v>
      </c>
      <c r="B3992" s="2">
        <v>43053</v>
      </c>
      <c r="C3992" t="s">
        <v>3194</v>
      </c>
      <c r="D3992" t="s">
        <v>1031</v>
      </c>
    </row>
    <row r="3993" spans="1:4" x14ac:dyDescent="0.2">
      <c r="A3993" t="s">
        <v>893</v>
      </c>
      <c r="B3993" s="2">
        <v>43105</v>
      </c>
      <c r="C3993" t="s">
        <v>1836</v>
      </c>
      <c r="D3993" t="s">
        <v>1031</v>
      </c>
    </row>
    <row r="3994" spans="1:4" x14ac:dyDescent="0.2">
      <c r="A3994" t="s">
        <v>5763</v>
      </c>
      <c r="B3994" s="2">
        <v>43221</v>
      </c>
      <c r="C3994" t="s">
        <v>1827</v>
      </c>
      <c r="D3994" t="s">
        <v>1807</v>
      </c>
    </row>
    <row r="3995" spans="1:4" x14ac:dyDescent="0.2">
      <c r="A3995" t="s">
        <v>5764</v>
      </c>
      <c r="B3995" s="2">
        <v>43245</v>
      </c>
      <c r="C3995" t="s">
        <v>2831</v>
      </c>
      <c r="D3995" t="s">
        <v>1810</v>
      </c>
    </row>
    <row r="3996" spans="1:4" x14ac:dyDescent="0.2">
      <c r="A3996" t="s">
        <v>5765</v>
      </c>
      <c r="B3996" s="2">
        <v>43224</v>
      </c>
      <c r="C3996" t="s">
        <v>1816</v>
      </c>
      <c r="D3996" t="s">
        <v>1829</v>
      </c>
    </row>
    <row r="3997" spans="1:4" x14ac:dyDescent="0.2">
      <c r="A3997" t="s">
        <v>5766</v>
      </c>
      <c r="B3997" s="2">
        <v>43235</v>
      </c>
      <c r="C3997" t="s">
        <v>5767</v>
      </c>
      <c r="D3997" t="s">
        <v>1031</v>
      </c>
    </row>
    <row r="3998" spans="1:4" x14ac:dyDescent="0.2">
      <c r="A3998" t="s">
        <v>5768</v>
      </c>
      <c r="B3998" s="2">
        <v>43174</v>
      </c>
      <c r="C3998" t="s">
        <v>1816</v>
      </c>
      <c r="D3998" t="s">
        <v>1807</v>
      </c>
    </row>
    <row r="3999" spans="1:4" x14ac:dyDescent="0.2">
      <c r="A3999" t="s">
        <v>895</v>
      </c>
      <c r="B3999" s="2">
        <v>43120</v>
      </c>
      <c r="C3999" t="s">
        <v>5769</v>
      </c>
      <c r="D3999" t="s">
        <v>1840</v>
      </c>
    </row>
    <row r="4000" spans="1:4" x14ac:dyDescent="0.2">
      <c r="A4000" t="s">
        <v>5770</v>
      </c>
      <c r="B4000" s="2">
        <v>43160</v>
      </c>
      <c r="C4000" t="s">
        <v>1836</v>
      </c>
      <c r="D4000" t="s">
        <v>1810</v>
      </c>
    </row>
    <row r="4001" spans="1:4" x14ac:dyDescent="0.2">
      <c r="A4001" t="s">
        <v>5771</v>
      </c>
      <c r="B4001" s="2">
        <v>43227</v>
      </c>
      <c r="C4001" t="s">
        <v>1827</v>
      </c>
      <c r="D4001" t="s">
        <v>1031</v>
      </c>
    </row>
    <row r="4002" spans="1:4" x14ac:dyDescent="0.2">
      <c r="A4002" t="s">
        <v>5772</v>
      </c>
      <c r="B4002" s="2">
        <v>43125</v>
      </c>
      <c r="C4002" t="s">
        <v>1905</v>
      </c>
      <c r="D4002" t="s">
        <v>1810</v>
      </c>
    </row>
    <row r="4003" spans="1:4" x14ac:dyDescent="0.2">
      <c r="A4003" t="s">
        <v>5773</v>
      </c>
      <c r="B4003" s="2">
        <v>43110</v>
      </c>
      <c r="C4003" t="s">
        <v>1915</v>
      </c>
      <c r="D4003" t="s">
        <v>1807</v>
      </c>
    </row>
    <row r="4004" spans="1:4" x14ac:dyDescent="0.2">
      <c r="A4004" t="s">
        <v>5774</v>
      </c>
      <c r="B4004" s="2">
        <v>43107</v>
      </c>
      <c r="C4004" t="s">
        <v>1803</v>
      </c>
      <c r="D4004" t="s">
        <v>1804</v>
      </c>
    </row>
    <row r="4005" spans="1:4" x14ac:dyDescent="0.2">
      <c r="A4005" t="s">
        <v>5775</v>
      </c>
      <c r="B4005" s="2">
        <v>43217</v>
      </c>
      <c r="C4005" t="s">
        <v>1867</v>
      </c>
      <c r="D4005" t="s">
        <v>1807</v>
      </c>
    </row>
    <row r="4006" spans="1:4" x14ac:dyDescent="0.2">
      <c r="A4006" t="s">
        <v>5776</v>
      </c>
      <c r="B4006" s="2">
        <v>43214</v>
      </c>
      <c r="C4006" t="s">
        <v>1863</v>
      </c>
      <c r="D4006" t="s">
        <v>1804</v>
      </c>
    </row>
    <row r="4007" spans="1:4" x14ac:dyDescent="0.2">
      <c r="A4007" t="s">
        <v>5777</v>
      </c>
      <c r="B4007" s="2">
        <v>43162</v>
      </c>
      <c r="C4007" t="s">
        <v>1816</v>
      </c>
      <c r="D4007" t="s">
        <v>1807</v>
      </c>
    </row>
    <row r="4008" spans="1:4" x14ac:dyDescent="0.2">
      <c r="A4008" t="s">
        <v>5778</v>
      </c>
      <c r="B4008" s="2">
        <v>43105</v>
      </c>
      <c r="C4008" t="s">
        <v>1825</v>
      </c>
      <c r="D4008" t="s">
        <v>1829</v>
      </c>
    </row>
    <row r="4009" spans="1:4" x14ac:dyDescent="0.2">
      <c r="A4009" t="s">
        <v>897</v>
      </c>
      <c r="B4009" s="2">
        <v>43234</v>
      </c>
      <c r="C4009" t="s">
        <v>5779</v>
      </c>
      <c r="D4009" t="s">
        <v>1796</v>
      </c>
    </row>
    <row r="4010" spans="1:4" x14ac:dyDescent="0.2">
      <c r="A4010" t="s">
        <v>5780</v>
      </c>
      <c r="B4010" s="2">
        <v>43123</v>
      </c>
      <c r="C4010" t="s">
        <v>5781</v>
      </c>
      <c r="D4010" t="s">
        <v>1810</v>
      </c>
    </row>
    <row r="4011" spans="1:4" x14ac:dyDescent="0.2">
      <c r="A4011" t="s">
        <v>5782</v>
      </c>
      <c r="B4011" s="2">
        <v>43173</v>
      </c>
      <c r="C4011" t="s">
        <v>1836</v>
      </c>
      <c r="D4011" t="s">
        <v>1031</v>
      </c>
    </row>
    <row r="4012" spans="1:4" x14ac:dyDescent="0.2">
      <c r="A4012" t="s">
        <v>5783</v>
      </c>
      <c r="B4012" s="2">
        <v>43164</v>
      </c>
      <c r="C4012" t="s">
        <v>1816</v>
      </c>
      <c r="D4012" t="s">
        <v>1810</v>
      </c>
    </row>
    <row r="4013" spans="1:4" x14ac:dyDescent="0.2">
      <c r="A4013" t="s">
        <v>5784</v>
      </c>
      <c r="B4013" s="2">
        <v>43216</v>
      </c>
      <c r="C4013" t="s">
        <v>1836</v>
      </c>
      <c r="D4013" t="s">
        <v>1810</v>
      </c>
    </row>
    <row r="4014" spans="1:4" x14ac:dyDescent="0.2">
      <c r="A4014" t="s">
        <v>5785</v>
      </c>
      <c r="B4014" s="2">
        <v>42963</v>
      </c>
      <c r="C4014" t="s">
        <v>1894</v>
      </c>
      <c r="D4014" t="s">
        <v>1804</v>
      </c>
    </row>
    <row r="4015" spans="1:4" x14ac:dyDescent="0.2">
      <c r="A4015" t="s">
        <v>5786</v>
      </c>
      <c r="B4015" s="2">
        <v>43062</v>
      </c>
      <c r="C4015" t="s">
        <v>1825</v>
      </c>
      <c r="D4015" t="s">
        <v>1031</v>
      </c>
    </row>
    <row r="4016" spans="1:4" x14ac:dyDescent="0.2">
      <c r="A4016" t="s">
        <v>5787</v>
      </c>
      <c r="B4016" s="2">
        <v>43216</v>
      </c>
      <c r="C4016" t="s">
        <v>1867</v>
      </c>
      <c r="D4016" t="s">
        <v>1813</v>
      </c>
    </row>
    <row r="4017" spans="1:4" x14ac:dyDescent="0.2">
      <c r="A4017" t="s">
        <v>5788</v>
      </c>
      <c r="B4017" s="2">
        <v>43179</v>
      </c>
      <c r="C4017" t="s">
        <v>1905</v>
      </c>
      <c r="D4017" t="s">
        <v>1810</v>
      </c>
    </row>
    <row r="4018" spans="1:4" x14ac:dyDescent="0.2">
      <c r="A4018" t="s">
        <v>899</v>
      </c>
      <c r="B4018" s="2">
        <v>43211</v>
      </c>
      <c r="C4018" t="s">
        <v>1905</v>
      </c>
      <c r="D4018" t="s">
        <v>1810</v>
      </c>
    </row>
    <row r="4019" spans="1:4" x14ac:dyDescent="0.2">
      <c r="A4019" t="s">
        <v>5789</v>
      </c>
      <c r="B4019" s="2">
        <v>43102</v>
      </c>
      <c r="C4019" t="s">
        <v>1902</v>
      </c>
      <c r="D4019" t="s">
        <v>1810</v>
      </c>
    </row>
    <row r="4020" spans="1:4" x14ac:dyDescent="0.2">
      <c r="A4020" t="s">
        <v>5790</v>
      </c>
      <c r="B4020" s="2">
        <v>43195</v>
      </c>
      <c r="C4020" t="s">
        <v>1832</v>
      </c>
      <c r="D4020" t="s">
        <v>1807</v>
      </c>
    </row>
    <row r="4021" spans="1:4" x14ac:dyDescent="0.2">
      <c r="A4021" t="s">
        <v>5791</v>
      </c>
      <c r="B4021" s="2">
        <v>42997</v>
      </c>
      <c r="C4021" t="s">
        <v>1907</v>
      </c>
      <c r="D4021" t="s">
        <v>1810</v>
      </c>
    </row>
    <row r="4022" spans="1:4" x14ac:dyDescent="0.2">
      <c r="A4022" t="s">
        <v>5792</v>
      </c>
      <c r="B4022" s="2">
        <v>43228</v>
      </c>
      <c r="C4022" t="s">
        <v>1825</v>
      </c>
      <c r="D4022" t="s">
        <v>1804</v>
      </c>
    </row>
    <row r="4023" spans="1:4" x14ac:dyDescent="0.2">
      <c r="A4023" t="s">
        <v>5793</v>
      </c>
      <c r="B4023" s="2">
        <v>43119</v>
      </c>
      <c r="C4023" t="s">
        <v>1803</v>
      </c>
      <c r="D4023" t="s">
        <v>1804</v>
      </c>
    </row>
    <row r="4024" spans="1:4" x14ac:dyDescent="0.2">
      <c r="A4024" t="s">
        <v>5794</v>
      </c>
      <c r="B4024" s="2">
        <v>43200</v>
      </c>
      <c r="C4024" t="s">
        <v>2146</v>
      </c>
      <c r="D4024" t="s">
        <v>1813</v>
      </c>
    </row>
    <row r="4025" spans="1:4" x14ac:dyDescent="0.2">
      <c r="A4025" t="s">
        <v>5795</v>
      </c>
      <c r="B4025" s="2">
        <v>43221</v>
      </c>
      <c r="C4025" t="s">
        <v>1863</v>
      </c>
      <c r="D4025" t="s">
        <v>1804</v>
      </c>
    </row>
    <row r="4026" spans="1:4" x14ac:dyDescent="0.2">
      <c r="A4026" t="s">
        <v>5796</v>
      </c>
      <c r="B4026" s="2">
        <v>43227</v>
      </c>
      <c r="C4026" t="s">
        <v>3390</v>
      </c>
      <c r="D4026" t="s">
        <v>1810</v>
      </c>
    </row>
    <row r="4027" spans="1:4" x14ac:dyDescent="0.2">
      <c r="A4027" t="s">
        <v>901</v>
      </c>
      <c r="B4027" s="2">
        <v>43168</v>
      </c>
      <c r="C4027" t="s">
        <v>1803</v>
      </c>
      <c r="D4027" t="s">
        <v>1804</v>
      </c>
    </row>
    <row r="4028" spans="1:4" x14ac:dyDescent="0.2">
      <c r="A4028" t="s">
        <v>5797</v>
      </c>
      <c r="B4028" s="2">
        <v>42961</v>
      </c>
      <c r="C4028" t="s">
        <v>2143</v>
      </c>
      <c r="D4028" t="s">
        <v>1810</v>
      </c>
    </row>
    <row r="4029" spans="1:4" x14ac:dyDescent="0.2">
      <c r="A4029" t="s">
        <v>5798</v>
      </c>
      <c r="B4029" s="2">
        <v>43147</v>
      </c>
      <c r="C4029" t="s">
        <v>1803</v>
      </c>
      <c r="D4029" t="s">
        <v>1804</v>
      </c>
    </row>
    <row r="4030" spans="1:4" x14ac:dyDescent="0.2">
      <c r="A4030" t="s">
        <v>5799</v>
      </c>
      <c r="B4030" s="2">
        <v>43139</v>
      </c>
      <c r="C4030" t="s">
        <v>1816</v>
      </c>
      <c r="D4030" t="s">
        <v>1807</v>
      </c>
    </row>
    <row r="4031" spans="1:4" x14ac:dyDescent="0.2">
      <c r="A4031" t="s">
        <v>5800</v>
      </c>
      <c r="B4031" s="2">
        <v>42964</v>
      </c>
      <c r="C4031" t="s">
        <v>2014</v>
      </c>
      <c r="D4031" t="s">
        <v>1840</v>
      </c>
    </row>
    <row r="4032" spans="1:4" x14ac:dyDescent="0.2">
      <c r="A4032" t="s">
        <v>5801</v>
      </c>
      <c r="B4032" s="2">
        <v>43062</v>
      </c>
      <c r="C4032" t="s">
        <v>1803</v>
      </c>
      <c r="D4032" t="s">
        <v>1804</v>
      </c>
    </row>
    <row r="4033" spans="1:4" x14ac:dyDescent="0.2">
      <c r="A4033" t="s">
        <v>5802</v>
      </c>
      <c r="B4033" s="2">
        <v>43167</v>
      </c>
      <c r="C4033" t="s">
        <v>1816</v>
      </c>
      <c r="D4033" t="s">
        <v>1840</v>
      </c>
    </row>
    <row r="4034" spans="1:4" x14ac:dyDescent="0.2">
      <c r="A4034" t="s">
        <v>5803</v>
      </c>
      <c r="B4034" s="2">
        <v>42995</v>
      </c>
      <c r="C4034" t="s">
        <v>1845</v>
      </c>
      <c r="D4034" t="s">
        <v>1829</v>
      </c>
    </row>
    <row r="4035" spans="1:4" x14ac:dyDescent="0.2">
      <c r="A4035" t="s">
        <v>5804</v>
      </c>
      <c r="B4035" s="2">
        <v>43220</v>
      </c>
      <c r="C4035" t="s">
        <v>2204</v>
      </c>
      <c r="D4035" t="s">
        <v>1807</v>
      </c>
    </row>
    <row r="4036" spans="1:4" x14ac:dyDescent="0.2">
      <c r="A4036" t="s">
        <v>5805</v>
      </c>
      <c r="B4036" s="2">
        <v>43243</v>
      </c>
      <c r="C4036" t="s">
        <v>1930</v>
      </c>
      <c r="D4036" t="s">
        <v>1807</v>
      </c>
    </row>
    <row r="4037" spans="1:4" x14ac:dyDescent="0.2">
      <c r="A4037" t="s">
        <v>5806</v>
      </c>
      <c r="B4037" s="2">
        <v>43123</v>
      </c>
      <c r="C4037" t="s">
        <v>2108</v>
      </c>
      <c r="D4037" t="s">
        <v>1813</v>
      </c>
    </row>
    <row r="4038" spans="1:4" x14ac:dyDescent="0.2">
      <c r="A4038" t="s">
        <v>903</v>
      </c>
      <c r="B4038" s="2">
        <v>43156</v>
      </c>
      <c r="C4038" t="s">
        <v>1816</v>
      </c>
      <c r="D4038" t="s">
        <v>1810</v>
      </c>
    </row>
    <row r="4039" spans="1:4" x14ac:dyDescent="0.2">
      <c r="A4039" t="s">
        <v>5807</v>
      </c>
      <c r="B4039" s="2">
        <v>43242</v>
      </c>
      <c r="C4039" t="s">
        <v>1928</v>
      </c>
      <c r="D4039" t="s">
        <v>1810</v>
      </c>
    </row>
    <row r="4040" spans="1:4" x14ac:dyDescent="0.2">
      <c r="A4040" t="s">
        <v>5808</v>
      </c>
      <c r="B4040" s="2">
        <v>43139</v>
      </c>
      <c r="C4040" t="s">
        <v>1816</v>
      </c>
      <c r="D4040" t="s">
        <v>1810</v>
      </c>
    </row>
    <row r="4041" spans="1:4" x14ac:dyDescent="0.2">
      <c r="A4041" t="s">
        <v>5809</v>
      </c>
      <c r="B4041" s="2">
        <v>42940</v>
      </c>
      <c r="C4041" t="s">
        <v>1836</v>
      </c>
      <c r="D4041" t="s">
        <v>1031</v>
      </c>
    </row>
    <row r="4042" spans="1:4" x14ac:dyDescent="0.2">
      <c r="A4042" t="s">
        <v>5810</v>
      </c>
      <c r="B4042" s="2">
        <v>43111</v>
      </c>
      <c r="C4042" t="s">
        <v>1905</v>
      </c>
      <c r="D4042" t="s">
        <v>1807</v>
      </c>
    </row>
    <row r="4043" spans="1:4" x14ac:dyDescent="0.2">
      <c r="A4043" t="s">
        <v>5811</v>
      </c>
      <c r="B4043" s="2">
        <v>43094</v>
      </c>
      <c r="C4043" t="s">
        <v>1816</v>
      </c>
      <c r="D4043" t="s">
        <v>1807</v>
      </c>
    </row>
    <row r="4044" spans="1:4" x14ac:dyDescent="0.2">
      <c r="A4044" t="s">
        <v>5812</v>
      </c>
      <c r="B4044" s="2">
        <v>43061</v>
      </c>
      <c r="C4044" t="s">
        <v>1825</v>
      </c>
      <c r="D4044" t="s">
        <v>1810</v>
      </c>
    </row>
    <row r="4045" spans="1:4" x14ac:dyDescent="0.2">
      <c r="A4045" t="s">
        <v>5813</v>
      </c>
      <c r="B4045" s="2">
        <v>43025</v>
      </c>
      <c r="C4045" t="s">
        <v>1816</v>
      </c>
      <c r="D4045" t="s">
        <v>1807</v>
      </c>
    </row>
    <row r="4046" spans="1:4" x14ac:dyDescent="0.2">
      <c r="A4046" t="s">
        <v>5814</v>
      </c>
      <c r="B4046" s="2">
        <v>43202</v>
      </c>
      <c r="C4046" t="s">
        <v>1863</v>
      </c>
      <c r="D4046" t="s">
        <v>1804</v>
      </c>
    </row>
    <row r="4047" spans="1:4" x14ac:dyDescent="0.2">
      <c r="A4047" t="s">
        <v>5815</v>
      </c>
      <c r="B4047" s="2">
        <v>43191</v>
      </c>
      <c r="C4047" t="s">
        <v>1816</v>
      </c>
      <c r="D4047" t="s">
        <v>1910</v>
      </c>
    </row>
    <row r="4048" spans="1:4" x14ac:dyDescent="0.2">
      <c r="A4048" t="s">
        <v>5816</v>
      </c>
      <c r="B4048" s="2">
        <v>42962</v>
      </c>
      <c r="C4048" t="s">
        <v>2143</v>
      </c>
      <c r="D4048" t="s">
        <v>1810</v>
      </c>
    </row>
    <row r="4049" spans="1:4" x14ac:dyDescent="0.2">
      <c r="A4049" t="s">
        <v>5817</v>
      </c>
      <c r="B4049" s="2">
        <v>43104</v>
      </c>
      <c r="C4049" t="s">
        <v>1836</v>
      </c>
      <c r="D4049" t="s">
        <v>1807</v>
      </c>
    </row>
    <row r="4050" spans="1:4" x14ac:dyDescent="0.2">
      <c r="A4050" t="s">
        <v>5818</v>
      </c>
      <c r="B4050" s="2">
        <v>43129</v>
      </c>
      <c r="C4050" t="s">
        <v>1905</v>
      </c>
      <c r="D4050" t="s">
        <v>1810</v>
      </c>
    </row>
    <row r="4051" spans="1:4" x14ac:dyDescent="0.2">
      <c r="A4051" t="s">
        <v>905</v>
      </c>
      <c r="B4051" s="2">
        <v>43183</v>
      </c>
      <c r="C4051" t="s">
        <v>1905</v>
      </c>
      <c r="D4051" t="s">
        <v>1810</v>
      </c>
    </row>
    <row r="4052" spans="1:4" x14ac:dyDescent="0.2">
      <c r="A4052" t="s">
        <v>5819</v>
      </c>
      <c r="B4052" s="2">
        <v>42990</v>
      </c>
      <c r="C4052" t="s">
        <v>1816</v>
      </c>
      <c r="D4052" t="s">
        <v>1810</v>
      </c>
    </row>
    <row r="4053" spans="1:4" x14ac:dyDescent="0.2">
      <c r="A4053" t="s">
        <v>5820</v>
      </c>
      <c r="B4053" s="2">
        <v>42928</v>
      </c>
      <c r="C4053" t="s">
        <v>1900</v>
      </c>
      <c r="D4053" t="s">
        <v>1813</v>
      </c>
    </row>
    <row r="4054" spans="1:4" x14ac:dyDescent="0.2">
      <c r="A4054" t="s">
        <v>5821</v>
      </c>
      <c r="B4054" s="2">
        <v>43181</v>
      </c>
      <c r="C4054" t="s">
        <v>1930</v>
      </c>
      <c r="D4054" t="s">
        <v>1807</v>
      </c>
    </row>
    <row r="4055" spans="1:4" x14ac:dyDescent="0.2">
      <c r="A4055" t="s">
        <v>5822</v>
      </c>
      <c r="B4055" s="2">
        <v>43249</v>
      </c>
      <c r="C4055" t="s">
        <v>1816</v>
      </c>
      <c r="D4055" t="s">
        <v>1810</v>
      </c>
    </row>
    <row r="4056" spans="1:4" x14ac:dyDescent="0.2">
      <c r="A4056" t="s">
        <v>5823</v>
      </c>
      <c r="B4056" s="2">
        <v>43115</v>
      </c>
      <c r="C4056" t="s">
        <v>1930</v>
      </c>
      <c r="D4056" t="s">
        <v>1807</v>
      </c>
    </row>
    <row r="4057" spans="1:4" x14ac:dyDescent="0.2">
      <c r="A4057" t="s">
        <v>5824</v>
      </c>
      <c r="B4057" s="2">
        <v>43024</v>
      </c>
      <c r="C4057" t="s">
        <v>5825</v>
      </c>
      <c r="D4057" t="s">
        <v>1804</v>
      </c>
    </row>
    <row r="4058" spans="1:4" x14ac:dyDescent="0.2">
      <c r="A4058" t="s">
        <v>5826</v>
      </c>
      <c r="B4058" s="2">
        <v>43034</v>
      </c>
      <c r="C4058" t="s">
        <v>1939</v>
      </c>
      <c r="D4058" t="s">
        <v>1810</v>
      </c>
    </row>
    <row r="4059" spans="1:4" x14ac:dyDescent="0.2">
      <c r="A4059" t="s">
        <v>5827</v>
      </c>
      <c r="B4059" s="2">
        <v>42969</v>
      </c>
      <c r="C4059" t="s">
        <v>1939</v>
      </c>
      <c r="D4059" t="s">
        <v>1031</v>
      </c>
    </row>
    <row r="4060" spans="1:4" x14ac:dyDescent="0.2">
      <c r="A4060" t="s">
        <v>907</v>
      </c>
      <c r="B4060" s="2">
        <v>43213</v>
      </c>
      <c r="C4060" t="s">
        <v>2242</v>
      </c>
      <c r="D4060" t="s">
        <v>1810</v>
      </c>
    </row>
    <row r="4061" spans="1:4" x14ac:dyDescent="0.2">
      <c r="A4061" t="s">
        <v>5828</v>
      </c>
      <c r="B4061" s="2">
        <v>43142</v>
      </c>
      <c r="C4061" t="s">
        <v>1921</v>
      </c>
      <c r="D4061" t="s">
        <v>1810</v>
      </c>
    </row>
    <row r="4062" spans="1:4" x14ac:dyDescent="0.2">
      <c r="A4062" t="s">
        <v>5829</v>
      </c>
      <c r="B4062" s="2">
        <v>42981</v>
      </c>
      <c r="C4062" t="s">
        <v>1894</v>
      </c>
      <c r="D4062" t="s">
        <v>1804</v>
      </c>
    </row>
    <row r="4063" spans="1:4" x14ac:dyDescent="0.2">
      <c r="A4063" t="s">
        <v>5830</v>
      </c>
      <c r="B4063" s="2">
        <v>43216</v>
      </c>
      <c r="C4063" t="s">
        <v>1836</v>
      </c>
      <c r="D4063" t="s">
        <v>1031</v>
      </c>
    </row>
    <row r="4064" spans="1:4" x14ac:dyDescent="0.2">
      <c r="A4064" t="s">
        <v>5831</v>
      </c>
      <c r="B4064" s="2">
        <v>42968</v>
      </c>
      <c r="C4064" t="s">
        <v>1816</v>
      </c>
      <c r="D4064" t="s">
        <v>1829</v>
      </c>
    </row>
    <row r="4065" spans="1:4" x14ac:dyDescent="0.2">
      <c r="A4065" t="s">
        <v>5832</v>
      </c>
      <c r="B4065" s="2">
        <v>43208</v>
      </c>
      <c r="C4065" t="s">
        <v>1809</v>
      </c>
      <c r="D4065" t="s">
        <v>1829</v>
      </c>
    </row>
    <row r="4066" spans="1:4" x14ac:dyDescent="0.2">
      <c r="A4066" t="s">
        <v>5833</v>
      </c>
      <c r="B4066" s="2">
        <v>43007</v>
      </c>
      <c r="C4066" t="s">
        <v>2576</v>
      </c>
      <c r="D4066" t="s">
        <v>1829</v>
      </c>
    </row>
    <row r="4067" spans="1:4" x14ac:dyDescent="0.2">
      <c r="A4067" t="s">
        <v>5834</v>
      </c>
      <c r="B4067" s="2">
        <v>43046</v>
      </c>
      <c r="C4067" t="s">
        <v>1892</v>
      </c>
      <c r="D4067" t="s">
        <v>1810</v>
      </c>
    </row>
    <row r="4068" spans="1:4" x14ac:dyDescent="0.2">
      <c r="A4068" t="s">
        <v>5835</v>
      </c>
      <c r="B4068" s="2">
        <v>43165</v>
      </c>
      <c r="C4068" t="s">
        <v>3333</v>
      </c>
      <c r="D4068" t="s">
        <v>1840</v>
      </c>
    </row>
    <row r="4069" spans="1:4" x14ac:dyDescent="0.2">
      <c r="A4069" t="s">
        <v>5836</v>
      </c>
      <c r="B4069" s="2">
        <v>43185</v>
      </c>
      <c r="C4069" t="s">
        <v>1816</v>
      </c>
      <c r="D4069" t="s">
        <v>1810</v>
      </c>
    </row>
    <row r="4070" spans="1:4" x14ac:dyDescent="0.2">
      <c r="A4070" t="s">
        <v>5837</v>
      </c>
      <c r="B4070" s="2">
        <v>42957</v>
      </c>
      <c r="C4070" t="s">
        <v>2576</v>
      </c>
      <c r="D4070" t="s">
        <v>1031</v>
      </c>
    </row>
    <row r="4071" spans="1:4" x14ac:dyDescent="0.2">
      <c r="A4071" t="s">
        <v>5838</v>
      </c>
      <c r="B4071" s="2">
        <v>43206</v>
      </c>
      <c r="C4071" t="s">
        <v>1827</v>
      </c>
      <c r="D4071" t="s">
        <v>1807</v>
      </c>
    </row>
    <row r="4072" spans="1:4" x14ac:dyDescent="0.2">
      <c r="A4072" t="s">
        <v>5839</v>
      </c>
      <c r="B4072" s="2">
        <v>43027</v>
      </c>
      <c r="C4072" t="s">
        <v>1816</v>
      </c>
      <c r="D4072" t="s">
        <v>1810</v>
      </c>
    </row>
    <row r="4073" spans="1:4" x14ac:dyDescent="0.2">
      <c r="A4073" t="s">
        <v>909</v>
      </c>
      <c r="B4073" s="2">
        <v>43154</v>
      </c>
      <c r="C4073" t="s">
        <v>1836</v>
      </c>
      <c r="D4073" t="s">
        <v>1031</v>
      </c>
    </row>
    <row r="4074" spans="1:4" x14ac:dyDescent="0.2">
      <c r="A4074" t="s">
        <v>5840</v>
      </c>
      <c r="B4074" s="2">
        <v>43025</v>
      </c>
      <c r="C4074" t="s">
        <v>1836</v>
      </c>
      <c r="D4074" t="s">
        <v>1807</v>
      </c>
    </row>
    <row r="4075" spans="1:4" x14ac:dyDescent="0.2">
      <c r="A4075" t="s">
        <v>5841</v>
      </c>
      <c r="B4075" s="2">
        <v>43210</v>
      </c>
      <c r="C4075" t="s">
        <v>1863</v>
      </c>
      <c r="D4075" t="s">
        <v>1804</v>
      </c>
    </row>
    <row r="4076" spans="1:4" x14ac:dyDescent="0.2">
      <c r="A4076" t="s">
        <v>5842</v>
      </c>
      <c r="B4076" s="2">
        <v>43000</v>
      </c>
      <c r="C4076" t="s">
        <v>1814</v>
      </c>
      <c r="D4076" t="s">
        <v>1810</v>
      </c>
    </row>
    <row r="4077" spans="1:4" x14ac:dyDescent="0.2">
      <c r="A4077" t="s">
        <v>5843</v>
      </c>
      <c r="B4077" s="2">
        <v>43192</v>
      </c>
      <c r="C4077" t="s">
        <v>2070</v>
      </c>
      <c r="D4077" t="s">
        <v>1807</v>
      </c>
    </row>
    <row r="4078" spans="1:4" x14ac:dyDescent="0.2">
      <c r="A4078" t="s">
        <v>911</v>
      </c>
      <c r="B4078" s="2">
        <v>43143</v>
      </c>
      <c r="C4078" t="s">
        <v>1836</v>
      </c>
      <c r="D4078" t="s">
        <v>1031</v>
      </c>
    </row>
    <row r="4079" spans="1:4" x14ac:dyDescent="0.2">
      <c r="A4079" t="s">
        <v>5844</v>
      </c>
      <c r="B4079" s="2">
        <v>43240</v>
      </c>
      <c r="C4079" t="s">
        <v>1905</v>
      </c>
      <c r="D4079" t="s">
        <v>1810</v>
      </c>
    </row>
    <row r="4080" spans="1:4" x14ac:dyDescent="0.2">
      <c r="A4080" t="s">
        <v>5845</v>
      </c>
      <c r="B4080" s="2">
        <v>43121</v>
      </c>
      <c r="C4080" t="s">
        <v>1803</v>
      </c>
      <c r="D4080" t="s">
        <v>1804</v>
      </c>
    </row>
    <row r="4081" spans="1:4" x14ac:dyDescent="0.2">
      <c r="A4081" t="s">
        <v>5846</v>
      </c>
      <c r="B4081" s="2">
        <v>43187</v>
      </c>
      <c r="C4081" t="s">
        <v>1875</v>
      </c>
      <c r="D4081" t="s">
        <v>1840</v>
      </c>
    </row>
    <row r="4082" spans="1:4" x14ac:dyDescent="0.2">
      <c r="A4082" t="s">
        <v>5847</v>
      </c>
      <c r="B4082" s="2">
        <v>43193</v>
      </c>
      <c r="C4082" t="s">
        <v>2933</v>
      </c>
      <c r="D4082" t="s">
        <v>1813</v>
      </c>
    </row>
    <row r="4083" spans="1:4" x14ac:dyDescent="0.2">
      <c r="A4083" t="s">
        <v>913</v>
      </c>
      <c r="B4083" s="2">
        <v>43214</v>
      </c>
      <c r="C4083" t="s">
        <v>2115</v>
      </c>
      <c r="D4083" t="s">
        <v>1804</v>
      </c>
    </row>
    <row r="4084" spans="1:4" x14ac:dyDescent="0.2">
      <c r="A4084" t="s">
        <v>5848</v>
      </c>
      <c r="B4084" s="2">
        <v>43172</v>
      </c>
      <c r="C4084" t="s">
        <v>2019</v>
      </c>
      <c r="D4084" t="s">
        <v>1813</v>
      </c>
    </row>
    <row r="4085" spans="1:4" x14ac:dyDescent="0.2">
      <c r="A4085" t="s">
        <v>5849</v>
      </c>
      <c r="B4085" s="2">
        <v>43111</v>
      </c>
      <c r="C4085" t="s">
        <v>2462</v>
      </c>
      <c r="D4085" t="s">
        <v>1807</v>
      </c>
    </row>
    <row r="4086" spans="1:4" x14ac:dyDescent="0.2">
      <c r="A4086" t="s">
        <v>5850</v>
      </c>
      <c r="B4086" s="2">
        <v>43085</v>
      </c>
      <c r="C4086" t="s">
        <v>1816</v>
      </c>
      <c r="D4086" t="s">
        <v>1810</v>
      </c>
    </row>
    <row r="4087" spans="1:4" x14ac:dyDescent="0.2">
      <c r="A4087" t="s">
        <v>5851</v>
      </c>
      <c r="B4087" s="2">
        <v>43222</v>
      </c>
      <c r="C4087" t="s">
        <v>1863</v>
      </c>
      <c r="D4087" t="s">
        <v>1804</v>
      </c>
    </row>
    <row r="4088" spans="1:4" x14ac:dyDescent="0.2">
      <c r="A4088" t="s">
        <v>5852</v>
      </c>
      <c r="B4088" s="2">
        <v>43072</v>
      </c>
      <c r="C4088" t="s">
        <v>1930</v>
      </c>
      <c r="D4088" t="s">
        <v>1804</v>
      </c>
    </row>
    <row r="4089" spans="1:4" x14ac:dyDescent="0.2">
      <c r="A4089" t="s">
        <v>5853</v>
      </c>
      <c r="B4089" s="2">
        <v>42935</v>
      </c>
      <c r="C4089" t="s">
        <v>1816</v>
      </c>
      <c r="D4089" t="s">
        <v>1810</v>
      </c>
    </row>
    <row r="4090" spans="1:4" x14ac:dyDescent="0.2">
      <c r="A4090" t="s">
        <v>5854</v>
      </c>
      <c r="B4090" s="2">
        <v>43018</v>
      </c>
      <c r="C4090" t="s">
        <v>1889</v>
      </c>
      <c r="D4090" t="s">
        <v>1813</v>
      </c>
    </row>
    <row r="4091" spans="1:4" x14ac:dyDescent="0.2">
      <c r="A4091" t="s">
        <v>5855</v>
      </c>
      <c r="B4091" s="2">
        <v>43157</v>
      </c>
      <c r="C4091" t="s">
        <v>2291</v>
      </c>
      <c r="D4091" t="s">
        <v>1807</v>
      </c>
    </row>
    <row r="4092" spans="1:4" x14ac:dyDescent="0.2">
      <c r="A4092" t="s">
        <v>5856</v>
      </c>
      <c r="B4092" s="2">
        <v>43004</v>
      </c>
      <c r="C4092" t="s">
        <v>1825</v>
      </c>
      <c r="D4092" t="s">
        <v>1829</v>
      </c>
    </row>
    <row r="4093" spans="1:4" x14ac:dyDescent="0.2">
      <c r="A4093" t="s">
        <v>5857</v>
      </c>
      <c r="B4093" s="2">
        <v>43053</v>
      </c>
      <c r="C4093" t="s">
        <v>1939</v>
      </c>
      <c r="D4093" t="s">
        <v>1804</v>
      </c>
    </row>
    <row r="4094" spans="1:4" x14ac:dyDescent="0.2">
      <c r="A4094" t="s">
        <v>5858</v>
      </c>
      <c r="B4094" s="2">
        <v>42935</v>
      </c>
      <c r="C4094" t="s">
        <v>1907</v>
      </c>
      <c r="D4094" t="s">
        <v>1031</v>
      </c>
    </row>
    <row r="4095" spans="1:4" x14ac:dyDescent="0.2">
      <c r="A4095" t="s">
        <v>5859</v>
      </c>
      <c r="B4095" s="2">
        <v>42940</v>
      </c>
      <c r="C4095" t="s">
        <v>2679</v>
      </c>
      <c r="D4095" t="s">
        <v>1804</v>
      </c>
    </row>
    <row r="4096" spans="1:4" x14ac:dyDescent="0.2">
      <c r="A4096" t="s">
        <v>5860</v>
      </c>
      <c r="B4096" s="2">
        <v>43175</v>
      </c>
      <c r="C4096" t="s">
        <v>2196</v>
      </c>
      <c r="D4096" t="s">
        <v>1810</v>
      </c>
    </row>
    <row r="4097" spans="1:4" x14ac:dyDescent="0.2">
      <c r="A4097" t="s">
        <v>5861</v>
      </c>
      <c r="B4097" s="2">
        <v>43108</v>
      </c>
      <c r="C4097" t="s">
        <v>1921</v>
      </c>
      <c r="D4097" t="s">
        <v>1840</v>
      </c>
    </row>
    <row r="4098" spans="1:4" x14ac:dyDescent="0.2">
      <c r="A4098" t="s">
        <v>5862</v>
      </c>
      <c r="B4098" s="2">
        <v>43137</v>
      </c>
      <c r="C4098" t="s">
        <v>1836</v>
      </c>
      <c r="D4098" t="s">
        <v>1031</v>
      </c>
    </row>
    <row r="4099" spans="1:4" x14ac:dyDescent="0.2">
      <c r="A4099" t="s">
        <v>5863</v>
      </c>
      <c r="B4099" s="2">
        <v>43026</v>
      </c>
      <c r="C4099" t="s">
        <v>2657</v>
      </c>
      <c r="D4099" t="s">
        <v>1031</v>
      </c>
    </row>
    <row r="4100" spans="1:4" x14ac:dyDescent="0.2">
      <c r="A4100" t="s">
        <v>5864</v>
      </c>
      <c r="B4100" s="2">
        <v>43226</v>
      </c>
      <c r="C4100" t="s">
        <v>5865</v>
      </c>
      <c r="D4100" t="s">
        <v>1804</v>
      </c>
    </row>
    <row r="4101" spans="1:4" x14ac:dyDescent="0.2">
      <c r="A4101" t="s">
        <v>5866</v>
      </c>
      <c r="B4101" s="2">
        <v>43151</v>
      </c>
      <c r="C4101" t="s">
        <v>1859</v>
      </c>
      <c r="D4101" t="s">
        <v>1810</v>
      </c>
    </row>
    <row r="4102" spans="1:4" x14ac:dyDescent="0.2">
      <c r="A4102" t="s">
        <v>5867</v>
      </c>
      <c r="B4102" s="2">
        <v>43209</v>
      </c>
      <c r="C4102" t="s">
        <v>1905</v>
      </c>
      <c r="D4102" t="s">
        <v>1810</v>
      </c>
    </row>
    <row r="4103" spans="1:4" x14ac:dyDescent="0.2">
      <c r="A4103" t="s">
        <v>5868</v>
      </c>
      <c r="B4103" s="2">
        <v>43194</v>
      </c>
      <c r="C4103" t="s">
        <v>1816</v>
      </c>
      <c r="D4103" t="s">
        <v>1810</v>
      </c>
    </row>
    <row r="4104" spans="1:4" x14ac:dyDescent="0.2">
      <c r="A4104" t="s">
        <v>5869</v>
      </c>
      <c r="B4104" s="2">
        <v>43152</v>
      </c>
      <c r="C4104" t="s">
        <v>2445</v>
      </c>
      <c r="D4104" t="s">
        <v>1810</v>
      </c>
    </row>
    <row r="4105" spans="1:4" x14ac:dyDescent="0.2">
      <c r="A4105" t="s">
        <v>915</v>
      </c>
      <c r="B4105" s="2">
        <v>43245</v>
      </c>
      <c r="C4105" t="s">
        <v>1816</v>
      </c>
      <c r="D4105" t="s">
        <v>1829</v>
      </c>
    </row>
    <row r="4106" spans="1:4" x14ac:dyDescent="0.2">
      <c r="A4106" t="s">
        <v>5870</v>
      </c>
      <c r="B4106" s="2">
        <v>43193</v>
      </c>
      <c r="C4106" t="s">
        <v>2933</v>
      </c>
      <c r="D4106" t="s">
        <v>1813</v>
      </c>
    </row>
    <row r="4107" spans="1:4" x14ac:dyDescent="0.2">
      <c r="A4107" t="s">
        <v>917</v>
      </c>
      <c r="B4107" s="2">
        <v>43183</v>
      </c>
      <c r="C4107" t="s">
        <v>2058</v>
      </c>
      <c r="D4107" t="s">
        <v>1807</v>
      </c>
    </row>
    <row r="4108" spans="1:4" x14ac:dyDescent="0.2">
      <c r="A4108" t="s">
        <v>5871</v>
      </c>
      <c r="B4108" s="2">
        <v>43205</v>
      </c>
      <c r="C4108" t="s">
        <v>1863</v>
      </c>
      <c r="D4108" t="s">
        <v>1804</v>
      </c>
    </row>
    <row r="4109" spans="1:4" x14ac:dyDescent="0.2">
      <c r="A4109" t="s">
        <v>5872</v>
      </c>
      <c r="B4109" s="2">
        <v>43251</v>
      </c>
      <c r="C4109" t="s">
        <v>2740</v>
      </c>
      <c r="D4109" t="s">
        <v>1807</v>
      </c>
    </row>
    <row r="4110" spans="1:4" x14ac:dyDescent="0.2">
      <c r="A4110" t="s">
        <v>5873</v>
      </c>
      <c r="B4110" s="2">
        <v>43239</v>
      </c>
      <c r="C4110" t="s">
        <v>1809</v>
      </c>
      <c r="D4110" t="s">
        <v>1849</v>
      </c>
    </row>
    <row r="4111" spans="1:4" x14ac:dyDescent="0.2">
      <c r="A4111" t="s">
        <v>5874</v>
      </c>
      <c r="B4111" s="2">
        <v>43202</v>
      </c>
      <c r="C4111" t="s">
        <v>1930</v>
      </c>
      <c r="D4111" t="s">
        <v>1807</v>
      </c>
    </row>
    <row r="4112" spans="1:4" x14ac:dyDescent="0.2">
      <c r="A4112" t="s">
        <v>5875</v>
      </c>
      <c r="B4112" s="2">
        <v>43182</v>
      </c>
      <c r="C4112" t="s">
        <v>2291</v>
      </c>
      <c r="D4112" t="s">
        <v>1031</v>
      </c>
    </row>
    <row r="4113" spans="1:4" x14ac:dyDescent="0.2">
      <c r="A4113" t="s">
        <v>5876</v>
      </c>
      <c r="B4113" s="2">
        <v>43236</v>
      </c>
      <c r="C4113" t="s">
        <v>1930</v>
      </c>
      <c r="D4113" t="s">
        <v>1807</v>
      </c>
    </row>
    <row r="4114" spans="1:4" x14ac:dyDescent="0.2">
      <c r="A4114" t="s">
        <v>5877</v>
      </c>
      <c r="B4114" s="2">
        <v>43203</v>
      </c>
      <c r="C4114" t="s">
        <v>1836</v>
      </c>
      <c r="D4114" t="s">
        <v>1031</v>
      </c>
    </row>
    <row r="4115" spans="1:4" x14ac:dyDescent="0.2">
      <c r="A4115" t="s">
        <v>5878</v>
      </c>
      <c r="B4115" s="2">
        <v>43183</v>
      </c>
      <c r="C4115" t="s">
        <v>1809</v>
      </c>
      <c r="D4115" t="s">
        <v>1810</v>
      </c>
    </row>
    <row r="4116" spans="1:4" x14ac:dyDescent="0.2">
      <c r="A4116" t="s">
        <v>5879</v>
      </c>
      <c r="B4116" s="2">
        <v>43109</v>
      </c>
      <c r="C4116" t="s">
        <v>1836</v>
      </c>
      <c r="D4116" t="s">
        <v>1031</v>
      </c>
    </row>
    <row r="4117" spans="1:4" x14ac:dyDescent="0.2">
      <c r="A4117" t="s">
        <v>5880</v>
      </c>
      <c r="B4117" s="2">
        <v>43132</v>
      </c>
      <c r="C4117" t="s">
        <v>2196</v>
      </c>
      <c r="D4117" t="s">
        <v>1810</v>
      </c>
    </row>
    <row r="4118" spans="1:4" x14ac:dyDescent="0.2">
      <c r="A4118" t="s">
        <v>5881</v>
      </c>
      <c r="B4118" s="2">
        <v>43158</v>
      </c>
      <c r="C4118" t="s">
        <v>1930</v>
      </c>
      <c r="D4118" t="s">
        <v>1807</v>
      </c>
    </row>
    <row r="4119" spans="1:4" x14ac:dyDescent="0.2">
      <c r="A4119" t="s">
        <v>5882</v>
      </c>
      <c r="B4119" s="2">
        <v>43186</v>
      </c>
      <c r="C4119" t="s">
        <v>1836</v>
      </c>
      <c r="D4119" t="s">
        <v>1031</v>
      </c>
    </row>
    <row r="4120" spans="1:4" x14ac:dyDescent="0.2">
      <c r="A4120" t="s">
        <v>5883</v>
      </c>
      <c r="B4120" s="2">
        <v>43138</v>
      </c>
      <c r="C4120" t="s">
        <v>1803</v>
      </c>
      <c r="D4120" t="s">
        <v>1804</v>
      </c>
    </row>
    <row r="4121" spans="1:4" x14ac:dyDescent="0.2">
      <c r="A4121" t="s">
        <v>5884</v>
      </c>
      <c r="B4121" s="2">
        <v>43050</v>
      </c>
      <c r="C4121" t="s">
        <v>1987</v>
      </c>
      <c r="D4121" t="s">
        <v>1810</v>
      </c>
    </row>
    <row r="4122" spans="1:4" x14ac:dyDescent="0.2">
      <c r="A4122" t="s">
        <v>5885</v>
      </c>
      <c r="B4122" s="2">
        <v>43147</v>
      </c>
      <c r="C4122" t="s">
        <v>4092</v>
      </c>
      <c r="D4122" t="s">
        <v>1807</v>
      </c>
    </row>
    <row r="4123" spans="1:4" x14ac:dyDescent="0.2">
      <c r="A4123" t="s">
        <v>5886</v>
      </c>
      <c r="B4123" s="2">
        <v>43136</v>
      </c>
      <c r="C4123" t="s">
        <v>1803</v>
      </c>
      <c r="D4123" t="s">
        <v>1804</v>
      </c>
    </row>
    <row r="4124" spans="1:4" x14ac:dyDescent="0.2">
      <c r="A4124" t="s">
        <v>5887</v>
      </c>
      <c r="B4124" s="2">
        <v>43237</v>
      </c>
      <c r="C4124" t="s">
        <v>1836</v>
      </c>
      <c r="D4124" t="s">
        <v>1807</v>
      </c>
    </row>
    <row r="4125" spans="1:4" x14ac:dyDescent="0.2">
      <c r="A4125" t="s">
        <v>5888</v>
      </c>
      <c r="B4125" s="2">
        <v>43228</v>
      </c>
      <c r="C4125" t="s">
        <v>1809</v>
      </c>
      <c r="D4125" t="s">
        <v>1829</v>
      </c>
    </row>
    <row r="4126" spans="1:4" x14ac:dyDescent="0.2">
      <c r="A4126" t="s">
        <v>5889</v>
      </c>
      <c r="B4126" s="2">
        <v>43147</v>
      </c>
      <c r="C4126" t="s">
        <v>1905</v>
      </c>
      <c r="D4126" t="s">
        <v>1810</v>
      </c>
    </row>
    <row r="4127" spans="1:4" x14ac:dyDescent="0.2">
      <c r="A4127" t="s">
        <v>5890</v>
      </c>
      <c r="B4127" s="2">
        <v>43172</v>
      </c>
      <c r="C4127" t="s">
        <v>1816</v>
      </c>
      <c r="D4127" t="s">
        <v>1810</v>
      </c>
    </row>
    <row r="4128" spans="1:4" x14ac:dyDescent="0.2">
      <c r="A4128" t="s">
        <v>5891</v>
      </c>
      <c r="B4128" s="2">
        <v>43222</v>
      </c>
      <c r="C4128" t="s">
        <v>2070</v>
      </c>
      <c r="D4128" t="s">
        <v>1813</v>
      </c>
    </row>
    <row r="4129" spans="1:4" x14ac:dyDescent="0.2">
      <c r="A4129" t="s">
        <v>5892</v>
      </c>
      <c r="B4129" s="2">
        <v>43224</v>
      </c>
      <c r="C4129" t="s">
        <v>1857</v>
      </c>
      <c r="D4129" t="s">
        <v>1804</v>
      </c>
    </row>
    <row r="4130" spans="1:4" x14ac:dyDescent="0.2">
      <c r="A4130" t="s">
        <v>5893</v>
      </c>
      <c r="B4130" s="2">
        <v>43122</v>
      </c>
      <c r="C4130" t="s">
        <v>1816</v>
      </c>
      <c r="D4130" t="s">
        <v>1810</v>
      </c>
    </row>
    <row r="4131" spans="1:4" x14ac:dyDescent="0.2">
      <c r="A4131" t="s">
        <v>5894</v>
      </c>
      <c r="B4131" s="2">
        <v>43112</v>
      </c>
      <c r="C4131" t="s">
        <v>1905</v>
      </c>
      <c r="D4131" t="s">
        <v>1810</v>
      </c>
    </row>
    <row r="4132" spans="1:4" x14ac:dyDescent="0.2">
      <c r="A4132" t="s">
        <v>5895</v>
      </c>
      <c r="B4132" s="2">
        <v>43132</v>
      </c>
      <c r="C4132" t="s">
        <v>1836</v>
      </c>
      <c r="D4132" t="s">
        <v>1031</v>
      </c>
    </row>
    <row r="4133" spans="1:4" x14ac:dyDescent="0.2">
      <c r="A4133" t="s">
        <v>5896</v>
      </c>
      <c r="B4133" s="2">
        <v>43166</v>
      </c>
      <c r="C4133" t="s">
        <v>2045</v>
      </c>
      <c r="D4133" t="s">
        <v>1807</v>
      </c>
    </row>
    <row r="4134" spans="1:4" x14ac:dyDescent="0.2">
      <c r="A4134" t="s">
        <v>5897</v>
      </c>
      <c r="B4134" s="2">
        <v>43187</v>
      </c>
      <c r="C4134" t="s">
        <v>1875</v>
      </c>
      <c r="D4134" t="s">
        <v>160</v>
      </c>
    </row>
    <row r="4135" spans="1:4" x14ac:dyDescent="0.2">
      <c r="A4135" t="s">
        <v>5898</v>
      </c>
      <c r="B4135" s="2">
        <v>43122</v>
      </c>
      <c r="C4135" t="s">
        <v>1836</v>
      </c>
      <c r="D4135" t="s">
        <v>1031</v>
      </c>
    </row>
    <row r="4136" spans="1:4" x14ac:dyDescent="0.2">
      <c r="A4136" t="s">
        <v>5899</v>
      </c>
      <c r="B4136" s="2">
        <v>43107</v>
      </c>
      <c r="C4136" t="s">
        <v>1825</v>
      </c>
      <c r="D4136" t="s">
        <v>1829</v>
      </c>
    </row>
    <row r="4137" spans="1:4" x14ac:dyDescent="0.2">
      <c r="A4137" t="s">
        <v>5900</v>
      </c>
      <c r="B4137" s="2">
        <v>43240</v>
      </c>
      <c r="C4137" t="s">
        <v>1863</v>
      </c>
      <c r="D4137" t="s">
        <v>1804</v>
      </c>
    </row>
    <row r="4138" spans="1:4" x14ac:dyDescent="0.2">
      <c r="A4138" t="s">
        <v>5901</v>
      </c>
      <c r="B4138" s="2">
        <v>42949</v>
      </c>
      <c r="C4138" t="s">
        <v>1836</v>
      </c>
      <c r="D4138" t="s">
        <v>1031</v>
      </c>
    </row>
    <row r="4139" spans="1:4" x14ac:dyDescent="0.2">
      <c r="A4139" t="s">
        <v>5902</v>
      </c>
      <c r="B4139" s="2">
        <v>43162</v>
      </c>
      <c r="C4139" t="s">
        <v>1803</v>
      </c>
      <c r="D4139" t="s">
        <v>1804</v>
      </c>
    </row>
    <row r="4140" spans="1:4" x14ac:dyDescent="0.2">
      <c r="A4140" t="s">
        <v>5903</v>
      </c>
      <c r="B4140" s="2">
        <v>43122</v>
      </c>
      <c r="C4140" t="s">
        <v>1836</v>
      </c>
      <c r="D4140" t="s">
        <v>1031</v>
      </c>
    </row>
    <row r="4141" spans="1:4" x14ac:dyDescent="0.2">
      <c r="A4141" t="s">
        <v>5904</v>
      </c>
      <c r="B4141" s="2">
        <v>42928</v>
      </c>
      <c r="C4141" t="s">
        <v>1892</v>
      </c>
      <c r="D4141" t="s">
        <v>1810</v>
      </c>
    </row>
    <row r="4142" spans="1:4" x14ac:dyDescent="0.2">
      <c r="A4142" t="s">
        <v>5905</v>
      </c>
      <c r="B4142" s="2">
        <v>43217</v>
      </c>
      <c r="C4142" t="s">
        <v>1909</v>
      </c>
      <c r="D4142" t="s">
        <v>1810</v>
      </c>
    </row>
    <row r="4143" spans="1:4" x14ac:dyDescent="0.2">
      <c r="A4143" t="s">
        <v>919</v>
      </c>
      <c r="B4143" s="2">
        <v>43163</v>
      </c>
      <c r="C4143" t="s">
        <v>2115</v>
      </c>
      <c r="D4143" t="s">
        <v>1804</v>
      </c>
    </row>
    <row r="4144" spans="1:4" x14ac:dyDescent="0.2">
      <c r="A4144" t="s">
        <v>5906</v>
      </c>
      <c r="B4144" s="2">
        <v>43222</v>
      </c>
      <c r="C4144" t="s">
        <v>3424</v>
      </c>
      <c r="D4144" t="s">
        <v>1813</v>
      </c>
    </row>
    <row r="4145" spans="1:4" x14ac:dyDescent="0.2">
      <c r="A4145" t="s">
        <v>5907</v>
      </c>
      <c r="B4145" s="2">
        <v>43033</v>
      </c>
      <c r="C4145" t="s">
        <v>4373</v>
      </c>
      <c r="D4145" t="s">
        <v>1031</v>
      </c>
    </row>
    <row r="4146" spans="1:4" x14ac:dyDescent="0.2">
      <c r="A4146" t="s">
        <v>5908</v>
      </c>
      <c r="B4146" s="2">
        <v>43210</v>
      </c>
      <c r="C4146" t="s">
        <v>2402</v>
      </c>
      <c r="D4146" t="s">
        <v>1849</v>
      </c>
    </row>
    <row r="4147" spans="1:4" x14ac:dyDescent="0.2">
      <c r="A4147" t="s">
        <v>5909</v>
      </c>
      <c r="B4147" s="2">
        <v>43124</v>
      </c>
      <c r="C4147" t="s">
        <v>1816</v>
      </c>
      <c r="D4147" t="s">
        <v>1810</v>
      </c>
    </row>
    <row r="4148" spans="1:4" x14ac:dyDescent="0.2">
      <c r="A4148" t="s">
        <v>5910</v>
      </c>
      <c r="B4148" s="2">
        <v>43140</v>
      </c>
      <c r="C4148" t="s">
        <v>1803</v>
      </c>
      <c r="D4148" t="s">
        <v>1804</v>
      </c>
    </row>
    <row r="4149" spans="1:4" x14ac:dyDescent="0.2">
      <c r="A4149" t="s">
        <v>5911</v>
      </c>
      <c r="B4149" s="2">
        <v>43110</v>
      </c>
      <c r="C4149" t="s">
        <v>1816</v>
      </c>
      <c r="D4149" t="s">
        <v>1810</v>
      </c>
    </row>
    <row r="4150" spans="1:4" x14ac:dyDescent="0.2">
      <c r="A4150" t="s">
        <v>5912</v>
      </c>
      <c r="B4150" s="2">
        <v>43034</v>
      </c>
      <c r="C4150" t="s">
        <v>2294</v>
      </c>
      <c r="D4150" t="s">
        <v>1807</v>
      </c>
    </row>
    <row r="4151" spans="1:4" x14ac:dyDescent="0.2">
      <c r="A4151" t="s">
        <v>5913</v>
      </c>
      <c r="B4151" s="2">
        <v>43164</v>
      </c>
      <c r="C4151" t="s">
        <v>1905</v>
      </c>
      <c r="D4151" t="s">
        <v>1810</v>
      </c>
    </row>
    <row r="4152" spans="1:4" x14ac:dyDescent="0.2">
      <c r="A4152" t="s">
        <v>5914</v>
      </c>
      <c r="B4152" s="2">
        <v>43181</v>
      </c>
      <c r="C4152" t="s">
        <v>1987</v>
      </c>
      <c r="D4152" t="s">
        <v>1807</v>
      </c>
    </row>
    <row r="4153" spans="1:4" x14ac:dyDescent="0.2">
      <c r="A4153" t="s">
        <v>5915</v>
      </c>
      <c r="B4153" s="2">
        <v>43129</v>
      </c>
      <c r="C4153" t="s">
        <v>1987</v>
      </c>
      <c r="D4153" t="s">
        <v>1810</v>
      </c>
    </row>
    <row r="4154" spans="1:4" x14ac:dyDescent="0.2">
      <c r="A4154" t="s">
        <v>5916</v>
      </c>
      <c r="B4154" s="2">
        <v>43209</v>
      </c>
      <c r="C4154" t="s">
        <v>2182</v>
      </c>
      <c r="D4154" t="s">
        <v>1810</v>
      </c>
    </row>
    <row r="4155" spans="1:4" x14ac:dyDescent="0.2">
      <c r="A4155" t="s">
        <v>5917</v>
      </c>
      <c r="B4155" s="2">
        <v>43202</v>
      </c>
      <c r="C4155" t="s">
        <v>2115</v>
      </c>
      <c r="D4155" t="s">
        <v>1804</v>
      </c>
    </row>
    <row r="4156" spans="1:4" x14ac:dyDescent="0.2">
      <c r="A4156" t="s">
        <v>5918</v>
      </c>
      <c r="B4156" s="2">
        <v>43206</v>
      </c>
      <c r="C4156" t="s">
        <v>1825</v>
      </c>
      <c r="D4156" t="s">
        <v>1840</v>
      </c>
    </row>
    <row r="4157" spans="1:4" x14ac:dyDescent="0.2">
      <c r="A4157" t="s">
        <v>5919</v>
      </c>
      <c r="B4157" s="2">
        <v>42959</v>
      </c>
      <c r="C4157" t="s">
        <v>2143</v>
      </c>
      <c r="D4157" t="s">
        <v>1810</v>
      </c>
    </row>
    <row r="4158" spans="1:4" x14ac:dyDescent="0.2">
      <c r="A4158" t="s">
        <v>5920</v>
      </c>
      <c r="B4158" s="2">
        <v>42923</v>
      </c>
      <c r="C4158" t="s">
        <v>1919</v>
      </c>
      <c r="D4158" t="s">
        <v>160</v>
      </c>
    </row>
    <row r="4159" spans="1:4" x14ac:dyDescent="0.2">
      <c r="A4159" t="s">
        <v>5921</v>
      </c>
      <c r="B4159" s="2">
        <v>43188</v>
      </c>
      <c r="C4159" t="s">
        <v>1863</v>
      </c>
      <c r="D4159" t="s">
        <v>1804</v>
      </c>
    </row>
    <row r="4160" spans="1:4" x14ac:dyDescent="0.2">
      <c r="A4160" t="s">
        <v>5922</v>
      </c>
      <c r="B4160" s="2">
        <v>43213</v>
      </c>
      <c r="C4160" t="s">
        <v>2048</v>
      </c>
      <c r="D4160" t="s">
        <v>1810</v>
      </c>
    </row>
    <row r="4161" spans="1:4" x14ac:dyDescent="0.2">
      <c r="A4161" t="s">
        <v>5923</v>
      </c>
      <c r="B4161" s="2">
        <v>43220</v>
      </c>
      <c r="C4161" t="s">
        <v>1863</v>
      </c>
      <c r="D4161" t="s">
        <v>1804</v>
      </c>
    </row>
    <row r="4162" spans="1:4" x14ac:dyDescent="0.2">
      <c r="A4162" t="s">
        <v>921</v>
      </c>
      <c r="B4162" s="2">
        <v>43166</v>
      </c>
      <c r="C4162" t="s">
        <v>4061</v>
      </c>
      <c r="D4162" t="s">
        <v>1807</v>
      </c>
    </row>
    <row r="4163" spans="1:4" x14ac:dyDescent="0.2">
      <c r="A4163" t="s">
        <v>5924</v>
      </c>
      <c r="B4163" s="2">
        <v>43156</v>
      </c>
      <c r="C4163" t="s">
        <v>1939</v>
      </c>
      <c r="D4163" t="s">
        <v>1807</v>
      </c>
    </row>
    <row r="4164" spans="1:4" x14ac:dyDescent="0.2">
      <c r="A4164" t="s">
        <v>5925</v>
      </c>
      <c r="B4164" s="2">
        <v>43104</v>
      </c>
      <c r="C4164" t="s">
        <v>1803</v>
      </c>
      <c r="D4164" t="s">
        <v>1804</v>
      </c>
    </row>
    <row r="4165" spans="1:4" x14ac:dyDescent="0.2">
      <c r="A4165" t="s">
        <v>5926</v>
      </c>
      <c r="B4165" s="2">
        <v>43208</v>
      </c>
      <c r="C4165" t="s">
        <v>2620</v>
      </c>
      <c r="D4165" t="s">
        <v>1807</v>
      </c>
    </row>
    <row r="4166" spans="1:4" x14ac:dyDescent="0.2">
      <c r="A4166" t="s">
        <v>923</v>
      </c>
      <c r="B4166" s="2">
        <v>43122</v>
      </c>
      <c r="C4166" t="s">
        <v>2012</v>
      </c>
      <c r="D4166" t="s">
        <v>1807</v>
      </c>
    </row>
    <row r="4167" spans="1:4" x14ac:dyDescent="0.2">
      <c r="A4167" t="s">
        <v>5927</v>
      </c>
      <c r="B4167" s="2">
        <v>42950</v>
      </c>
      <c r="C4167" t="s">
        <v>1894</v>
      </c>
      <c r="D4167" t="s">
        <v>1031</v>
      </c>
    </row>
    <row r="4168" spans="1:4" x14ac:dyDescent="0.2">
      <c r="A4168" t="s">
        <v>5928</v>
      </c>
      <c r="B4168" s="2">
        <v>43222</v>
      </c>
      <c r="C4168" t="s">
        <v>2066</v>
      </c>
      <c r="D4168" t="s">
        <v>1813</v>
      </c>
    </row>
    <row r="4169" spans="1:4" x14ac:dyDescent="0.2">
      <c r="A4169" t="s">
        <v>5929</v>
      </c>
      <c r="B4169" s="2">
        <v>43123</v>
      </c>
      <c r="C4169" t="s">
        <v>1812</v>
      </c>
      <c r="D4169" t="s">
        <v>1813</v>
      </c>
    </row>
    <row r="4170" spans="1:4" x14ac:dyDescent="0.2">
      <c r="A4170" t="s">
        <v>5930</v>
      </c>
      <c r="B4170" s="2">
        <v>43090</v>
      </c>
      <c r="C4170" t="s">
        <v>5931</v>
      </c>
      <c r="D4170" t="s">
        <v>1796</v>
      </c>
    </row>
    <row r="4171" spans="1:4" x14ac:dyDescent="0.2">
      <c r="A4171" t="s">
        <v>5932</v>
      </c>
      <c r="B4171" s="2">
        <v>43196</v>
      </c>
      <c r="C4171" t="s">
        <v>1816</v>
      </c>
      <c r="D4171" t="s">
        <v>1810</v>
      </c>
    </row>
    <row r="4172" spans="1:4" x14ac:dyDescent="0.2">
      <c r="A4172" t="s">
        <v>5933</v>
      </c>
      <c r="B4172" s="2">
        <v>43122</v>
      </c>
      <c r="C4172" t="s">
        <v>1930</v>
      </c>
      <c r="D4172" t="s">
        <v>1810</v>
      </c>
    </row>
    <row r="4173" spans="1:4" x14ac:dyDescent="0.2">
      <c r="A4173" t="s">
        <v>925</v>
      </c>
      <c r="B4173" s="2">
        <v>43209</v>
      </c>
      <c r="C4173" t="s">
        <v>1816</v>
      </c>
      <c r="D4173" t="s">
        <v>1810</v>
      </c>
    </row>
    <row r="4174" spans="1:4" x14ac:dyDescent="0.2">
      <c r="A4174" t="s">
        <v>5934</v>
      </c>
      <c r="B4174" s="2">
        <v>43185</v>
      </c>
      <c r="C4174" t="s">
        <v>1816</v>
      </c>
      <c r="D4174" t="s">
        <v>1840</v>
      </c>
    </row>
    <row r="4175" spans="1:4" x14ac:dyDescent="0.2">
      <c r="A4175" t="s">
        <v>5935</v>
      </c>
      <c r="B4175" s="2">
        <v>43206</v>
      </c>
      <c r="C4175" t="s">
        <v>1905</v>
      </c>
      <c r="D4175" t="s">
        <v>1810</v>
      </c>
    </row>
    <row r="4176" spans="1:4" x14ac:dyDescent="0.2">
      <c r="A4176" t="s">
        <v>5936</v>
      </c>
      <c r="B4176" s="2">
        <v>43217</v>
      </c>
      <c r="C4176" t="s">
        <v>1909</v>
      </c>
      <c r="D4176" t="s">
        <v>1031</v>
      </c>
    </row>
    <row r="4177" spans="1:4" x14ac:dyDescent="0.2">
      <c r="A4177" t="s">
        <v>5937</v>
      </c>
      <c r="B4177" s="2">
        <v>43040</v>
      </c>
      <c r="C4177" t="s">
        <v>1803</v>
      </c>
      <c r="D4177" t="s">
        <v>1804</v>
      </c>
    </row>
    <row r="4178" spans="1:4" x14ac:dyDescent="0.2">
      <c r="A4178" t="s">
        <v>5938</v>
      </c>
      <c r="B4178" s="2">
        <v>43069</v>
      </c>
      <c r="C4178" t="s">
        <v>1816</v>
      </c>
      <c r="D4178" t="s">
        <v>1810</v>
      </c>
    </row>
    <row r="4179" spans="1:4" x14ac:dyDescent="0.2">
      <c r="A4179" t="s">
        <v>927</v>
      </c>
      <c r="B4179" s="2">
        <v>43244</v>
      </c>
      <c r="C4179" t="s">
        <v>1905</v>
      </c>
      <c r="D4179" t="s">
        <v>1810</v>
      </c>
    </row>
    <row r="4180" spans="1:4" x14ac:dyDescent="0.2">
      <c r="A4180" t="s">
        <v>5939</v>
      </c>
      <c r="B4180" s="2">
        <v>43032</v>
      </c>
      <c r="C4180" t="s">
        <v>2965</v>
      </c>
      <c r="D4180" t="s">
        <v>1813</v>
      </c>
    </row>
    <row r="4181" spans="1:4" x14ac:dyDescent="0.2">
      <c r="A4181" t="s">
        <v>5940</v>
      </c>
      <c r="B4181" s="2">
        <v>43167</v>
      </c>
      <c r="C4181" t="s">
        <v>2045</v>
      </c>
      <c r="D4181" t="s">
        <v>1807</v>
      </c>
    </row>
    <row r="4182" spans="1:4" x14ac:dyDescent="0.2">
      <c r="A4182" t="s">
        <v>5941</v>
      </c>
      <c r="B4182" s="2">
        <v>42998</v>
      </c>
      <c r="C4182" t="s">
        <v>4463</v>
      </c>
      <c r="D4182" t="s">
        <v>1840</v>
      </c>
    </row>
    <row r="4183" spans="1:4" x14ac:dyDescent="0.2">
      <c r="A4183" t="s">
        <v>5942</v>
      </c>
      <c r="B4183" s="2">
        <v>43109</v>
      </c>
      <c r="C4183" t="s">
        <v>1959</v>
      </c>
      <c r="D4183" t="s">
        <v>1810</v>
      </c>
    </row>
    <row r="4184" spans="1:4" x14ac:dyDescent="0.2">
      <c r="A4184" t="s">
        <v>5943</v>
      </c>
      <c r="B4184" s="2">
        <v>43120</v>
      </c>
      <c r="C4184" t="s">
        <v>1803</v>
      </c>
      <c r="D4184" t="s">
        <v>1804</v>
      </c>
    </row>
    <row r="4185" spans="1:4" x14ac:dyDescent="0.2">
      <c r="A4185" t="s">
        <v>5944</v>
      </c>
      <c r="B4185" s="2">
        <v>43234</v>
      </c>
      <c r="C4185" t="s">
        <v>1867</v>
      </c>
      <c r="D4185" t="s">
        <v>160</v>
      </c>
    </row>
    <row r="4186" spans="1:4" x14ac:dyDescent="0.2">
      <c r="A4186" t="s">
        <v>5945</v>
      </c>
      <c r="B4186" s="2">
        <v>43102</v>
      </c>
      <c r="C4186" t="s">
        <v>1930</v>
      </c>
      <c r="D4186" t="s">
        <v>1810</v>
      </c>
    </row>
    <row r="4187" spans="1:4" x14ac:dyDescent="0.2">
      <c r="A4187" t="s">
        <v>5946</v>
      </c>
      <c r="B4187" s="2">
        <v>43215</v>
      </c>
      <c r="C4187" t="s">
        <v>1909</v>
      </c>
      <c r="D4187" t="s">
        <v>1807</v>
      </c>
    </row>
    <row r="4188" spans="1:4" x14ac:dyDescent="0.2">
      <c r="A4188" t="s">
        <v>5947</v>
      </c>
      <c r="B4188" s="2">
        <v>43206</v>
      </c>
      <c r="C4188" t="s">
        <v>1863</v>
      </c>
      <c r="D4188" t="s">
        <v>1804</v>
      </c>
    </row>
    <row r="4189" spans="1:4" x14ac:dyDescent="0.2">
      <c r="A4189" t="s">
        <v>5948</v>
      </c>
      <c r="B4189" s="2">
        <v>43151</v>
      </c>
      <c r="C4189" t="s">
        <v>1905</v>
      </c>
      <c r="D4189" t="s">
        <v>1810</v>
      </c>
    </row>
    <row r="4190" spans="1:4" x14ac:dyDescent="0.2">
      <c r="A4190" t="s">
        <v>5949</v>
      </c>
      <c r="B4190" s="2">
        <v>43164</v>
      </c>
      <c r="C4190" t="s">
        <v>1905</v>
      </c>
      <c r="D4190" t="s">
        <v>1810</v>
      </c>
    </row>
    <row r="4191" spans="1:4" x14ac:dyDescent="0.2">
      <c r="A4191" t="s">
        <v>5950</v>
      </c>
      <c r="B4191" s="2">
        <v>43173</v>
      </c>
      <c r="C4191" t="s">
        <v>1930</v>
      </c>
      <c r="D4191" t="s">
        <v>1807</v>
      </c>
    </row>
    <row r="4192" spans="1:4" x14ac:dyDescent="0.2">
      <c r="A4192" t="s">
        <v>5951</v>
      </c>
      <c r="B4192" s="2">
        <v>43108</v>
      </c>
      <c r="C4192" t="s">
        <v>1816</v>
      </c>
      <c r="D4192" t="s">
        <v>160</v>
      </c>
    </row>
    <row r="4193" spans="1:4" x14ac:dyDescent="0.2">
      <c r="A4193" t="s">
        <v>5952</v>
      </c>
      <c r="B4193" s="2">
        <v>43214</v>
      </c>
      <c r="C4193" t="s">
        <v>1836</v>
      </c>
      <c r="D4193" t="s">
        <v>1031</v>
      </c>
    </row>
    <row r="4194" spans="1:4" x14ac:dyDescent="0.2">
      <c r="A4194" t="s">
        <v>5953</v>
      </c>
      <c r="B4194" s="2">
        <v>43194</v>
      </c>
      <c r="C4194" t="s">
        <v>1836</v>
      </c>
      <c r="D4194" t="s">
        <v>1031</v>
      </c>
    </row>
    <row r="4195" spans="1:4" x14ac:dyDescent="0.2">
      <c r="A4195" t="s">
        <v>5954</v>
      </c>
      <c r="B4195" s="2">
        <v>42951</v>
      </c>
      <c r="C4195" t="s">
        <v>1836</v>
      </c>
      <c r="D4195" t="s">
        <v>1813</v>
      </c>
    </row>
    <row r="4196" spans="1:4" x14ac:dyDescent="0.2">
      <c r="A4196" t="s">
        <v>5955</v>
      </c>
      <c r="B4196" s="2">
        <v>43056</v>
      </c>
      <c r="C4196" t="s">
        <v>1939</v>
      </c>
      <c r="D4196" t="s">
        <v>1810</v>
      </c>
    </row>
    <row r="4197" spans="1:4" x14ac:dyDescent="0.2">
      <c r="A4197" t="s">
        <v>5956</v>
      </c>
      <c r="B4197" s="2">
        <v>43220</v>
      </c>
      <c r="C4197" t="s">
        <v>1825</v>
      </c>
      <c r="D4197" t="s">
        <v>1810</v>
      </c>
    </row>
    <row r="4198" spans="1:4" x14ac:dyDescent="0.2">
      <c r="A4198" t="s">
        <v>5957</v>
      </c>
      <c r="B4198" s="2">
        <v>43068</v>
      </c>
      <c r="C4198" t="s">
        <v>1939</v>
      </c>
      <c r="D4198" t="s">
        <v>1807</v>
      </c>
    </row>
    <row r="4199" spans="1:4" x14ac:dyDescent="0.2">
      <c r="A4199" t="s">
        <v>5958</v>
      </c>
      <c r="B4199" s="2">
        <v>43184</v>
      </c>
      <c r="C4199" t="s">
        <v>2690</v>
      </c>
      <c r="D4199" t="s">
        <v>1829</v>
      </c>
    </row>
    <row r="4200" spans="1:4" x14ac:dyDescent="0.2">
      <c r="A4200" t="s">
        <v>929</v>
      </c>
      <c r="B4200" s="2">
        <v>43112</v>
      </c>
      <c r="C4200" t="s">
        <v>1921</v>
      </c>
      <c r="D4200" t="s">
        <v>1810</v>
      </c>
    </row>
    <row r="4201" spans="1:4" x14ac:dyDescent="0.2">
      <c r="A4201" t="s">
        <v>5959</v>
      </c>
      <c r="B4201" s="2">
        <v>43117</v>
      </c>
      <c r="C4201" t="s">
        <v>1809</v>
      </c>
      <c r="D4201" t="s">
        <v>1810</v>
      </c>
    </row>
    <row r="4202" spans="1:4" x14ac:dyDescent="0.2">
      <c r="A4202" t="s">
        <v>5960</v>
      </c>
      <c r="B4202" s="2">
        <v>43200</v>
      </c>
      <c r="C4202" t="s">
        <v>1816</v>
      </c>
      <c r="D4202" t="s">
        <v>1810</v>
      </c>
    </row>
    <row r="4203" spans="1:4" x14ac:dyDescent="0.2">
      <c r="A4203" t="s">
        <v>5961</v>
      </c>
      <c r="B4203" s="2">
        <v>43137</v>
      </c>
      <c r="C4203" t="s">
        <v>1803</v>
      </c>
      <c r="D4203" t="s">
        <v>1804</v>
      </c>
    </row>
    <row r="4204" spans="1:4" x14ac:dyDescent="0.2">
      <c r="A4204" t="s">
        <v>5962</v>
      </c>
      <c r="B4204" s="2">
        <v>43119</v>
      </c>
      <c r="C4204" t="s">
        <v>1930</v>
      </c>
      <c r="D4204" t="s">
        <v>1807</v>
      </c>
    </row>
    <row r="4205" spans="1:4" x14ac:dyDescent="0.2">
      <c r="A4205" t="s">
        <v>5963</v>
      </c>
      <c r="B4205" s="2">
        <v>43187</v>
      </c>
      <c r="C4205" t="s">
        <v>1863</v>
      </c>
      <c r="D4205" t="s">
        <v>1804</v>
      </c>
    </row>
    <row r="4206" spans="1:4" x14ac:dyDescent="0.2">
      <c r="A4206" t="s">
        <v>5964</v>
      </c>
      <c r="B4206" s="2">
        <v>43106</v>
      </c>
      <c r="C4206" t="s">
        <v>1809</v>
      </c>
      <c r="D4206" t="s">
        <v>1807</v>
      </c>
    </row>
    <row r="4207" spans="1:4" x14ac:dyDescent="0.2">
      <c r="A4207" t="s">
        <v>5965</v>
      </c>
      <c r="B4207" s="2">
        <v>43231</v>
      </c>
      <c r="C4207" t="s">
        <v>5966</v>
      </c>
      <c r="D4207" t="s">
        <v>1031</v>
      </c>
    </row>
    <row r="4208" spans="1:4" x14ac:dyDescent="0.2">
      <c r="A4208" t="s">
        <v>5967</v>
      </c>
      <c r="B4208" s="2">
        <v>43207</v>
      </c>
      <c r="C4208" t="s">
        <v>1863</v>
      </c>
      <c r="D4208" t="s">
        <v>1804</v>
      </c>
    </row>
    <row r="4209" spans="1:4" x14ac:dyDescent="0.2">
      <c r="A4209" t="s">
        <v>5968</v>
      </c>
      <c r="B4209" s="2">
        <v>43222</v>
      </c>
      <c r="C4209" t="s">
        <v>1863</v>
      </c>
      <c r="D4209" t="s">
        <v>1804</v>
      </c>
    </row>
    <row r="4210" spans="1:4" x14ac:dyDescent="0.2">
      <c r="A4210" t="s">
        <v>5969</v>
      </c>
      <c r="B4210" s="2">
        <v>43244</v>
      </c>
      <c r="C4210" t="s">
        <v>1930</v>
      </c>
      <c r="D4210" t="s">
        <v>1807</v>
      </c>
    </row>
    <row r="4211" spans="1:4" x14ac:dyDescent="0.2">
      <c r="A4211" t="s">
        <v>931</v>
      </c>
      <c r="B4211" s="2">
        <v>43118</v>
      </c>
      <c r="C4211" t="s">
        <v>1905</v>
      </c>
      <c r="D4211" t="s">
        <v>1840</v>
      </c>
    </row>
    <row r="4212" spans="1:4" x14ac:dyDescent="0.2">
      <c r="A4212" t="s">
        <v>5970</v>
      </c>
      <c r="B4212" s="2">
        <v>43240</v>
      </c>
      <c r="C4212" t="s">
        <v>5971</v>
      </c>
      <c r="D4212" t="s">
        <v>1807</v>
      </c>
    </row>
    <row r="4213" spans="1:4" x14ac:dyDescent="0.2">
      <c r="A4213" t="s">
        <v>5972</v>
      </c>
      <c r="B4213" s="2">
        <v>43157</v>
      </c>
      <c r="C4213" t="s">
        <v>1803</v>
      </c>
      <c r="D4213" t="s">
        <v>1804</v>
      </c>
    </row>
    <row r="4214" spans="1:4" x14ac:dyDescent="0.2">
      <c r="A4214" t="s">
        <v>5973</v>
      </c>
      <c r="B4214" s="2">
        <v>43185</v>
      </c>
      <c r="C4214" t="s">
        <v>1930</v>
      </c>
      <c r="D4214" t="s">
        <v>1810</v>
      </c>
    </row>
    <row r="4215" spans="1:4" x14ac:dyDescent="0.2">
      <c r="A4215" t="s">
        <v>5974</v>
      </c>
      <c r="B4215" s="2">
        <v>43070</v>
      </c>
      <c r="C4215" t="s">
        <v>1885</v>
      </c>
      <c r="D4215" t="s">
        <v>1807</v>
      </c>
    </row>
    <row r="4216" spans="1:4" x14ac:dyDescent="0.2">
      <c r="A4216" t="s">
        <v>5975</v>
      </c>
      <c r="B4216" s="2">
        <v>43207</v>
      </c>
      <c r="C4216" t="s">
        <v>1921</v>
      </c>
      <c r="D4216" t="s">
        <v>1810</v>
      </c>
    </row>
    <row r="4217" spans="1:4" x14ac:dyDescent="0.2">
      <c r="A4217" t="s">
        <v>5976</v>
      </c>
      <c r="B4217" s="2">
        <v>43009</v>
      </c>
      <c r="C4217" t="s">
        <v>1806</v>
      </c>
      <c r="D4217" t="s">
        <v>1807</v>
      </c>
    </row>
    <row r="4218" spans="1:4" x14ac:dyDescent="0.2">
      <c r="A4218" t="s">
        <v>5977</v>
      </c>
      <c r="B4218" s="2">
        <v>42976</v>
      </c>
      <c r="C4218" t="s">
        <v>1825</v>
      </c>
      <c r="D4218" t="s">
        <v>1810</v>
      </c>
    </row>
    <row r="4219" spans="1:4" x14ac:dyDescent="0.2">
      <c r="A4219" t="s">
        <v>933</v>
      </c>
      <c r="B4219" s="2">
        <v>43115</v>
      </c>
      <c r="C4219" t="s">
        <v>1836</v>
      </c>
      <c r="D4219" t="s">
        <v>1031</v>
      </c>
    </row>
    <row r="4220" spans="1:4" x14ac:dyDescent="0.2">
      <c r="A4220" t="s">
        <v>5978</v>
      </c>
      <c r="B4220" s="2">
        <v>43152</v>
      </c>
      <c r="C4220" t="s">
        <v>1854</v>
      </c>
      <c r="D4220" t="s">
        <v>1813</v>
      </c>
    </row>
    <row r="4221" spans="1:4" x14ac:dyDescent="0.2">
      <c r="A4221" t="s">
        <v>5979</v>
      </c>
      <c r="B4221" s="2">
        <v>42921</v>
      </c>
      <c r="C4221" t="s">
        <v>3674</v>
      </c>
      <c r="D4221" t="s">
        <v>1813</v>
      </c>
    </row>
    <row r="4222" spans="1:4" x14ac:dyDescent="0.2">
      <c r="A4222" t="s">
        <v>5980</v>
      </c>
      <c r="B4222" s="2">
        <v>43027</v>
      </c>
      <c r="C4222" t="s">
        <v>1880</v>
      </c>
      <c r="D4222" t="s">
        <v>1810</v>
      </c>
    </row>
    <row r="4223" spans="1:4" x14ac:dyDescent="0.2">
      <c r="A4223" t="s">
        <v>5981</v>
      </c>
      <c r="B4223" s="2">
        <v>43152</v>
      </c>
      <c r="C4223" t="s">
        <v>1836</v>
      </c>
      <c r="D4223" t="s">
        <v>1031</v>
      </c>
    </row>
    <row r="4224" spans="1:4" x14ac:dyDescent="0.2">
      <c r="A4224" t="s">
        <v>5982</v>
      </c>
      <c r="B4224" s="2">
        <v>43223</v>
      </c>
      <c r="C4224" t="s">
        <v>1902</v>
      </c>
      <c r="D4224" t="s">
        <v>1807</v>
      </c>
    </row>
    <row r="4225" spans="1:4" x14ac:dyDescent="0.2">
      <c r="A4225" t="s">
        <v>5983</v>
      </c>
      <c r="B4225" s="2">
        <v>43142</v>
      </c>
      <c r="C4225" t="s">
        <v>1814</v>
      </c>
      <c r="D4225" t="s">
        <v>1810</v>
      </c>
    </row>
    <row r="4226" spans="1:4" x14ac:dyDescent="0.2">
      <c r="A4226" t="s">
        <v>5984</v>
      </c>
      <c r="B4226" s="2">
        <v>43105</v>
      </c>
      <c r="C4226" t="s">
        <v>1816</v>
      </c>
      <c r="D4226" t="s">
        <v>1810</v>
      </c>
    </row>
    <row r="4227" spans="1:4" x14ac:dyDescent="0.2">
      <c r="A4227" t="s">
        <v>5985</v>
      </c>
      <c r="B4227" s="2">
        <v>43203</v>
      </c>
      <c r="C4227" t="s">
        <v>1863</v>
      </c>
      <c r="D4227" t="s">
        <v>1804</v>
      </c>
    </row>
    <row r="4228" spans="1:4" x14ac:dyDescent="0.2">
      <c r="A4228" t="s">
        <v>5986</v>
      </c>
      <c r="B4228" s="2">
        <v>43222</v>
      </c>
      <c r="C4228" t="s">
        <v>1836</v>
      </c>
      <c r="D4228" t="s">
        <v>1031</v>
      </c>
    </row>
    <row r="4229" spans="1:4" x14ac:dyDescent="0.2">
      <c r="A4229" t="s">
        <v>935</v>
      </c>
      <c r="B4229" s="2">
        <v>43124</v>
      </c>
      <c r="C4229" t="s">
        <v>1836</v>
      </c>
      <c r="D4229" t="s">
        <v>1031</v>
      </c>
    </row>
    <row r="4230" spans="1:4" x14ac:dyDescent="0.2">
      <c r="A4230" t="s">
        <v>5987</v>
      </c>
      <c r="B4230" s="2">
        <v>43039</v>
      </c>
      <c r="C4230" t="s">
        <v>1902</v>
      </c>
      <c r="D4230" t="s">
        <v>1840</v>
      </c>
    </row>
    <row r="4231" spans="1:4" x14ac:dyDescent="0.2">
      <c r="A4231" t="s">
        <v>5988</v>
      </c>
      <c r="B4231" s="2">
        <v>43241</v>
      </c>
      <c r="C4231" t="s">
        <v>1863</v>
      </c>
      <c r="D4231" t="s">
        <v>1804</v>
      </c>
    </row>
    <row r="4232" spans="1:4" x14ac:dyDescent="0.2">
      <c r="A4232" t="s">
        <v>5989</v>
      </c>
      <c r="B4232" s="2">
        <v>43143</v>
      </c>
      <c r="C4232" t="s">
        <v>1843</v>
      </c>
      <c r="D4232" t="s">
        <v>1796</v>
      </c>
    </row>
    <row r="4233" spans="1:4" x14ac:dyDescent="0.2">
      <c r="A4233" t="s">
        <v>5990</v>
      </c>
      <c r="B4233" s="2">
        <v>42937</v>
      </c>
      <c r="C4233" t="s">
        <v>1867</v>
      </c>
      <c r="D4233" t="s">
        <v>1807</v>
      </c>
    </row>
    <row r="4234" spans="1:4" x14ac:dyDescent="0.2">
      <c r="A4234" t="s">
        <v>5991</v>
      </c>
      <c r="B4234" s="2">
        <v>43122</v>
      </c>
      <c r="C4234" t="s">
        <v>1836</v>
      </c>
      <c r="D4234" t="s">
        <v>1031</v>
      </c>
    </row>
    <row r="4235" spans="1:4" x14ac:dyDescent="0.2">
      <c r="A4235" t="s">
        <v>5992</v>
      </c>
      <c r="B4235" s="2">
        <v>43151</v>
      </c>
      <c r="C4235" t="s">
        <v>2216</v>
      </c>
      <c r="D4235" t="s">
        <v>1807</v>
      </c>
    </row>
    <row r="4236" spans="1:4" x14ac:dyDescent="0.2">
      <c r="A4236" t="s">
        <v>5993</v>
      </c>
      <c r="B4236" s="2">
        <v>42977</v>
      </c>
      <c r="C4236" t="s">
        <v>1816</v>
      </c>
      <c r="D4236" t="s">
        <v>1840</v>
      </c>
    </row>
    <row r="4237" spans="1:4" x14ac:dyDescent="0.2">
      <c r="A4237" t="s">
        <v>5994</v>
      </c>
      <c r="B4237" s="2">
        <v>43203</v>
      </c>
      <c r="C4237" t="s">
        <v>1816</v>
      </c>
      <c r="D4237" t="s">
        <v>1910</v>
      </c>
    </row>
    <row r="4238" spans="1:4" x14ac:dyDescent="0.2">
      <c r="A4238" t="s">
        <v>937</v>
      </c>
      <c r="B4238" s="2">
        <v>43183</v>
      </c>
      <c r="C4238" t="s">
        <v>1836</v>
      </c>
      <c r="D4238" t="s">
        <v>1031</v>
      </c>
    </row>
    <row r="4239" spans="1:4" x14ac:dyDescent="0.2">
      <c r="A4239" t="s">
        <v>5995</v>
      </c>
      <c r="B4239" s="2">
        <v>43211</v>
      </c>
      <c r="C4239" t="s">
        <v>2242</v>
      </c>
      <c r="D4239" t="s">
        <v>1810</v>
      </c>
    </row>
    <row r="4240" spans="1:4" x14ac:dyDescent="0.2">
      <c r="A4240" t="s">
        <v>939</v>
      </c>
      <c r="B4240" s="2">
        <v>43137</v>
      </c>
      <c r="C4240" t="s">
        <v>1921</v>
      </c>
      <c r="D4240" t="s">
        <v>1810</v>
      </c>
    </row>
    <row r="4241" spans="1:4" x14ac:dyDescent="0.2">
      <c r="A4241" t="s">
        <v>5996</v>
      </c>
      <c r="B4241" s="2">
        <v>43050</v>
      </c>
      <c r="C4241" t="s">
        <v>2650</v>
      </c>
      <c r="D4241" t="s">
        <v>1813</v>
      </c>
    </row>
    <row r="4242" spans="1:4" x14ac:dyDescent="0.2">
      <c r="A4242" t="s">
        <v>941</v>
      </c>
      <c r="B4242" s="2">
        <v>43130</v>
      </c>
      <c r="C4242" t="s">
        <v>1816</v>
      </c>
      <c r="D4242" t="s">
        <v>1810</v>
      </c>
    </row>
    <row r="4243" spans="1:4" x14ac:dyDescent="0.2">
      <c r="A4243" t="s">
        <v>943</v>
      </c>
      <c r="B4243" s="2">
        <v>43172</v>
      </c>
      <c r="C4243" t="s">
        <v>1865</v>
      </c>
      <c r="D4243" t="s">
        <v>1840</v>
      </c>
    </row>
    <row r="4244" spans="1:4" x14ac:dyDescent="0.2">
      <c r="A4244" t="s">
        <v>5997</v>
      </c>
      <c r="B4244" s="2">
        <v>43054</v>
      </c>
      <c r="C4244" t="s">
        <v>1905</v>
      </c>
      <c r="D4244" t="s">
        <v>1810</v>
      </c>
    </row>
    <row r="4245" spans="1:4" x14ac:dyDescent="0.2">
      <c r="A4245" t="s">
        <v>5998</v>
      </c>
      <c r="B4245" s="2">
        <v>43091</v>
      </c>
      <c r="C4245" t="s">
        <v>1825</v>
      </c>
      <c r="D4245" t="s">
        <v>1810</v>
      </c>
    </row>
    <row r="4246" spans="1:4" x14ac:dyDescent="0.2">
      <c r="A4246" t="s">
        <v>5999</v>
      </c>
      <c r="B4246" s="2">
        <v>43167</v>
      </c>
      <c r="C4246" t="s">
        <v>1825</v>
      </c>
      <c r="D4246" t="s">
        <v>1810</v>
      </c>
    </row>
    <row r="4247" spans="1:4" x14ac:dyDescent="0.2">
      <c r="A4247" t="s">
        <v>6000</v>
      </c>
      <c r="B4247" s="2">
        <v>43179</v>
      </c>
      <c r="C4247" t="s">
        <v>1987</v>
      </c>
      <c r="D4247" t="s">
        <v>1807</v>
      </c>
    </row>
    <row r="4248" spans="1:4" x14ac:dyDescent="0.2">
      <c r="A4248" t="s">
        <v>6001</v>
      </c>
      <c r="B4248" s="2">
        <v>43224</v>
      </c>
      <c r="C4248" t="s">
        <v>6002</v>
      </c>
      <c r="D4248" t="s">
        <v>1849</v>
      </c>
    </row>
    <row r="4249" spans="1:4" x14ac:dyDescent="0.2">
      <c r="A4249" t="s">
        <v>945</v>
      </c>
      <c r="B4249" s="2">
        <v>43125</v>
      </c>
      <c r="C4249" t="s">
        <v>1836</v>
      </c>
      <c r="D4249" t="s">
        <v>1804</v>
      </c>
    </row>
    <row r="4250" spans="1:4" x14ac:dyDescent="0.2">
      <c r="A4250" t="s">
        <v>6003</v>
      </c>
      <c r="B4250" s="2">
        <v>43137</v>
      </c>
      <c r="C4250" t="s">
        <v>1885</v>
      </c>
      <c r="D4250" t="s">
        <v>1807</v>
      </c>
    </row>
    <row r="4251" spans="1:4" x14ac:dyDescent="0.2">
      <c r="A4251" t="s">
        <v>6004</v>
      </c>
      <c r="B4251" s="2">
        <v>42957</v>
      </c>
      <c r="C4251" t="s">
        <v>3161</v>
      </c>
      <c r="D4251" t="s">
        <v>1031</v>
      </c>
    </row>
    <row r="4252" spans="1:4" x14ac:dyDescent="0.2">
      <c r="A4252" t="s">
        <v>6005</v>
      </c>
      <c r="B4252" s="2">
        <v>43180</v>
      </c>
      <c r="C4252" t="s">
        <v>2066</v>
      </c>
      <c r="D4252" t="s">
        <v>1849</v>
      </c>
    </row>
    <row r="4253" spans="1:4" x14ac:dyDescent="0.2">
      <c r="A4253" t="s">
        <v>947</v>
      </c>
      <c r="B4253" s="2">
        <v>43122</v>
      </c>
      <c r="C4253" t="s">
        <v>1836</v>
      </c>
      <c r="D4253" t="s">
        <v>1031</v>
      </c>
    </row>
    <row r="4254" spans="1:4" x14ac:dyDescent="0.2">
      <c r="A4254" t="s">
        <v>6006</v>
      </c>
      <c r="B4254" s="2">
        <v>43088</v>
      </c>
      <c r="C4254" t="s">
        <v>2563</v>
      </c>
      <c r="D4254" t="s">
        <v>1810</v>
      </c>
    </row>
    <row r="4255" spans="1:4" x14ac:dyDescent="0.2">
      <c r="A4255" t="s">
        <v>949</v>
      </c>
      <c r="B4255" s="2">
        <v>43167</v>
      </c>
      <c r="C4255" t="s">
        <v>1803</v>
      </c>
      <c r="D4255" t="s">
        <v>1804</v>
      </c>
    </row>
    <row r="4256" spans="1:4" x14ac:dyDescent="0.2">
      <c r="A4256" t="s">
        <v>951</v>
      </c>
      <c r="B4256" s="2">
        <v>43136</v>
      </c>
      <c r="C4256" t="s">
        <v>1816</v>
      </c>
      <c r="D4256" t="s">
        <v>1031</v>
      </c>
    </row>
    <row r="4257" spans="1:4" x14ac:dyDescent="0.2">
      <c r="A4257" t="s">
        <v>6007</v>
      </c>
      <c r="B4257" s="2">
        <v>43126</v>
      </c>
      <c r="C4257" t="s">
        <v>1905</v>
      </c>
      <c r="D4257" t="s">
        <v>1810</v>
      </c>
    </row>
    <row r="4258" spans="1:4" x14ac:dyDescent="0.2">
      <c r="A4258" t="s">
        <v>6008</v>
      </c>
      <c r="B4258" s="2">
        <v>43209</v>
      </c>
      <c r="C4258" t="s">
        <v>1867</v>
      </c>
      <c r="D4258" t="s">
        <v>1813</v>
      </c>
    </row>
    <row r="4259" spans="1:4" x14ac:dyDescent="0.2">
      <c r="A4259" t="s">
        <v>6009</v>
      </c>
      <c r="B4259" s="2">
        <v>43251</v>
      </c>
      <c r="C4259" t="s">
        <v>1863</v>
      </c>
      <c r="D4259" t="s">
        <v>1804</v>
      </c>
    </row>
    <row r="4260" spans="1:4" x14ac:dyDescent="0.2">
      <c r="A4260" t="s">
        <v>953</v>
      </c>
      <c r="B4260" s="2">
        <v>43167</v>
      </c>
      <c r="C4260" t="s">
        <v>1803</v>
      </c>
      <c r="D4260" t="s">
        <v>1804</v>
      </c>
    </row>
    <row r="4261" spans="1:4" x14ac:dyDescent="0.2">
      <c r="A4261" t="s">
        <v>955</v>
      </c>
      <c r="B4261" s="2">
        <v>43202</v>
      </c>
      <c r="C4261" t="s">
        <v>6010</v>
      </c>
      <c r="D4261" t="s">
        <v>1807</v>
      </c>
    </row>
    <row r="4262" spans="1:4" x14ac:dyDescent="0.2">
      <c r="A4262" t="s">
        <v>6011</v>
      </c>
      <c r="B4262" s="2">
        <v>43008</v>
      </c>
      <c r="C4262" t="s">
        <v>1806</v>
      </c>
      <c r="D4262" t="s">
        <v>1807</v>
      </c>
    </row>
    <row r="4263" spans="1:4" x14ac:dyDescent="0.2">
      <c r="A4263" t="s">
        <v>6012</v>
      </c>
      <c r="B4263" s="2">
        <v>43137</v>
      </c>
      <c r="C4263" t="s">
        <v>1905</v>
      </c>
      <c r="D4263" t="s">
        <v>1810</v>
      </c>
    </row>
    <row r="4264" spans="1:4" x14ac:dyDescent="0.2">
      <c r="A4264" t="s">
        <v>6013</v>
      </c>
      <c r="B4264" s="2">
        <v>43134</v>
      </c>
      <c r="C4264" t="s">
        <v>1816</v>
      </c>
      <c r="D4264" t="s">
        <v>1810</v>
      </c>
    </row>
    <row r="4265" spans="1:4" x14ac:dyDescent="0.2">
      <c r="A4265" t="s">
        <v>957</v>
      </c>
      <c r="B4265" s="2">
        <v>43232</v>
      </c>
      <c r="C4265" t="s">
        <v>1905</v>
      </c>
      <c r="D4265" t="s">
        <v>1840</v>
      </c>
    </row>
    <row r="4266" spans="1:4" x14ac:dyDescent="0.2">
      <c r="A4266" t="s">
        <v>6014</v>
      </c>
      <c r="B4266" s="2">
        <v>43146</v>
      </c>
      <c r="C4266" t="s">
        <v>1930</v>
      </c>
      <c r="D4266" t="s">
        <v>1807</v>
      </c>
    </row>
    <row r="4267" spans="1:4" x14ac:dyDescent="0.2">
      <c r="A4267" t="s">
        <v>6015</v>
      </c>
      <c r="B4267" s="2">
        <v>43152</v>
      </c>
      <c r="C4267" t="s">
        <v>1825</v>
      </c>
      <c r="D4267" t="s">
        <v>1810</v>
      </c>
    </row>
    <row r="4268" spans="1:4" x14ac:dyDescent="0.2">
      <c r="A4268" t="s">
        <v>6016</v>
      </c>
      <c r="B4268" s="2">
        <v>43202</v>
      </c>
      <c r="C4268" t="s">
        <v>1836</v>
      </c>
      <c r="D4268" t="s">
        <v>1840</v>
      </c>
    </row>
    <row r="4269" spans="1:4" x14ac:dyDescent="0.2">
      <c r="A4269" t="s">
        <v>6017</v>
      </c>
      <c r="B4269" s="2">
        <v>43240</v>
      </c>
      <c r="C4269" t="s">
        <v>1930</v>
      </c>
      <c r="D4269" t="s">
        <v>1807</v>
      </c>
    </row>
    <row r="4270" spans="1:4" x14ac:dyDescent="0.2">
      <c r="A4270" t="s">
        <v>6018</v>
      </c>
      <c r="B4270" s="2">
        <v>43059</v>
      </c>
      <c r="C4270" t="s">
        <v>2216</v>
      </c>
      <c r="D4270" t="s">
        <v>1807</v>
      </c>
    </row>
    <row r="4271" spans="1:4" x14ac:dyDescent="0.2">
      <c r="A4271" t="s">
        <v>6019</v>
      </c>
      <c r="B4271" s="2">
        <v>43057</v>
      </c>
      <c r="C4271" t="s">
        <v>1930</v>
      </c>
      <c r="D4271" t="s">
        <v>1807</v>
      </c>
    </row>
    <row r="4272" spans="1:4" x14ac:dyDescent="0.2">
      <c r="A4272" t="s">
        <v>6020</v>
      </c>
      <c r="B4272" s="2">
        <v>43206</v>
      </c>
      <c r="C4272" t="s">
        <v>1854</v>
      </c>
      <c r="D4272" t="s">
        <v>1810</v>
      </c>
    </row>
    <row r="4273" spans="1:4" x14ac:dyDescent="0.2">
      <c r="A4273" t="s">
        <v>959</v>
      </c>
      <c r="B4273" s="2">
        <v>43178</v>
      </c>
      <c r="C4273" t="s">
        <v>1809</v>
      </c>
      <c r="D4273" t="s">
        <v>1810</v>
      </c>
    </row>
    <row r="4274" spans="1:4" x14ac:dyDescent="0.2">
      <c r="A4274" t="s">
        <v>6021</v>
      </c>
      <c r="B4274" s="2">
        <v>43216</v>
      </c>
      <c r="C4274" t="s">
        <v>2204</v>
      </c>
      <c r="D4274" t="s">
        <v>1807</v>
      </c>
    </row>
    <row r="4275" spans="1:4" x14ac:dyDescent="0.2">
      <c r="A4275" t="s">
        <v>6022</v>
      </c>
      <c r="B4275" s="2">
        <v>43036</v>
      </c>
      <c r="C4275" t="s">
        <v>1816</v>
      </c>
      <c r="D4275" t="s">
        <v>160</v>
      </c>
    </row>
    <row r="4276" spans="1:4" x14ac:dyDescent="0.2">
      <c r="A4276" t="s">
        <v>6023</v>
      </c>
      <c r="B4276" s="2">
        <v>43143</v>
      </c>
      <c r="C4276" t="s">
        <v>1809</v>
      </c>
      <c r="D4276" t="s">
        <v>1810</v>
      </c>
    </row>
    <row r="4277" spans="1:4" x14ac:dyDescent="0.2">
      <c r="A4277" t="s">
        <v>6024</v>
      </c>
      <c r="B4277" s="2">
        <v>42990</v>
      </c>
      <c r="C4277" t="s">
        <v>3419</v>
      </c>
      <c r="D4277" t="s">
        <v>1849</v>
      </c>
    </row>
    <row r="4278" spans="1:4" x14ac:dyDescent="0.2">
      <c r="A4278" t="s">
        <v>6025</v>
      </c>
      <c r="B4278" s="2">
        <v>42957</v>
      </c>
      <c r="C4278" t="s">
        <v>2576</v>
      </c>
      <c r="D4278" t="s">
        <v>1031</v>
      </c>
    </row>
    <row r="4279" spans="1:4" x14ac:dyDescent="0.2">
      <c r="A4279" t="s">
        <v>6026</v>
      </c>
      <c r="B4279" s="2">
        <v>43168</v>
      </c>
      <c r="C4279" t="s">
        <v>1928</v>
      </c>
      <c r="D4279" t="s">
        <v>1813</v>
      </c>
    </row>
    <row r="4280" spans="1:4" x14ac:dyDescent="0.2">
      <c r="A4280" t="s">
        <v>961</v>
      </c>
      <c r="B4280" s="2">
        <v>43137</v>
      </c>
      <c r="C4280" t="s">
        <v>1816</v>
      </c>
      <c r="D4280" t="s">
        <v>1804</v>
      </c>
    </row>
    <row r="4281" spans="1:4" x14ac:dyDescent="0.2">
      <c r="A4281" t="s">
        <v>6027</v>
      </c>
      <c r="B4281" s="2">
        <v>43200</v>
      </c>
      <c r="C4281" t="s">
        <v>1921</v>
      </c>
      <c r="D4281" t="s">
        <v>1840</v>
      </c>
    </row>
    <row r="4282" spans="1:4" x14ac:dyDescent="0.2">
      <c r="A4282" t="s">
        <v>6028</v>
      </c>
      <c r="B4282" s="2">
        <v>43230</v>
      </c>
      <c r="C4282" t="s">
        <v>1863</v>
      </c>
      <c r="D4282" t="s">
        <v>1804</v>
      </c>
    </row>
    <row r="4283" spans="1:4" x14ac:dyDescent="0.2">
      <c r="A4283" t="s">
        <v>963</v>
      </c>
      <c r="B4283" s="2">
        <v>43153</v>
      </c>
      <c r="C4283" t="s">
        <v>1885</v>
      </c>
      <c r="D4283" t="s">
        <v>1807</v>
      </c>
    </row>
    <row r="4284" spans="1:4" x14ac:dyDescent="0.2">
      <c r="A4284" t="s">
        <v>965</v>
      </c>
      <c r="B4284" s="2">
        <v>43192</v>
      </c>
      <c r="C4284" t="s">
        <v>1816</v>
      </c>
      <c r="D4284" t="s">
        <v>1810</v>
      </c>
    </row>
    <row r="4285" spans="1:4" x14ac:dyDescent="0.2">
      <c r="A4285" t="s">
        <v>6029</v>
      </c>
      <c r="B4285" s="2">
        <v>42923</v>
      </c>
      <c r="C4285" t="s">
        <v>2380</v>
      </c>
      <c r="D4285" t="s">
        <v>1813</v>
      </c>
    </row>
    <row r="4286" spans="1:4" x14ac:dyDescent="0.2">
      <c r="A4286" t="s">
        <v>6030</v>
      </c>
      <c r="B4286" s="2">
        <v>43039</v>
      </c>
      <c r="C4286" t="s">
        <v>1902</v>
      </c>
      <c r="D4286" t="s">
        <v>1813</v>
      </c>
    </row>
    <row r="4287" spans="1:4" x14ac:dyDescent="0.2">
      <c r="A4287" t="s">
        <v>6031</v>
      </c>
      <c r="B4287" s="2">
        <v>43125</v>
      </c>
      <c r="C4287" t="s">
        <v>2819</v>
      </c>
      <c r="D4287" t="s">
        <v>1813</v>
      </c>
    </row>
    <row r="4288" spans="1:4" x14ac:dyDescent="0.2">
      <c r="A4288" t="s">
        <v>6032</v>
      </c>
      <c r="B4288" s="2">
        <v>43105</v>
      </c>
      <c r="C4288" t="s">
        <v>1905</v>
      </c>
      <c r="D4288" t="s">
        <v>1810</v>
      </c>
    </row>
    <row r="4289" spans="1:4" x14ac:dyDescent="0.2">
      <c r="A4289" t="s">
        <v>6033</v>
      </c>
      <c r="B4289" s="2">
        <v>43060</v>
      </c>
      <c r="C4289" t="s">
        <v>1825</v>
      </c>
      <c r="D4289" t="s">
        <v>1031</v>
      </c>
    </row>
    <row r="4290" spans="1:4" x14ac:dyDescent="0.2">
      <c r="A4290" t="s">
        <v>6034</v>
      </c>
      <c r="B4290" s="2">
        <v>43106</v>
      </c>
      <c r="C4290" t="s">
        <v>1825</v>
      </c>
      <c r="D4290" t="s">
        <v>1810</v>
      </c>
    </row>
    <row r="4291" spans="1:4" x14ac:dyDescent="0.2">
      <c r="A4291" t="s">
        <v>6035</v>
      </c>
      <c r="B4291" s="2">
        <v>43130</v>
      </c>
      <c r="C4291" t="s">
        <v>1867</v>
      </c>
      <c r="D4291" t="s">
        <v>1813</v>
      </c>
    </row>
    <row r="4292" spans="1:4" x14ac:dyDescent="0.2">
      <c r="A4292" t="s">
        <v>6036</v>
      </c>
      <c r="B4292" s="2">
        <v>43138</v>
      </c>
      <c r="C4292" t="s">
        <v>1905</v>
      </c>
      <c r="D4292" t="s">
        <v>1810</v>
      </c>
    </row>
    <row r="4293" spans="1:4" x14ac:dyDescent="0.2">
      <c r="A4293" t="s">
        <v>6037</v>
      </c>
      <c r="B4293" s="2">
        <v>43206</v>
      </c>
      <c r="C4293" t="s">
        <v>1836</v>
      </c>
      <c r="D4293" t="s">
        <v>1031</v>
      </c>
    </row>
    <row r="4294" spans="1:4" x14ac:dyDescent="0.2">
      <c r="A4294" t="s">
        <v>6038</v>
      </c>
      <c r="B4294" s="2">
        <v>43026</v>
      </c>
      <c r="C4294" t="s">
        <v>2657</v>
      </c>
      <c r="D4294" t="s">
        <v>1910</v>
      </c>
    </row>
    <row r="4295" spans="1:4" x14ac:dyDescent="0.2">
      <c r="A4295" t="s">
        <v>6039</v>
      </c>
      <c r="B4295" s="2">
        <v>43114</v>
      </c>
      <c r="C4295" t="s">
        <v>2679</v>
      </c>
      <c r="D4295" t="s">
        <v>1810</v>
      </c>
    </row>
    <row r="4296" spans="1:4" x14ac:dyDescent="0.2">
      <c r="A4296" t="s">
        <v>6040</v>
      </c>
      <c r="B4296" s="2">
        <v>43106</v>
      </c>
      <c r="C4296" t="s">
        <v>1803</v>
      </c>
      <c r="D4296" t="s">
        <v>1804</v>
      </c>
    </row>
    <row r="4297" spans="1:4" x14ac:dyDescent="0.2">
      <c r="A4297" t="s">
        <v>6041</v>
      </c>
      <c r="B4297" s="2">
        <v>43159</v>
      </c>
      <c r="C4297" t="s">
        <v>1838</v>
      </c>
      <c r="D4297" t="s">
        <v>1810</v>
      </c>
    </row>
    <row r="4298" spans="1:4" x14ac:dyDescent="0.2">
      <c r="A4298" t="s">
        <v>6042</v>
      </c>
      <c r="B4298" s="2">
        <v>43241</v>
      </c>
      <c r="C4298" t="s">
        <v>1928</v>
      </c>
      <c r="D4298" t="s">
        <v>1810</v>
      </c>
    </row>
    <row r="4299" spans="1:4" x14ac:dyDescent="0.2">
      <c r="A4299" t="s">
        <v>6043</v>
      </c>
      <c r="B4299" s="2">
        <v>43193</v>
      </c>
      <c r="C4299" t="s">
        <v>1816</v>
      </c>
      <c r="D4299" t="s">
        <v>1810</v>
      </c>
    </row>
    <row r="4300" spans="1:4" x14ac:dyDescent="0.2">
      <c r="A4300" t="s">
        <v>6044</v>
      </c>
      <c r="B4300" s="2">
        <v>43141</v>
      </c>
      <c r="C4300" t="s">
        <v>1905</v>
      </c>
      <c r="D4300" t="s">
        <v>1810</v>
      </c>
    </row>
    <row r="4301" spans="1:4" x14ac:dyDescent="0.2">
      <c r="A4301" t="s">
        <v>6045</v>
      </c>
      <c r="B4301" s="2">
        <v>43129</v>
      </c>
      <c r="C4301" t="s">
        <v>2196</v>
      </c>
      <c r="D4301" t="s">
        <v>1810</v>
      </c>
    </row>
    <row r="4302" spans="1:4" x14ac:dyDescent="0.2">
      <c r="A4302" t="s">
        <v>6046</v>
      </c>
      <c r="B4302" s="2">
        <v>43225</v>
      </c>
      <c r="C4302" t="s">
        <v>1863</v>
      </c>
      <c r="D4302" t="s">
        <v>1804</v>
      </c>
    </row>
    <row r="4303" spans="1:4" x14ac:dyDescent="0.2">
      <c r="A4303" t="s">
        <v>6047</v>
      </c>
      <c r="B4303" s="2">
        <v>43049</v>
      </c>
      <c r="C4303" t="s">
        <v>1809</v>
      </c>
      <c r="D4303" t="s">
        <v>1810</v>
      </c>
    </row>
    <row r="4304" spans="1:4" x14ac:dyDescent="0.2">
      <c r="A4304" t="s">
        <v>6048</v>
      </c>
      <c r="B4304" s="2">
        <v>42965</v>
      </c>
      <c r="C4304" t="s">
        <v>1836</v>
      </c>
      <c r="D4304" t="s">
        <v>1031</v>
      </c>
    </row>
    <row r="4305" spans="1:4" x14ac:dyDescent="0.2">
      <c r="A4305" t="s">
        <v>967</v>
      </c>
      <c r="B4305" s="2">
        <v>43165</v>
      </c>
      <c r="C4305" t="s">
        <v>1816</v>
      </c>
      <c r="D4305" t="s">
        <v>1810</v>
      </c>
    </row>
    <row r="4306" spans="1:4" x14ac:dyDescent="0.2">
      <c r="A4306" t="s">
        <v>6049</v>
      </c>
      <c r="B4306" s="2">
        <v>43013</v>
      </c>
      <c r="C4306" t="s">
        <v>1900</v>
      </c>
      <c r="D4306" t="s">
        <v>1910</v>
      </c>
    </row>
    <row r="4307" spans="1:4" x14ac:dyDescent="0.2">
      <c r="A4307" t="s">
        <v>6050</v>
      </c>
      <c r="B4307" s="2">
        <v>42988</v>
      </c>
      <c r="C4307" t="s">
        <v>1885</v>
      </c>
      <c r="D4307" t="s">
        <v>1807</v>
      </c>
    </row>
    <row r="4308" spans="1:4" x14ac:dyDescent="0.2">
      <c r="A4308" t="s">
        <v>6051</v>
      </c>
      <c r="B4308" s="2">
        <v>43160</v>
      </c>
      <c r="C4308" t="s">
        <v>2344</v>
      </c>
      <c r="D4308" t="s">
        <v>1813</v>
      </c>
    </row>
    <row r="4309" spans="1:4" x14ac:dyDescent="0.2">
      <c r="A4309" t="s">
        <v>6052</v>
      </c>
      <c r="B4309" s="2">
        <v>43223</v>
      </c>
      <c r="C4309" t="s">
        <v>1863</v>
      </c>
      <c r="D4309" t="s">
        <v>1804</v>
      </c>
    </row>
    <row r="4310" spans="1:4" x14ac:dyDescent="0.2">
      <c r="A4310" t="s">
        <v>6053</v>
      </c>
      <c r="B4310" s="2">
        <v>43058</v>
      </c>
      <c r="C4310" t="s">
        <v>6054</v>
      </c>
      <c r="D4310" t="s">
        <v>1804</v>
      </c>
    </row>
    <row r="4311" spans="1:4" x14ac:dyDescent="0.2">
      <c r="A4311" t="s">
        <v>6055</v>
      </c>
      <c r="B4311" s="2">
        <v>43206</v>
      </c>
      <c r="C4311" t="s">
        <v>1863</v>
      </c>
      <c r="D4311" t="s">
        <v>1804</v>
      </c>
    </row>
    <row r="4312" spans="1:4" x14ac:dyDescent="0.2">
      <c r="A4312" t="s">
        <v>6056</v>
      </c>
      <c r="B4312" s="2">
        <v>43047</v>
      </c>
      <c r="C4312" t="s">
        <v>1867</v>
      </c>
      <c r="D4312" t="s">
        <v>1810</v>
      </c>
    </row>
    <row r="4313" spans="1:4" x14ac:dyDescent="0.2">
      <c r="A4313" t="s">
        <v>6057</v>
      </c>
      <c r="B4313" s="2">
        <v>43248</v>
      </c>
      <c r="C4313" t="s">
        <v>2831</v>
      </c>
      <c r="D4313" t="s">
        <v>1807</v>
      </c>
    </row>
    <row r="4314" spans="1:4" x14ac:dyDescent="0.2">
      <c r="A4314" t="s">
        <v>6058</v>
      </c>
      <c r="B4314" s="2">
        <v>43148</v>
      </c>
      <c r="C4314" t="s">
        <v>1803</v>
      </c>
      <c r="D4314" t="s">
        <v>1804</v>
      </c>
    </row>
    <row r="4315" spans="1:4" x14ac:dyDescent="0.2">
      <c r="A4315" t="s">
        <v>6059</v>
      </c>
      <c r="B4315" s="2">
        <v>43222</v>
      </c>
      <c r="C4315" t="s">
        <v>1902</v>
      </c>
      <c r="D4315" t="s">
        <v>1829</v>
      </c>
    </row>
    <row r="4316" spans="1:4" x14ac:dyDescent="0.2">
      <c r="A4316" t="s">
        <v>6060</v>
      </c>
      <c r="B4316" s="2">
        <v>43187</v>
      </c>
      <c r="C4316" t="s">
        <v>1907</v>
      </c>
      <c r="D4316" t="s">
        <v>1810</v>
      </c>
    </row>
    <row r="4317" spans="1:4" x14ac:dyDescent="0.2">
      <c r="A4317" t="s">
        <v>6061</v>
      </c>
      <c r="B4317" s="2">
        <v>42965</v>
      </c>
      <c r="C4317" t="s">
        <v>1814</v>
      </c>
      <c r="D4317" t="s">
        <v>1807</v>
      </c>
    </row>
    <row r="4318" spans="1:4" x14ac:dyDescent="0.2">
      <c r="A4318" t="s">
        <v>6062</v>
      </c>
      <c r="B4318" s="2">
        <v>43200</v>
      </c>
      <c r="C4318" t="s">
        <v>2620</v>
      </c>
      <c r="D4318" t="s">
        <v>1807</v>
      </c>
    </row>
    <row r="4319" spans="1:4" x14ac:dyDescent="0.2">
      <c r="A4319" t="s">
        <v>969</v>
      </c>
      <c r="B4319" s="2">
        <v>43164</v>
      </c>
      <c r="C4319" t="s">
        <v>1905</v>
      </c>
      <c r="D4319" t="s">
        <v>1810</v>
      </c>
    </row>
    <row r="4320" spans="1:4" x14ac:dyDescent="0.2">
      <c r="A4320" t="s">
        <v>971</v>
      </c>
      <c r="B4320" s="2">
        <v>43105</v>
      </c>
      <c r="C4320" t="s">
        <v>1905</v>
      </c>
      <c r="D4320" t="s">
        <v>1810</v>
      </c>
    </row>
    <row r="4321" spans="1:4" x14ac:dyDescent="0.2">
      <c r="A4321" t="s">
        <v>6063</v>
      </c>
      <c r="B4321" s="2">
        <v>42965</v>
      </c>
      <c r="C4321" t="s">
        <v>1816</v>
      </c>
      <c r="D4321" t="s">
        <v>1810</v>
      </c>
    </row>
    <row r="4322" spans="1:4" x14ac:dyDescent="0.2">
      <c r="A4322" t="s">
        <v>6064</v>
      </c>
      <c r="B4322" s="2">
        <v>43173</v>
      </c>
      <c r="C4322" t="s">
        <v>2048</v>
      </c>
      <c r="D4322" t="s">
        <v>1810</v>
      </c>
    </row>
    <row r="4323" spans="1:4" x14ac:dyDescent="0.2">
      <c r="A4323" t="s">
        <v>6065</v>
      </c>
      <c r="B4323" s="2">
        <v>43185</v>
      </c>
      <c r="C4323" t="s">
        <v>1987</v>
      </c>
      <c r="D4323" t="s">
        <v>1810</v>
      </c>
    </row>
    <row r="4324" spans="1:4" x14ac:dyDescent="0.2">
      <c r="A4324" t="s">
        <v>6066</v>
      </c>
      <c r="B4324" s="2">
        <v>43145</v>
      </c>
      <c r="C4324" t="s">
        <v>1930</v>
      </c>
      <c r="D4324" t="s">
        <v>1807</v>
      </c>
    </row>
    <row r="4325" spans="1:4" x14ac:dyDescent="0.2">
      <c r="A4325" t="s">
        <v>973</v>
      </c>
      <c r="B4325" s="2">
        <v>43179</v>
      </c>
      <c r="C4325" t="s">
        <v>1930</v>
      </c>
      <c r="D4325" t="s">
        <v>1804</v>
      </c>
    </row>
    <row r="4326" spans="1:4" x14ac:dyDescent="0.2">
      <c r="A4326" t="s">
        <v>6067</v>
      </c>
      <c r="B4326" s="2">
        <v>43143</v>
      </c>
      <c r="C4326" t="s">
        <v>3827</v>
      </c>
      <c r="D4326" t="s">
        <v>1849</v>
      </c>
    </row>
    <row r="4327" spans="1:4" x14ac:dyDescent="0.2">
      <c r="A4327" t="s">
        <v>6068</v>
      </c>
      <c r="B4327" s="2">
        <v>43059</v>
      </c>
      <c r="C4327" t="s">
        <v>1905</v>
      </c>
      <c r="D4327" t="s">
        <v>1031</v>
      </c>
    </row>
    <row r="4328" spans="1:4" x14ac:dyDescent="0.2">
      <c r="A4328" t="s">
        <v>6069</v>
      </c>
      <c r="B4328" s="2">
        <v>43144</v>
      </c>
      <c r="C4328" t="s">
        <v>1867</v>
      </c>
      <c r="D4328" t="s">
        <v>1807</v>
      </c>
    </row>
    <row r="4329" spans="1:4" x14ac:dyDescent="0.2">
      <c r="A4329" t="s">
        <v>6070</v>
      </c>
      <c r="B4329" s="2">
        <v>43166</v>
      </c>
      <c r="C4329" t="s">
        <v>1867</v>
      </c>
      <c r="D4329" t="s">
        <v>1810</v>
      </c>
    </row>
    <row r="4330" spans="1:4" x14ac:dyDescent="0.2">
      <c r="A4330" t="s">
        <v>975</v>
      </c>
      <c r="B4330" s="2">
        <v>43173</v>
      </c>
      <c r="C4330" t="s">
        <v>1816</v>
      </c>
      <c r="D4330" t="s">
        <v>1810</v>
      </c>
    </row>
    <row r="4331" spans="1:4" x14ac:dyDescent="0.2">
      <c r="A4331" t="s">
        <v>6071</v>
      </c>
      <c r="B4331" s="2">
        <v>43153</v>
      </c>
      <c r="C4331" t="s">
        <v>1836</v>
      </c>
      <c r="D4331" t="s">
        <v>1807</v>
      </c>
    </row>
    <row r="4332" spans="1:4" x14ac:dyDescent="0.2">
      <c r="A4332" t="s">
        <v>6072</v>
      </c>
      <c r="B4332" s="2">
        <v>43053</v>
      </c>
      <c r="C4332" t="s">
        <v>1889</v>
      </c>
      <c r="D4332" t="s">
        <v>160</v>
      </c>
    </row>
    <row r="4333" spans="1:4" x14ac:dyDescent="0.2">
      <c r="A4333" t="s">
        <v>6073</v>
      </c>
      <c r="B4333" s="2">
        <v>42926</v>
      </c>
      <c r="C4333" t="s">
        <v>2380</v>
      </c>
      <c r="D4333" t="s">
        <v>1813</v>
      </c>
    </row>
    <row r="4334" spans="1:4" x14ac:dyDescent="0.2">
      <c r="A4334" t="s">
        <v>977</v>
      </c>
      <c r="B4334" s="2">
        <v>43133</v>
      </c>
      <c r="C4334" t="s">
        <v>1836</v>
      </c>
      <c r="D4334" t="s">
        <v>1031</v>
      </c>
    </row>
    <row r="4335" spans="1:4" x14ac:dyDescent="0.2">
      <c r="A4335" t="s">
        <v>6074</v>
      </c>
      <c r="B4335" s="2">
        <v>43126</v>
      </c>
      <c r="C4335" t="s">
        <v>1905</v>
      </c>
      <c r="D4335" t="s">
        <v>1810</v>
      </c>
    </row>
    <row r="4336" spans="1:4" x14ac:dyDescent="0.2">
      <c r="A4336" t="s">
        <v>6075</v>
      </c>
      <c r="B4336" s="2">
        <v>43171</v>
      </c>
      <c r="C4336" t="s">
        <v>2216</v>
      </c>
      <c r="D4336" t="s">
        <v>1807</v>
      </c>
    </row>
    <row r="4337" spans="1:4" x14ac:dyDescent="0.2">
      <c r="A4337" t="s">
        <v>6076</v>
      </c>
      <c r="B4337" s="2">
        <v>43250</v>
      </c>
      <c r="C4337" t="s">
        <v>3390</v>
      </c>
      <c r="D4337" t="s">
        <v>1031</v>
      </c>
    </row>
    <row r="4338" spans="1:4" x14ac:dyDescent="0.2">
      <c r="A4338" t="s">
        <v>6077</v>
      </c>
      <c r="B4338" s="2">
        <v>43203</v>
      </c>
      <c r="C4338" t="s">
        <v>1836</v>
      </c>
      <c r="D4338" t="s">
        <v>1810</v>
      </c>
    </row>
    <row r="4339" spans="1:4" x14ac:dyDescent="0.2">
      <c r="A4339" t="s">
        <v>6078</v>
      </c>
      <c r="B4339" s="2">
        <v>43154</v>
      </c>
      <c r="C4339" t="s">
        <v>1836</v>
      </c>
      <c r="D4339" t="s">
        <v>1031</v>
      </c>
    </row>
    <row r="4340" spans="1:4" x14ac:dyDescent="0.2">
      <c r="A4340" t="s">
        <v>6079</v>
      </c>
      <c r="B4340" s="2">
        <v>43211</v>
      </c>
      <c r="C4340" t="s">
        <v>6080</v>
      </c>
      <c r="D4340" t="s">
        <v>1807</v>
      </c>
    </row>
    <row r="4341" spans="1:4" x14ac:dyDescent="0.2">
      <c r="A4341" t="s">
        <v>6081</v>
      </c>
      <c r="B4341" s="2">
        <v>43131</v>
      </c>
      <c r="C4341" t="s">
        <v>1921</v>
      </c>
      <c r="D4341" t="s">
        <v>1807</v>
      </c>
    </row>
    <row r="4342" spans="1:4" x14ac:dyDescent="0.2">
      <c r="A4342" t="s">
        <v>979</v>
      </c>
      <c r="B4342" s="2">
        <v>43209</v>
      </c>
      <c r="C4342" t="s">
        <v>1836</v>
      </c>
      <c r="D4342" t="s">
        <v>1031</v>
      </c>
    </row>
    <row r="4343" spans="1:4" x14ac:dyDescent="0.2">
      <c r="A4343" t="s">
        <v>6082</v>
      </c>
      <c r="B4343" s="2">
        <v>43130</v>
      </c>
      <c r="C4343" t="s">
        <v>1803</v>
      </c>
      <c r="D4343" t="s">
        <v>1804</v>
      </c>
    </row>
    <row r="4344" spans="1:4" x14ac:dyDescent="0.2">
      <c r="A4344" t="s">
        <v>6083</v>
      </c>
      <c r="B4344" s="2">
        <v>43105</v>
      </c>
      <c r="C4344" t="s">
        <v>1897</v>
      </c>
      <c r="D4344" t="s">
        <v>1810</v>
      </c>
    </row>
    <row r="4345" spans="1:4" x14ac:dyDescent="0.2">
      <c r="A4345" t="s">
        <v>6084</v>
      </c>
      <c r="B4345" s="2">
        <v>43028</v>
      </c>
      <c r="C4345" t="s">
        <v>2242</v>
      </c>
      <c r="D4345" t="s">
        <v>1810</v>
      </c>
    </row>
    <row r="4346" spans="1:4" x14ac:dyDescent="0.2">
      <c r="A4346" t="s">
        <v>6085</v>
      </c>
      <c r="B4346" s="2">
        <v>43153</v>
      </c>
      <c r="C4346" t="s">
        <v>1921</v>
      </c>
      <c r="D4346" t="s">
        <v>1840</v>
      </c>
    </row>
    <row r="4347" spans="1:4" x14ac:dyDescent="0.2">
      <c r="A4347" t="s">
        <v>6086</v>
      </c>
      <c r="B4347" s="2">
        <v>43061</v>
      </c>
      <c r="C4347" t="s">
        <v>1803</v>
      </c>
      <c r="D4347" t="s">
        <v>1804</v>
      </c>
    </row>
    <row r="4348" spans="1:4" x14ac:dyDescent="0.2">
      <c r="A4348" t="s">
        <v>6087</v>
      </c>
      <c r="B4348" s="2">
        <v>42950</v>
      </c>
      <c r="C4348" t="s">
        <v>1867</v>
      </c>
      <c r="D4348" t="s">
        <v>1807</v>
      </c>
    </row>
    <row r="4349" spans="1:4" x14ac:dyDescent="0.2">
      <c r="A4349" t="s">
        <v>6088</v>
      </c>
      <c r="B4349" s="2">
        <v>43140</v>
      </c>
      <c r="C4349" t="s">
        <v>1816</v>
      </c>
      <c r="D4349" t="s">
        <v>1810</v>
      </c>
    </row>
    <row r="4350" spans="1:4" x14ac:dyDescent="0.2">
      <c r="A4350" t="s">
        <v>981</v>
      </c>
      <c r="B4350" s="2">
        <v>43221</v>
      </c>
      <c r="C4350" t="s">
        <v>1836</v>
      </c>
      <c r="D4350" t="s">
        <v>1031</v>
      </c>
    </row>
    <row r="4351" spans="1:4" x14ac:dyDescent="0.2">
      <c r="A4351" t="s">
        <v>6089</v>
      </c>
      <c r="B4351" s="2">
        <v>43160</v>
      </c>
      <c r="C4351" t="s">
        <v>1806</v>
      </c>
      <c r="D4351" t="s">
        <v>1807</v>
      </c>
    </row>
    <row r="4352" spans="1:4" x14ac:dyDescent="0.2">
      <c r="A4352" t="s">
        <v>6090</v>
      </c>
      <c r="B4352" s="2">
        <v>43195</v>
      </c>
      <c r="C4352" t="s">
        <v>2196</v>
      </c>
      <c r="D4352" t="s">
        <v>1810</v>
      </c>
    </row>
    <row r="4353" spans="1:4" x14ac:dyDescent="0.2">
      <c r="A4353" t="s">
        <v>6091</v>
      </c>
      <c r="B4353" s="2">
        <v>43111</v>
      </c>
      <c r="C4353" t="s">
        <v>3457</v>
      </c>
      <c r="D4353" t="s">
        <v>1813</v>
      </c>
    </row>
    <row r="4354" spans="1:4" x14ac:dyDescent="0.2">
      <c r="A4354" t="s">
        <v>6092</v>
      </c>
      <c r="B4354" s="2">
        <v>43192</v>
      </c>
      <c r="C4354" t="s">
        <v>2829</v>
      </c>
      <c r="D4354" t="s">
        <v>1829</v>
      </c>
    </row>
    <row r="4355" spans="1:4" x14ac:dyDescent="0.2">
      <c r="A4355" t="s">
        <v>6093</v>
      </c>
      <c r="B4355" s="2">
        <v>43158</v>
      </c>
      <c r="C4355" t="s">
        <v>1905</v>
      </c>
      <c r="D4355" t="s">
        <v>1849</v>
      </c>
    </row>
    <row r="4356" spans="1:4" x14ac:dyDescent="0.2">
      <c r="A4356" t="s">
        <v>6094</v>
      </c>
      <c r="B4356" s="2">
        <v>42996</v>
      </c>
      <c r="C4356" t="s">
        <v>1816</v>
      </c>
      <c r="D4356" t="s">
        <v>1810</v>
      </c>
    </row>
    <row r="4357" spans="1:4" x14ac:dyDescent="0.2">
      <c r="A4357" t="s">
        <v>6095</v>
      </c>
      <c r="B4357" s="2">
        <v>43202</v>
      </c>
      <c r="C4357" t="s">
        <v>1905</v>
      </c>
      <c r="D4357" t="s">
        <v>1810</v>
      </c>
    </row>
    <row r="4358" spans="1:4" x14ac:dyDescent="0.2">
      <c r="A4358" t="s">
        <v>983</v>
      </c>
      <c r="B4358" s="2">
        <v>43243</v>
      </c>
      <c r="C4358" t="s">
        <v>1836</v>
      </c>
      <c r="D4358" t="s">
        <v>1810</v>
      </c>
    </row>
    <row r="4359" spans="1:4" x14ac:dyDescent="0.2">
      <c r="A4359" t="s">
        <v>6096</v>
      </c>
      <c r="B4359" s="2">
        <v>43162</v>
      </c>
      <c r="C4359" t="s">
        <v>2115</v>
      </c>
      <c r="D4359" t="s">
        <v>1804</v>
      </c>
    </row>
    <row r="4360" spans="1:4" x14ac:dyDescent="0.2">
      <c r="A4360" t="s">
        <v>6097</v>
      </c>
      <c r="B4360" s="2">
        <v>43111</v>
      </c>
      <c r="C4360" t="s">
        <v>1816</v>
      </c>
      <c r="D4360" t="s">
        <v>1810</v>
      </c>
    </row>
    <row r="4361" spans="1:4" x14ac:dyDescent="0.2">
      <c r="A4361" t="s">
        <v>6098</v>
      </c>
      <c r="B4361" s="2">
        <v>43101</v>
      </c>
      <c r="C4361" t="s">
        <v>1803</v>
      </c>
      <c r="D4361" t="s">
        <v>1804</v>
      </c>
    </row>
    <row r="4362" spans="1:4" x14ac:dyDescent="0.2">
      <c r="A4362" t="s">
        <v>6099</v>
      </c>
      <c r="B4362" s="2">
        <v>43048</v>
      </c>
      <c r="C4362" t="s">
        <v>1939</v>
      </c>
      <c r="D4362" t="s">
        <v>1810</v>
      </c>
    </row>
    <row r="4363" spans="1:4" x14ac:dyDescent="0.2">
      <c r="A4363" t="s">
        <v>6100</v>
      </c>
      <c r="B4363" s="2">
        <v>43248</v>
      </c>
      <c r="C4363" t="s">
        <v>1863</v>
      </c>
      <c r="D4363" t="s">
        <v>1804</v>
      </c>
    </row>
    <row r="4364" spans="1:4" x14ac:dyDescent="0.2">
      <c r="A4364" t="s">
        <v>6101</v>
      </c>
      <c r="B4364" s="2">
        <v>43102</v>
      </c>
      <c r="C4364" t="s">
        <v>6102</v>
      </c>
      <c r="D4364" t="s">
        <v>160</v>
      </c>
    </row>
    <row r="4365" spans="1:4" x14ac:dyDescent="0.2">
      <c r="A4365" t="s">
        <v>6103</v>
      </c>
      <c r="B4365" s="2">
        <v>43108</v>
      </c>
      <c r="C4365" t="s">
        <v>1816</v>
      </c>
      <c r="D4365" t="s">
        <v>1810</v>
      </c>
    </row>
    <row r="4366" spans="1:4" x14ac:dyDescent="0.2">
      <c r="A4366" t="s">
        <v>6104</v>
      </c>
      <c r="B4366" s="2">
        <v>42936</v>
      </c>
      <c r="C4366" t="s">
        <v>1843</v>
      </c>
      <c r="D4366" t="s">
        <v>1807</v>
      </c>
    </row>
    <row r="4367" spans="1:4" x14ac:dyDescent="0.2">
      <c r="A4367" t="s">
        <v>6105</v>
      </c>
      <c r="B4367" s="2">
        <v>43164</v>
      </c>
      <c r="C4367" t="s">
        <v>1885</v>
      </c>
      <c r="D4367" t="s">
        <v>1807</v>
      </c>
    </row>
    <row r="4368" spans="1:4" x14ac:dyDescent="0.2">
      <c r="A4368" t="s">
        <v>6106</v>
      </c>
      <c r="B4368" s="2">
        <v>42970</v>
      </c>
      <c r="C4368" t="s">
        <v>1939</v>
      </c>
      <c r="D4368" t="s">
        <v>1804</v>
      </c>
    </row>
    <row r="4369" spans="1:4" x14ac:dyDescent="0.2">
      <c r="A4369" t="s">
        <v>6107</v>
      </c>
      <c r="B4369" s="2">
        <v>43116</v>
      </c>
      <c r="C4369" t="s">
        <v>1816</v>
      </c>
      <c r="D4369" t="s">
        <v>1840</v>
      </c>
    </row>
    <row r="4370" spans="1:4" x14ac:dyDescent="0.2">
      <c r="A4370" t="s">
        <v>985</v>
      </c>
      <c r="B4370" s="2">
        <v>43227</v>
      </c>
      <c r="C4370" t="s">
        <v>1825</v>
      </c>
      <c r="D4370" t="s">
        <v>1810</v>
      </c>
    </row>
    <row r="4371" spans="1:4" x14ac:dyDescent="0.2">
      <c r="A4371" t="s">
        <v>6108</v>
      </c>
      <c r="B4371" s="2">
        <v>42925</v>
      </c>
      <c r="C4371" t="s">
        <v>3019</v>
      </c>
      <c r="D4371" t="s">
        <v>1807</v>
      </c>
    </row>
    <row r="4372" spans="1:4" x14ac:dyDescent="0.2">
      <c r="A4372" t="s">
        <v>6109</v>
      </c>
      <c r="B4372" s="2">
        <v>42982</v>
      </c>
      <c r="C4372" t="s">
        <v>1816</v>
      </c>
      <c r="D4372" t="s">
        <v>1810</v>
      </c>
    </row>
    <row r="4373" spans="1:4" x14ac:dyDescent="0.2">
      <c r="A4373" t="s">
        <v>6110</v>
      </c>
      <c r="B4373" s="2">
        <v>43224</v>
      </c>
      <c r="C4373" t="s">
        <v>1867</v>
      </c>
      <c r="D4373" t="s">
        <v>1810</v>
      </c>
    </row>
    <row r="4374" spans="1:4" x14ac:dyDescent="0.2">
      <c r="A4374" t="s">
        <v>6111</v>
      </c>
      <c r="B4374" s="2">
        <v>43243</v>
      </c>
      <c r="C4374" t="s">
        <v>1998</v>
      </c>
      <c r="D4374" t="s">
        <v>1807</v>
      </c>
    </row>
    <row r="4375" spans="1:4" x14ac:dyDescent="0.2">
      <c r="A4375" t="s">
        <v>6112</v>
      </c>
      <c r="B4375" s="2">
        <v>43139</v>
      </c>
      <c r="C4375" t="s">
        <v>1803</v>
      </c>
      <c r="D4375" t="s">
        <v>1804</v>
      </c>
    </row>
    <row r="4376" spans="1:4" x14ac:dyDescent="0.2">
      <c r="A4376" t="s">
        <v>6113</v>
      </c>
      <c r="B4376" s="2">
        <v>43153</v>
      </c>
      <c r="C4376" t="s">
        <v>2249</v>
      </c>
      <c r="D4376" t="s">
        <v>1813</v>
      </c>
    </row>
    <row r="4377" spans="1:4" x14ac:dyDescent="0.2">
      <c r="A4377" t="s">
        <v>6114</v>
      </c>
      <c r="B4377" s="2">
        <v>43124</v>
      </c>
      <c r="C4377" t="s">
        <v>1865</v>
      </c>
      <c r="D4377" t="s">
        <v>1829</v>
      </c>
    </row>
    <row r="4378" spans="1:4" x14ac:dyDescent="0.2">
      <c r="A4378" t="s">
        <v>6115</v>
      </c>
      <c r="B4378" s="2">
        <v>43172</v>
      </c>
      <c r="C4378" t="s">
        <v>1905</v>
      </c>
      <c r="D4378" t="s">
        <v>1810</v>
      </c>
    </row>
    <row r="4379" spans="1:4" x14ac:dyDescent="0.2">
      <c r="A4379" t="s">
        <v>6116</v>
      </c>
      <c r="B4379" s="2">
        <v>43117</v>
      </c>
      <c r="C4379" t="s">
        <v>1803</v>
      </c>
      <c r="D4379" t="s">
        <v>1804</v>
      </c>
    </row>
    <row r="4380" spans="1:4" x14ac:dyDescent="0.2">
      <c r="A4380" t="s">
        <v>6117</v>
      </c>
      <c r="B4380" s="2">
        <v>43147</v>
      </c>
      <c r="C4380" t="s">
        <v>2074</v>
      </c>
      <c r="D4380" t="s">
        <v>1810</v>
      </c>
    </row>
    <row r="4381" spans="1:4" x14ac:dyDescent="0.2">
      <c r="A4381" t="s">
        <v>6118</v>
      </c>
      <c r="B4381" s="2">
        <v>43021</v>
      </c>
      <c r="C4381" t="s">
        <v>2657</v>
      </c>
      <c r="D4381" t="s">
        <v>1810</v>
      </c>
    </row>
    <row r="4382" spans="1:4" x14ac:dyDescent="0.2">
      <c r="A4382" t="s">
        <v>6119</v>
      </c>
      <c r="B4382" s="2">
        <v>43187</v>
      </c>
      <c r="C4382" t="s">
        <v>1828</v>
      </c>
      <c r="D4382" t="s">
        <v>1810</v>
      </c>
    </row>
    <row r="4383" spans="1:4" x14ac:dyDescent="0.2">
      <c r="A4383" t="s">
        <v>987</v>
      </c>
      <c r="B4383" s="2">
        <v>43210</v>
      </c>
      <c r="C4383" t="s">
        <v>1836</v>
      </c>
      <c r="D4383" t="s">
        <v>1031</v>
      </c>
    </row>
    <row r="4384" spans="1:4" x14ac:dyDescent="0.2">
      <c r="A4384" t="s">
        <v>6120</v>
      </c>
      <c r="B4384" s="2">
        <v>43244</v>
      </c>
      <c r="C4384" t="s">
        <v>1998</v>
      </c>
      <c r="D4384" t="s">
        <v>1807</v>
      </c>
    </row>
    <row r="4385" spans="1:4" x14ac:dyDescent="0.2">
      <c r="A4385" t="s">
        <v>6121</v>
      </c>
      <c r="B4385" s="2">
        <v>43179</v>
      </c>
      <c r="C4385" t="s">
        <v>3430</v>
      </c>
      <c r="D4385" t="s">
        <v>1813</v>
      </c>
    </row>
    <row r="4386" spans="1:4" x14ac:dyDescent="0.2">
      <c r="A4386" t="s">
        <v>989</v>
      </c>
      <c r="B4386" s="2">
        <v>43166</v>
      </c>
      <c r="C4386" t="s">
        <v>1816</v>
      </c>
      <c r="D4386" t="s">
        <v>1031</v>
      </c>
    </row>
    <row r="4387" spans="1:4" x14ac:dyDescent="0.2">
      <c r="A4387" t="s">
        <v>6122</v>
      </c>
      <c r="B4387" s="2">
        <v>43215</v>
      </c>
      <c r="C4387" t="s">
        <v>2048</v>
      </c>
      <c r="D4387" t="s">
        <v>1810</v>
      </c>
    </row>
    <row r="4388" spans="1:4" x14ac:dyDescent="0.2">
      <c r="A4388" t="s">
        <v>6123</v>
      </c>
      <c r="B4388" s="2">
        <v>43186</v>
      </c>
      <c r="C4388" t="s">
        <v>1930</v>
      </c>
      <c r="D4388" t="s">
        <v>1807</v>
      </c>
    </row>
    <row r="4389" spans="1:4" x14ac:dyDescent="0.2">
      <c r="A4389" t="s">
        <v>6124</v>
      </c>
      <c r="B4389" s="2">
        <v>42991</v>
      </c>
      <c r="C4389" t="s">
        <v>1809</v>
      </c>
      <c r="D4389" t="s">
        <v>1810</v>
      </c>
    </row>
    <row r="4390" spans="1:4" x14ac:dyDescent="0.2">
      <c r="A4390" t="s">
        <v>6125</v>
      </c>
      <c r="B4390" s="2">
        <v>43152</v>
      </c>
      <c r="C4390" t="s">
        <v>1803</v>
      </c>
      <c r="D4390" t="s">
        <v>1804</v>
      </c>
    </row>
    <row r="4391" spans="1:4" x14ac:dyDescent="0.2">
      <c r="A4391" t="s">
        <v>6126</v>
      </c>
      <c r="B4391" s="2">
        <v>43096</v>
      </c>
      <c r="C4391" t="s">
        <v>1930</v>
      </c>
      <c r="D4391" t="s">
        <v>1810</v>
      </c>
    </row>
    <row r="4392" spans="1:4" x14ac:dyDescent="0.2">
      <c r="A4392" t="s">
        <v>6127</v>
      </c>
      <c r="B4392" s="2">
        <v>43146</v>
      </c>
      <c r="C4392" t="s">
        <v>1816</v>
      </c>
      <c r="D4392" t="s">
        <v>1810</v>
      </c>
    </row>
    <row r="4393" spans="1:4" x14ac:dyDescent="0.2">
      <c r="A4393" t="s">
        <v>6128</v>
      </c>
      <c r="B4393" s="2">
        <v>43132</v>
      </c>
      <c r="C4393" t="s">
        <v>1803</v>
      </c>
      <c r="D4393" t="s">
        <v>1804</v>
      </c>
    </row>
    <row r="4394" spans="1:4" x14ac:dyDescent="0.2">
      <c r="A4394" t="s">
        <v>6129</v>
      </c>
      <c r="B4394" s="2">
        <v>43228</v>
      </c>
      <c r="C4394" t="s">
        <v>1816</v>
      </c>
      <c r="D4394" t="s">
        <v>1810</v>
      </c>
    </row>
    <row r="4395" spans="1:4" x14ac:dyDescent="0.2">
      <c r="A4395" t="s">
        <v>6130</v>
      </c>
      <c r="B4395" s="2">
        <v>43065</v>
      </c>
      <c r="C4395" t="s">
        <v>2187</v>
      </c>
      <c r="D4395" t="s">
        <v>1807</v>
      </c>
    </row>
    <row r="4396" spans="1:4" x14ac:dyDescent="0.2">
      <c r="A4396" t="s">
        <v>6131</v>
      </c>
      <c r="B4396" s="2">
        <v>43197</v>
      </c>
      <c r="C4396" t="s">
        <v>1863</v>
      </c>
      <c r="D4396" t="s">
        <v>1804</v>
      </c>
    </row>
    <row r="4397" spans="1:4" x14ac:dyDescent="0.2">
      <c r="A4397" t="s">
        <v>6132</v>
      </c>
      <c r="B4397" s="2">
        <v>43110</v>
      </c>
      <c r="C4397" t="s">
        <v>1905</v>
      </c>
      <c r="D4397" t="s">
        <v>1810</v>
      </c>
    </row>
    <row r="4398" spans="1:4" x14ac:dyDescent="0.2">
      <c r="A4398" t="s">
        <v>6133</v>
      </c>
      <c r="B4398" s="2">
        <v>43231</v>
      </c>
      <c r="C4398" t="s">
        <v>1863</v>
      </c>
      <c r="D4398" t="s">
        <v>1804</v>
      </c>
    </row>
    <row r="4399" spans="1:4" x14ac:dyDescent="0.2">
      <c r="A4399" t="s">
        <v>6134</v>
      </c>
      <c r="B4399" s="2">
        <v>43118</v>
      </c>
      <c r="C4399" t="s">
        <v>1836</v>
      </c>
      <c r="D4399" t="s">
        <v>1031</v>
      </c>
    </row>
    <row r="4400" spans="1:4" x14ac:dyDescent="0.2">
      <c r="A4400" t="s">
        <v>6135</v>
      </c>
      <c r="B4400" s="2">
        <v>43155</v>
      </c>
      <c r="C4400" t="s">
        <v>1816</v>
      </c>
      <c r="D4400" t="s">
        <v>1810</v>
      </c>
    </row>
    <row r="4401" spans="1:4" x14ac:dyDescent="0.2">
      <c r="A4401" t="s">
        <v>6136</v>
      </c>
      <c r="B4401" s="2">
        <v>43199</v>
      </c>
      <c r="C4401" t="s">
        <v>1863</v>
      </c>
      <c r="D4401" t="s">
        <v>1804</v>
      </c>
    </row>
    <row r="4402" spans="1:4" x14ac:dyDescent="0.2">
      <c r="A4402" t="s">
        <v>6137</v>
      </c>
      <c r="B4402" s="2">
        <v>43102</v>
      </c>
      <c r="C4402" t="s">
        <v>1831</v>
      </c>
      <c r="D4402" t="s">
        <v>1810</v>
      </c>
    </row>
    <row r="4403" spans="1:4" x14ac:dyDescent="0.2">
      <c r="A4403" t="s">
        <v>991</v>
      </c>
      <c r="B4403" s="2">
        <v>43086</v>
      </c>
      <c r="C4403" t="s">
        <v>1905</v>
      </c>
      <c r="D4403" t="s">
        <v>1840</v>
      </c>
    </row>
    <row r="4404" spans="1:4" x14ac:dyDescent="0.2">
      <c r="A4404" t="s">
        <v>6138</v>
      </c>
      <c r="B4404" s="2">
        <v>43134</v>
      </c>
      <c r="C4404" t="s">
        <v>1930</v>
      </c>
      <c r="D4404" t="s">
        <v>1810</v>
      </c>
    </row>
    <row r="4405" spans="1:4" x14ac:dyDescent="0.2">
      <c r="A4405" t="s">
        <v>6139</v>
      </c>
      <c r="B4405" s="2">
        <v>43138</v>
      </c>
      <c r="C4405" t="s">
        <v>2242</v>
      </c>
      <c r="D4405" t="s">
        <v>1840</v>
      </c>
    </row>
    <row r="4406" spans="1:4" x14ac:dyDescent="0.2">
      <c r="A4406" t="s">
        <v>6140</v>
      </c>
      <c r="B4406" s="2">
        <v>43110</v>
      </c>
      <c r="C4406" t="s">
        <v>1836</v>
      </c>
      <c r="D4406" t="s">
        <v>1031</v>
      </c>
    </row>
    <row r="4407" spans="1:4" x14ac:dyDescent="0.2">
      <c r="A4407" t="s">
        <v>6141</v>
      </c>
      <c r="B4407" s="2">
        <v>43055</v>
      </c>
      <c r="C4407" t="s">
        <v>1905</v>
      </c>
      <c r="D4407" t="s">
        <v>1807</v>
      </c>
    </row>
    <row r="4408" spans="1:4" x14ac:dyDescent="0.2">
      <c r="A4408" t="s">
        <v>6142</v>
      </c>
      <c r="B4408" s="2">
        <v>42927</v>
      </c>
      <c r="C4408" t="s">
        <v>3019</v>
      </c>
      <c r="D4408" t="s">
        <v>1807</v>
      </c>
    </row>
    <row r="4409" spans="1:4" x14ac:dyDescent="0.2">
      <c r="A4409" t="s">
        <v>6143</v>
      </c>
      <c r="B4409" s="2">
        <v>43046</v>
      </c>
      <c r="C4409" t="s">
        <v>1816</v>
      </c>
      <c r="D4409" t="s">
        <v>1807</v>
      </c>
    </row>
    <row r="4410" spans="1:4" x14ac:dyDescent="0.2">
      <c r="A4410" t="s">
        <v>6144</v>
      </c>
      <c r="B4410" s="2">
        <v>43213</v>
      </c>
      <c r="C4410" t="s">
        <v>6080</v>
      </c>
      <c r="D4410" t="s">
        <v>1807</v>
      </c>
    </row>
    <row r="4411" spans="1:4" x14ac:dyDescent="0.2">
      <c r="A4411" t="s">
        <v>6145</v>
      </c>
      <c r="B4411" s="2">
        <v>42936</v>
      </c>
      <c r="C4411" t="s">
        <v>1836</v>
      </c>
      <c r="D4411" t="s">
        <v>1031</v>
      </c>
    </row>
    <row r="4412" spans="1:4" x14ac:dyDescent="0.2">
      <c r="A4412" t="s">
        <v>993</v>
      </c>
      <c r="B4412" s="2">
        <v>43179</v>
      </c>
      <c r="C4412" t="s">
        <v>1905</v>
      </c>
      <c r="D4412" t="s">
        <v>1810</v>
      </c>
    </row>
    <row r="4413" spans="1:4" x14ac:dyDescent="0.2">
      <c r="A4413" t="s">
        <v>6146</v>
      </c>
      <c r="B4413" s="2">
        <v>43200</v>
      </c>
      <c r="C4413" t="s">
        <v>1832</v>
      </c>
      <c r="D4413" t="s">
        <v>1810</v>
      </c>
    </row>
    <row r="4414" spans="1:4" x14ac:dyDescent="0.2">
      <c r="A4414" t="s">
        <v>6147</v>
      </c>
      <c r="B4414" s="2">
        <v>43201</v>
      </c>
      <c r="C4414" t="s">
        <v>1905</v>
      </c>
      <c r="D4414" t="s">
        <v>1810</v>
      </c>
    </row>
    <row r="4415" spans="1:4" x14ac:dyDescent="0.2">
      <c r="A4415" t="s">
        <v>6148</v>
      </c>
      <c r="B4415" s="2">
        <v>43104</v>
      </c>
      <c r="C4415" t="s">
        <v>1930</v>
      </c>
      <c r="D4415" t="s">
        <v>1910</v>
      </c>
    </row>
    <row r="4416" spans="1:4" x14ac:dyDescent="0.2">
      <c r="A4416" t="s">
        <v>995</v>
      </c>
      <c r="B4416" s="2">
        <v>43111</v>
      </c>
      <c r="C4416" t="s">
        <v>1836</v>
      </c>
      <c r="D4416" t="s">
        <v>1031</v>
      </c>
    </row>
    <row r="4417" spans="1:4" x14ac:dyDescent="0.2">
      <c r="A4417" t="s">
        <v>6149</v>
      </c>
      <c r="B4417" s="2">
        <v>43230</v>
      </c>
      <c r="C4417" t="s">
        <v>6150</v>
      </c>
      <c r="D4417" t="s">
        <v>1840</v>
      </c>
    </row>
    <row r="4418" spans="1:4" x14ac:dyDescent="0.2">
      <c r="A4418" t="s">
        <v>6151</v>
      </c>
      <c r="B4418" s="2">
        <v>42995</v>
      </c>
      <c r="C4418" t="s">
        <v>1825</v>
      </c>
      <c r="D4418" t="s">
        <v>1031</v>
      </c>
    </row>
    <row r="4419" spans="1:4" x14ac:dyDescent="0.2">
      <c r="A4419" t="s">
        <v>6152</v>
      </c>
      <c r="B4419" s="2">
        <v>43236</v>
      </c>
      <c r="C4419" t="s">
        <v>1818</v>
      </c>
      <c r="D4419" t="s">
        <v>1813</v>
      </c>
    </row>
    <row r="4420" spans="1:4" x14ac:dyDescent="0.2">
      <c r="A4420" t="s">
        <v>6153</v>
      </c>
      <c r="B4420" s="2">
        <v>43241</v>
      </c>
      <c r="C4420" t="s">
        <v>1928</v>
      </c>
      <c r="D4420" t="s">
        <v>1813</v>
      </c>
    </row>
    <row r="4421" spans="1:4" x14ac:dyDescent="0.2">
      <c r="A4421" t="s">
        <v>6154</v>
      </c>
      <c r="B4421" s="2">
        <v>43151</v>
      </c>
      <c r="C4421" t="s">
        <v>1825</v>
      </c>
      <c r="D4421" t="s">
        <v>1810</v>
      </c>
    </row>
    <row r="4422" spans="1:4" x14ac:dyDescent="0.2">
      <c r="A4422" t="s">
        <v>6155</v>
      </c>
      <c r="B4422" s="2">
        <v>43224</v>
      </c>
      <c r="C4422" t="s">
        <v>2204</v>
      </c>
      <c r="D4422" t="s">
        <v>1849</v>
      </c>
    </row>
    <row r="4423" spans="1:4" x14ac:dyDescent="0.2">
      <c r="A4423" t="s">
        <v>6156</v>
      </c>
      <c r="B4423" s="2">
        <v>43056</v>
      </c>
      <c r="C4423" t="s">
        <v>1889</v>
      </c>
      <c r="D4423" t="s">
        <v>1031</v>
      </c>
    </row>
    <row r="4424" spans="1:4" x14ac:dyDescent="0.2">
      <c r="A4424" t="s">
        <v>997</v>
      </c>
      <c r="B4424" s="2">
        <v>43137</v>
      </c>
      <c r="C4424" t="s">
        <v>1865</v>
      </c>
      <c r="D4424" t="s">
        <v>1031</v>
      </c>
    </row>
    <row r="4425" spans="1:4" x14ac:dyDescent="0.2">
      <c r="A4425" t="s">
        <v>6157</v>
      </c>
      <c r="B4425" s="2">
        <v>43115</v>
      </c>
      <c r="C4425" t="s">
        <v>1809</v>
      </c>
      <c r="D4425" t="s">
        <v>1849</v>
      </c>
    </row>
    <row r="4426" spans="1:4" x14ac:dyDescent="0.2">
      <c r="A4426" t="s">
        <v>6158</v>
      </c>
      <c r="B4426" s="2">
        <v>43063</v>
      </c>
      <c r="C4426" t="s">
        <v>1885</v>
      </c>
      <c r="D4426" t="s">
        <v>1807</v>
      </c>
    </row>
    <row r="4427" spans="1:4" x14ac:dyDescent="0.2">
      <c r="A4427" t="s">
        <v>999</v>
      </c>
      <c r="B4427" s="2">
        <v>43215</v>
      </c>
      <c r="C4427" t="s">
        <v>1816</v>
      </c>
      <c r="D4427" t="s">
        <v>1810</v>
      </c>
    </row>
    <row r="4428" spans="1:4" x14ac:dyDescent="0.2">
      <c r="A4428" t="s">
        <v>6159</v>
      </c>
      <c r="B4428" s="2">
        <v>43051</v>
      </c>
      <c r="C4428" t="s">
        <v>1803</v>
      </c>
      <c r="D4428" t="s">
        <v>1804</v>
      </c>
    </row>
    <row r="4429" spans="1:4" x14ac:dyDescent="0.2">
      <c r="A4429" t="s">
        <v>6160</v>
      </c>
      <c r="B4429" s="2">
        <v>43209</v>
      </c>
      <c r="C4429" t="s">
        <v>2158</v>
      </c>
      <c r="D4429" t="s">
        <v>1840</v>
      </c>
    </row>
    <row r="4430" spans="1:4" x14ac:dyDescent="0.2">
      <c r="A4430" t="s">
        <v>6161</v>
      </c>
      <c r="B4430" s="2">
        <v>43199</v>
      </c>
      <c r="C4430" t="s">
        <v>3857</v>
      </c>
      <c r="D4430" t="s">
        <v>1796</v>
      </c>
    </row>
    <row r="4431" spans="1:4" x14ac:dyDescent="0.2">
      <c r="A4431" t="s">
        <v>6162</v>
      </c>
      <c r="B4431" s="2">
        <v>43197</v>
      </c>
      <c r="C4431" t="s">
        <v>1863</v>
      </c>
      <c r="D4431" t="s">
        <v>1804</v>
      </c>
    </row>
    <row r="4432" spans="1:4" x14ac:dyDescent="0.2">
      <c r="A4432" t="s">
        <v>6163</v>
      </c>
      <c r="B4432" s="2">
        <v>43138</v>
      </c>
      <c r="C4432" t="s">
        <v>1836</v>
      </c>
      <c r="D4432" t="s">
        <v>1031</v>
      </c>
    </row>
    <row r="4433" spans="1:4" x14ac:dyDescent="0.2">
      <c r="A4433" t="s">
        <v>6164</v>
      </c>
      <c r="B4433" s="2">
        <v>43230</v>
      </c>
      <c r="C4433" t="s">
        <v>3193</v>
      </c>
      <c r="D4433" t="s">
        <v>1840</v>
      </c>
    </row>
    <row r="4434" spans="1:4" x14ac:dyDescent="0.2">
      <c r="A4434" t="s">
        <v>6165</v>
      </c>
      <c r="B4434" s="2">
        <v>43235</v>
      </c>
      <c r="C4434" t="s">
        <v>1818</v>
      </c>
      <c r="D4434" t="s">
        <v>1031</v>
      </c>
    </row>
    <row r="4435" spans="1:4" x14ac:dyDescent="0.2">
      <c r="A4435" t="s">
        <v>6166</v>
      </c>
      <c r="B4435" s="2">
        <v>43178</v>
      </c>
      <c r="C4435" t="s">
        <v>2023</v>
      </c>
      <c r="D4435" t="s">
        <v>1804</v>
      </c>
    </row>
    <row r="4436" spans="1:4" x14ac:dyDescent="0.2">
      <c r="A4436" t="s">
        <v>1001</v>
      </c>
      <c r="B4436" s="2">
        <v>43160</v>
      </c>
      <c r="C4436" t="s">
        <v>1836</v>
      </c>
      <c r="D4436" t="s">
        <v>1031</v>
      </c>
    </row>
    <row r="4437" spans="1:4" x14ac:dyDescent="0.2">
      <c r="A4437" t="s">
        <v>6167</v>
      </c>
      <c r="B4437" s="2">
        <v>43228</v>
      </c>
      <c r="C4437" t="s">
        <v>1867</v>
      </c>
      <c r="D4437" t="s">
        <v>1810</v>
      </c>
    </row>
    <row r="4438" spans="1:4" x14ac:dyDescent="0.2">
      <c r="A4438" t="s">
        <v>6168</v>
      </c>
      <c r="B4438" s="2">
        <v>43112</v>
      </c>
      <c r="C4438" t="s">
        <v>1845</v>
      </c>
      <c r="D4438" t="s">
        <v>1840</v>
      </c>
    </row>
    <row r="4439" spans="1:4" x14ac:dyDescent="0.2">
      <c r="A4439" t="s">
        <v>6169</v>
      </c>
      <c r="B4439" s="2">
        <v>43171</v>
      </c>
      <c r="C4439" t="s">
        <v>1905</v>
      </c>
      <c r="D4439" t="s">
        <v>1810</v>
      </c>
    </row>
    <row r="4440" spans="1:4" x14ac:dyDescent="0.2">
      <c r="A4440" t="s">
        <v>6170</v>
      </c>
      <c r="B4440" s="2">
        <v>43173</v>
      </c>
      <c r="C4440" t="s">
        <v>2669</v>
      </c>
      <c r="D4440" t="s">
        <v>1810</v>
      </c>
    </row>
    <row r="4441" spans="1:4" x14ac:dyDescent="0.2">
      <c r="A4441" t="s">
        <v>6171</v>
      </c>
      <c r="B4441" s="2">
        <v>43025</v>
      </c>
      <c r="C4441" t="s">
        <v>1939</v>
      </c>
      <c r="D4441" t="s">
        <v>1810</v>
      </c>
    </row>
    <row r="4442" spans="1:4" x14ac:dyDescent="0.2">
      <c r="A4442" t="s">
        <v>6172</v>
      </c>
      <c r="B4442" s="2">
        <v>43202</v>
      </c>
      <c r="C4442" t="s">
        <v>1863</v>
      </c>
      <c r="D4442" t="s">
        <v>1804</v>
      </c>
    </row>
    <row r="4443" spans="1:4" x14ac:dyDescent="0.2">
      <c r="A4443" t="s">
        <v>1003</v>
      </c>
      <c r="B4443" s="2">
        <v>43077</v>
      </c>
      <c r="C4443" t="s">
        <v>1905</v>
      </c>
      <c r="D4443" t="s">
        <v>1840</v>
      </c>
    </row>
    <row r="4444" spans="1:4" x14ac:dyDescent="0.2">
      <c r="A4444" t="s">
        <v>6173</v>
      </c>
      <c r="B4444" s="2">
        <v>43204</v>
      </c>
      <c r="C4444" t="s">
        <v>1865</v>
      </c>
      <c r="D4444" t="s">
        <v>1810</v>
      </c>
    </row>
    <row r="4445" spans="1:4" x14ac:dyDescent="0.2">
      <c r="A4445" t="s">
        <v>6174</v>
      </c>
      <c r="B4445" s="2">
        <v>42948</v>
      </c>
      <c r="C4445" t="s">
        <v>1867</v>
      </c>
      <c r="D4445" t="s">
        <v>1807</v>
      </c>
    </row>
    <row r="4446" spans="1:4" x14ac:dyDescent="0.2">
      <c r="A4446" t="s">
        <v>6175</v>
      </c>
      <c r="B4446" s="2">
        <v>43159</v>
      </c>
      <c r="C4446" t="s">
        <v>2187</v>
      </c>
      <c r="D4446" t="s">
        <v>1807</v>
      </c>
    </row>
    <row r="4447" spans="1:4" x14ac:dyDescent="0.2">
      <c r="A4447" t="s">
        <v>6176</v>
      </c>
      <c r="B4447" s="2">
        <v>43136</v>
      </c>
      <c r="C4447" t="s">
        <v>1825</v>
      </c>
      <c r="D4447" t="s">
        <v>1810</v>
      </c>
    </row>
    <row r="4448" spans="1:4" x14ac:dyDescent="0.2">
      <c r="A4448" t="s">
        <v>6177</v>
      </c>
      <c r="B4448" s="2">
        <v>43132</v>
      </c>
      <c r="C4448" t="s">
        <v>2163</v>
      </c>
      <c r="D4448" t="s">
        <v>1813</v>
      </c>
    </row>
    <row r="4449" spans="1:4" x14ac:dyDescent="0.2">
      <c r="A4449" t="s">
        <v>6178</v>
      </c>
      <c r="B4449" s="2">
        <v>43167</v>
      </c>
      <c r="C4449" t="s">
        <v>1928</v>
      </c>
      <c r="D4449" t="s">
        <v>1810</v>
      </c>
    </row>
    <row r="4450" spans="1:4" x14ac:dyDescent="0.2">
      <c r="A4450" t="s">
        <v>6179</v>
      </c>
      <c r="B4450" s="2">
        <v>43214</v>
      </c>
      <c r="C4450" t="s">
        <v>1816</v>
      </c>
      <c r="D4450" t="s">
        <v>1810</v>
      </c>
    </row>
    <row r="4451" spans="1:4" x14ac:dyDescent="0.2">
      <c r="A4451" t="s">
        <v>6180</v>
      </c>
      <c r="B4451" s="2">
        <v>43185</v>
      </c>
      <c r="C4451" t="s">
        <v>1836</v>
      </c>
      <c r="D4451" t="s">
        <v>1031</v>
      </c>
    </row>
    <row r="4452" spans="1:4" x14ac:dyDescent="0.2">
      <c r="A4452" t="s">
        <v>6181</v>
      </c>
      <c r="B4452" s="2">
        <v>43118</v>
      </c>
      <c r="C4452" t="s">
        <v>1867</v>
      </c>
      <c r="D4452" t="s">
        <v>1031</v>
      </c>
    </row>
    <row r="4453" spans="1:4" x14ac:dyDescent="0.2">
      <c r="A4453" t="s">
        <v>1005</v>
      </c>
      <c r="B4453" s="2">
        <v>43049</v>
      </c>
      <c r="C4453" t="s">
        <v>1816</v>
      </c>
      <c r="D4453" t="s">
        <v>1810</v>
      </c>
    </row>
    <row r="4454" spans="1:4" x14ac:dyDescent="0.2">
      <c r="A4454" t="s">
        <v>6182</v>
      </c>
      <c r="B4454" s="2">
        <v>42934</v>
      </c>
      <c r="C4454" t="s">
        <v>2196</v>
      </c>
      <c r="D4454" t="s">
        <v>1840</v>
      </c>
    </row>
    <row r="4455" spans="1:4" x14ac:dyDescent="0.2">
      <c r="A4455" t="s">
        <v>6183</v>
      </c>
      <c r="B4455" s="2">
        <v>43062</v>
      </c>
      <c r="C4455" t="s">
        <v>1806</v>
      </c>
      <c r="D4455" t="s">
        <v>1810</v>
      </c>
    </row>
    <row r="4456" spans="1:4" x14ac:dyDescent="0.2">
      <c r="A4456" t="s">
        <v>6184</v>
      </c>
      <c r="B4456" s="2">
        <v>43247</v>
      </c>
      <c r="C4456" t="s">
        <v>1816</v>
      </c>
      <c r="D4456" t="s">
        <v>1804</v>
      </c>
    </row>
    <row r="4457" spans="1:4" x14ac:dyDescent="0.2">
      <c r="A4457" t="s">
        <v>6185</v>
      </c>
      <c r="B4457" s="2">
        <v>43212</v>
      </c>
      <c r="C4457" t="s">
        <v>2163</v>
      </c>
      <c r="D4457" t="s">
        <v>1840</v>
      </c>
    </row>
    <row r="4458" spans="1:4" x14ac:dyDescent="0.2">
      <c r="A4458" t="s">
        <v>6186</v>
      </c>
      <c r="B4458" s="2">
        <v>43063</v>
      </c>
      <c r="C4458" t="s">
        <v>1825</v>
      </c>
      <c r="D4458" t="s">
        <v>1810</v>
      </c>
    </row>
    <row r="4459" spans="1:4" x14ac:dyDescent="0.2">
      <c r="A4459" t="s">
        <v>6187</v>
      </c>
      <c r="B4459" s="2">
        <v>43127</v>
      </c>
      <c r="C4459" t="s">
        <v>1825</v>
      </c>
      <c r="D4459" t="s">
        <v>1810</v>
      </c>
    </row>
    <row r="4460" spans="1:4" x14ac:dyDescent="0.2">
      <c r="A4460" t="s">
        <v>6188</v>
      </c>
      <c r="B4460" s="2">
        <v>43069</v>
      </c>
      <c r="C4460" t="s">
        <v>2324</v>
      </c>
      <c r="D4460" t="s">
        <v>1910</v>
      </c>
    </row>
    <row r="4461" spans="1:4" x14ac:dyDescent="0.2">
      <c r="A4461" t="s">
        <v>6189</v>
      </c>
      <c r="B4461" s="2">
        <v>43211</v>
      </c>
      <c r="C4461" t="s">
        <v>1816</v>
      </c>
      <c r="D4461" t="s">
        <v>1807</v>
      </c>
    </row>
    <row r="4462" spans="1:4" x14ac:dyDescent="0.2">
      <c r="A4462" t="s">
        <v>6190</v>
      </c>
      <c r="B4462" s="2">
        <v>43163</v>
      </c>
      <c r="C4462" t="s">
        <v>2163</v>
      </c>
      <c r="D4462" t="s">
        <v>1840</v>
      </c>
    </row>
    <row r="4463" spans="1:4" x14ac:dyDescent="0.2">
      <c r="A4463" t="s">
        <v>1007</v>
      </c>
      <c r="B4463" s="2">
        <v>43158</v>
      </c>
      <c r="C4463" t="s">
        <v>1816</v>
      </c>
      <c r="D4463" t="s">
        <v>1810</v>
      </c>
    </row>
    <row r="4464" spans="1:4" x14ac:dyDescent="0.2">
      <c r="A4464" t="s">
        <v>1009</v>
      </c>
      <c r="B4464" s="2">
        <v>43101</v>
      </c>
      <c r="C4464" t="s">
        <v>1854</v>
      </c>
      <c r="D4464" t="s">
        <v>1810</v>
      </c>
    </row>
    <row r="4465" spans="1:4" x14ac:dyDescent="0.2">
      <c r="A4465" t="s">
        <v>6191</v>
      </c>
      <c r="B4465" s="2">
        <v>43115</v>
      </c>
      <c r="C4465" t="s">
        <v>1937</v>
      </c>
      <c r="D4465" t="s">
        <v>1810</v>
      </c>
    </row>
    <row r="4466" spans="1:4" x14ac:dyDescent="0.2">
      <c r="A4466" t="s">
        <v>6192</v>
      </c>
      <c r="B4466" s="2">
        <v>43125</v>
      </c>
      <c r="C4466" t="s">
        <v>1816</v>
      </c>
      <c r="D4466" t="s">
        <v>160</v>
      </c>
    </row>
    <row r="4467" spans="1:4" x14ac:dyDescent="0.2">
      <c r="A4467" t="s">
        <v>6193</v>
      </c>
      <c r="B4467" s="2">
        <v>43232</v>
      </c>
      <c r="C4467" t="s">
        <v>1825</v>
      </c>
      <c r="D4467" t="s">
        <v>1810</v>
      </c>
    </row>
    <row r="4468" spans="1:4" x14ac:dyDescent="0.2">
      <c r="A4468" t="s">
        <v>1011</v>
      </c>
      <c r="B4468" s="2">
        <v>43214</v>
      </c>
      <c r="C4468" t="s">
        <v>1905</v>
      </c>
      <c r="D4468" t="s">
        <v>1810</v>
      </c>
    </row>
    <row r="4469" spans="1:4" x14ac:dyDescent="0.2">
      <c r="A4469" t="s">
        <v>1013</v>
      </c>
      <c r="B4469" s="2">
        <v>43151</v>
      </c>
      <c r="C4469" t="s">
        <v>1930</v>
      </c>
      <c r="D4469" t="s">
        <v>1807</v>
      </c>
    </row>
    <row r="4470" spans="1:4" x14ac:dyDescent="0.2">
      <c r="A4470" t="s">
        <v>6194</v>
      </c>
      <c r="B4470" s="2">
        <v>43111</v>
      </c>
      <c r="C4470" t="s">
        <v>1905</v>
      </c>
      <c r="D4470" t="s">
        <v>1810</v>
      </c>
    </row>
    <row r="4471" spans="1:4" x14ac:dyDescent="0.2">
      <c r="A4471" t="s">
        <v>6195</v>
      </c>
      <c r="B4471" s="2">
        <v>43131</v>
      </c>
      <c r="C4471" t="s">
        <v>1836</v>
      </c>
      <c r="D4471" t="s">
        <v>1804</v>
      </c>
    </row>
    <row r="4472" spans="1:4" x14ac:dyDescent="0.2">
      <c r="A4472" t="s">
        <v>6196</v>
      </c>
      <c r="B4472" s="2">
        <v>43134</v>
      </c>
      <c r="C4472" t="s">
        <v>1816</v>
      </c>
      <c r="D4472" t="s">
        <v>1840</v>
      </c>
    </row>
    <row r="4473" spans="1:4" x14ac:dyDescent="0.2">
      <c r="A4473" t="s">
        <v>6197</v>
      </c>
      <c r="B4473" s="2">
        <v>42986</v>
      </c>
      <c r="C4473" t="s">
        <v>1894</v>
      </c>
      <c r="D4473" t="s">
        <v>1804</v>
      </c>
    </row>
    <row r="4474" spans="1:4" x14ac:dyDescent="0.2">
      <c r="A4474" t="s">
        <v>6198</v>
      </c>
      <c r="B4474" s="2">
        <v>43220</v>
      </c>
      <c r="C4474" t="s">
        <v>1836</v>
      </c>
      <c r="D4474" t="s">
        <v>1810</v>
      </c>
    </row>
    <row r="4475" spans="1:4" x14ac:dyDescent="0.2">
      <c r="A4475" t="s">
        <v>6199</v>
      </c>
      <c r="B4475" s="2">
        <v>43154</v>
      </c>
      <c r="C4475" t="s">
        <v>2303</v>
      </c>
      <c r="D4475" t="s">
        <v>1829</v>
      </c>
    </row>
    <row r="4476" spans="1:4" x14ac:dyDescent="0.2">
      <c r="A4476" t="s">
        <v>6200</v>
      </c>
      <c r="B4476" s="2">
        <v>43191</v>
      </c>
      <c r="C4476" t="s">
        <v>1907</v>
      </c>
      <c r="D4476" t="s">
        <v>1807</v>
      </c>
    </row>
    <row r="4477" spans="1:4" x14ac:dyDescent="0.2">
      <c r="A4477" t="s">
        <v>6201</v>
      </c>
      <c r="B4477" s="2">
        <v>43130</v>
      </c>
      <c r="C4477" t="s">
        <v>1831</v>
      </c>
      <c r="D4477" t="s">
        <v>1813</v>
      </c>
    </row>
    <row r="4478" spans="1:4" x14ac:dyDescent="0.2">
      <c r="A4478" t="s">
        <v>6202</v>
      </c>
      <c r="B4478" s="2">
        <v>43151</v>
      </c>
      <c r="C4478" t="s">
        <v>1825</v>
      </c>
      <c r="D4478" t="s">
        <v>1031</v>
      </c>
    </row>
    <row r="4479" spans="1:4" x14ac:dyDescent="0.2">
      <c r="A4479" t="s">
        <v>6203</v>
      </c>
      <c r="B4479" s="2">
        <v>43185</v>
      </c>
      <c r="C4479" t="s">
        <v>5482</v>
      </c>
      <c r="D4479" t="s">
        <v>1810</v>
      </c>
    </row>
    <row r="4480" spans="1:4" x14ac:dyDescent="0.2">
      <c r="A4480" t="s">
        <v>6204</v>
      </c>
      <c r="B4480" s="2">
        <v>43153</v>
      </c>
      <c r="C4480" t="s">
        <v>2058</v>
      </c>
      <c r="D4480" t="s">
        <v>1807</v>
      </c>
    </row>
    <row r="4481" spans="1:4" x14ac:dyDescent="0.2">
      <c r="A4481" t="s">
        <v>6205</v>
      </c>
      <c r="B4481" s="2">
        <v>43245</v>
      </c>
      <c r="C4481" t="s">
        <v>1832</v>
      </c>
      <c r="D4481" t="s">
        <v>1807</v>
      </c>
    </row>
    <row r="4482" spans="1:4" x14ac:dyDescent="0.2">
      <c r="A4482" t="s">
        <v>6206</v>
      </c>
      <c r="B4482" s="2">
        <v>43099</v>
      </c>
      <c r="C4482" t="s">
        <v>1905</v>
      </c>
      <c r="D4482" t="s">
        <v>1810</v>
      </c>
    </row>
    <row r="4483" spans="1:4" x14ac:dyDescent="0.2">
      <c r="A4483" t="s">
        <v>6207</v>
      </c>
      <c r="B4483" s="2">
        <v>42955</v>
      </c>
      <c r="C4483" t="s">
        <v>1843</v>
      </c>
      <c r="D4483" t="s">
        <v>1807</v>
      </c>
    </row>
    <row r="4484" spans="1:4" x14ac:dyDescent="0.2">
      <c r="A4484" t="s">
        <v>6208</v>
      </c>
      <c r="B4484" s="2">
        <v>43238</v>
      </c>
      <c r="C4484" t="s">
        <v>1863</v>
      </c>
      <c r="D4484" t="s">
        <v>1804</v>
      </c>
    </row>
    <row r="4485" spans="1:4" x14ac:dyDescent="0.2">
      <c r="A4485" t="s">
        <v>6209</v>
      </c>
      <c r="B4485" s="2">
        <v>43248</v>
      </c>
      <c r="C4485" t="s">
        <v>1915</v>
      </c>
      <c r="D4485" t="s">
        <v>1807</v>
      </c>
    </row>
    <row r="4486" spans="1:4" x14ac:dyDescent="0.2">
      <c r="A4486" t="s">
        <v>6210</v>
      </c>
      <c r="B4486" s="2">
        <v>43222</v>
      </c>
      <c r="C4486" t="s">
        <v>1863</v>
      </c>
      <c r="D4486" t="s">
        <v>1804</v>
      </c>
    </row>
    <row r="4487" spans="1:4" x14ac:dyDescent="0.2">
      <c r="A4487" t="s">
        <v>6211</v>
      </c>
      <c r="B4487" s="2">
        <v>43130</v>
      </c>
      <c r="C4487" t="s">
        <v>1816</v>
      </c>
      <c r="D4487" t="s">
        <v>1810</v>
      </c>
    </row>
    <row r="4488" spans="1:4" x14ac:dyDescent="0.2">
      <c r="A4488" t="s">
        <v>6212</v>
      </c>
      <c r="B4488" s="2">
        <v>43105</v>
      </c>
      <c r="C4488" t="s">
        <v>1987</v>
      </c>
      <c r="D4488" t="s">
        <v>1810</v>
      </c>
    </row>
    <row r="4489" spans="1:4" x14ac:dyDescent="0.2">
      <c r="A4489" t="s">
        <v>6213</v>
      </c>
      <c r="B4489" s="2">
        <v>43217</v>
      </c>
      <c r="C4489" t="s">
        <v>1863</v>
      </c>
      <c r="D4489" t="s">
        <v>1804</v>
      </c>
    </row>
    <row r="4490" spans="1:4" x14ac:dyDescent="0.2">
      <c r="A4490" t="s">
        <v>6214</v>
      </c>
      <c r="B4490" s="2">
        <v>43147</v>
      </c>
      <c r="C4490" t="s">
        <v>5769</v>
      </c>
      <c r="D4490" t="s">
        <v>1840</v>
      </c>
    </row>
    <row r="4491" spans="1:4" x14ac:dyDescent="0.2">
      <c r="A4491" t="s">
        <v>6215</v>
      </c>
      <c r="B4491" s="2">
        <v>43041</v>
      </c>
      <c r="C4491" t="s">
        <v>1803</v>
      </c>
      <c r="D4491" t="s">
        <v>1804</v>
      </c>
    </row>
    <row r="4492" spans="1:4" x14ac:dyDescent="0.2">
      <c r="A4492" t="s">
        <v>6216</v>
      </c>
      <c r="B4492" s="2">
        <v>43103</v>
      </c>
      <c r="C4492" t="s">
        <v>1878</v>
      </c>
      <c r="D4492" t="s">
        <v>1810</v>
      </c>
    </row>
    <row r="4493" spans="1:4" x14ac:dyDescent="0.2">
      <c r="A4493" t="s">
        <v>6217</v>
      </c>
      <c r="B4493" s="2">
        <v>42950</v>
      </c>
      <c r="C4493" t="s">
        <v>1867</v>
      </c>
      <c r="D4493" t="s">
        <v>1810</v>
      </c>
    </row>
    <row r="4494" spans="1:4" x14ac:dyDescent="0.2">
      <c r="A4494" t="s">
        <v>6218</v>
      </c>
      <c r="B4494" s="2">
        <v>43239</v>
      </c>
      <c r="C4494" t="s">
        <v>1816</v>
      </c>
      <c r="D4494" t="s">
        <v>1810</v>
      </c>
    </row>
    <row r="4495" spans="1:4" x14ac:dyDescent="0.2">
      <c r="A4495" t="s">
        <v>6219</v>
      </c>
      <c r="B4495" s="2">
        <v>43122</v>
      </c>
      <c r="C4495" t="s">
        <v>1836</v>
      </c>
      <c r="D4495" t="s">
        <v>1031</v>
      </c>
    </row>
    <row r="4496" spans="1:4" x14ac:dyDescent="0.2">
      <c r="A4496" t="s">
        <v>6220</v>
      </c>
      <c r="B4496" s="2">
        <v>43193</v>
      </c>
      <c r="C4496" t="s">
        <v>1863</v>
      </c>
      <c r="D4496" t="s">
        <v>1804</v>
      </c>
    </row>
    <row r="4497" spans="1:4" x14ac:dyDescent="0.2">
      <c r="A4497" t="s">
        <v>6221</v>
      </c>
      <c r="B4497" s="2">
        <v>43182</v>
      </c>
      <c r="C4497" t="s">
        <v>2058</v>
      </c>
      <c r="D4497" t="s">
        <v>1807</v>
      </c>
    </row>
    <row r="4498" spans="1:4" x14ac:dyDescent="0.2">
      <c r="A4498" t="s">
        <v>6222</v>
      </c>
      <c r="B4498" s="2">
        <v>42957</v>
      </c>
      <c r="C4498" t="s">
        <v>3064</v>
      </c>
      <c r="D4498" t="s">
        <v>1813</v>
      </c>
    </row>
    <row r="4499" spans="1:4" x14ac:dyDescent="0.2">
      <c r="A4499" t="s">
        <v>6223</v>
      </c>
      <c r="B4499" s="2">
        <v>43068</v>
      </c>
      <c r="C4499" t="s">
        <v>2324</v>
      </c>
      <c r="D4499" t="s">
        <v>1813</v>
      </c>
    </row>
    <row r="4500" spans="1:4" x14ac:dyDescent="0.2">
      <c r="A4500" t="s">
        <v>6224</v>
      </c>
      <c r="B4500" s="2">
        <v>43230</v>
      </c>
      <c r="C4500" t="s">
        <v>1816</v>
      </c>
      <c r="D4500" t="s">
        <v>1840</v>
      </c>
    </row>
    <row r="4501" spans="1:4" x14ac:dyDescent="0.2">
      <c r="A4501" t="s">
        <v>6225</v>
      </c>
      <c r="B4501" s="2">
        <v>43208</v>
      </c>
      <c r="C4501" t="s">
        <v>1905</v>
      </c>
      <c r="D4501" t="s">
        <v>1829</v>
      </c>
    </row>
    <row r="4502" spans="1:4" x14ac:dyDescent="0.2">
      <c r="A4502" t="s">
        <v>6226</v>
      </c>
      <c r="B4502" s="2">
        <v>43123</v>
      </c>
      <c r="C4502" t="s">
        <v>1930</v>
      </c>
      <c r="D4502" t="s">
        <v>1807</v>
      </c>
    </row>
    <row r="4503" spans="1:4" x14ac:dyDescent="0.2">
      <c r="A4503" t="s">
        <v>6227</v>
      </c>
      <c r="B4503" s="2">
        <v>43213</v>
      </c>
      <c r="C4503" t="s">
        <v>1863</v>
      </c>
      <c r="D4503" t="s">
        <v>1804</v>
      </c>
    </row>
    <row r="4504" spans="1:4" x14ac:dyDescent="0.2">
      <c r="A4504" t="s">
        <v>6228</v>
      </c>
      <c r="B4504" s="2">
        <v>43109</v>
      </c>
      <c r="C4504" t="s">
        <v>1836</v>
      </c>
      <c r="D4504" t="s">
        <v>1031</v>
      </c>
    </row>
    <row r="4505" spans="1:4" x14ac:dyDescent="0.2">
      <c r="A4505" t="s">
        <v>6229</v>
      </c>
      <c r="B4505" s="2">
        <v>43122</v>
      </c>
      <c r="C4505" t="s">
        <v>1812</v>
      </c>
      <c r="D4505" t="s">
        <v>1810</v>
      </c>
    </row>
    <row r="4506" spans="1:4" x14ac:dyDescent="0.2">
      <c r="A4506" t="s">
        <v>6230</v>
      </c>
      <c r="B4506" s="2">
        <v>43208</v>
      </c>
      <c r="C4506" t="s">
        <v>1998</v>
      </c>
      <c r="D4506" t="s">
        <v>1807</v>
      </c>
    </row>
    <row r="4507" spans="1:4" x14ac:dyDescent="0.2">
      <c r="A4507" t="s">
        <v>6231</v>
      </c>
      <c r="B4507" s="2">
        <v>43042</v>
      </c>
      <c r="C4507" t="s">
        <v>1930</v>
      </c>
      <c r="D4507" t="s">
        <v>1807</v>
      </c>
    </row>
    <row r="4508" spans="1:4" x14ac:dyDescent="0.2">
      <c r="A4508" t="s">
        <v>6232</v>
      </c>
      <c r="B4508" s="2">
        <v>43023</v>
      </c>
      <c r="C4508" t="s">
        <v>1803</v>
      </c>
      <c r="D4508" t="s">
        <v>1804</v>
      </c>
    </row>
    <row r="4509" spans="1:4" x14ac:dyDescent="0.2">
      <c r="A4509" t="s">
        <v>6233</v>
      </c>
      <c r="B4509" s="2">
        <v>43034</v>
      </c>
      <c r="C4509" t="s">
        <v>6234</v>
      </c>
      <c r="D4509" t="s">
        <v>1810</v>
      </c>
    </row>
    <row r="4510" spans="1:4" x14ac:dyDescent="0.2">
      <c r="A4510" t="s">
        <v>6235</v>
      </c>
      <c r="B4510" s="2">
        <v>43223</v>
      </c>
      <c r="C4510" t="s">
        <v>2115</v>
      </c>
      <c r="D4510" t="s">
        <v>1807</v>
      </c>
    </row>
    <row r="4511" spans="1:4" x14ac:dyDescent="0.2">
      <c r="A4511" t="s">
        <v>1015</v>
      </c>
      <c r="B4511" s="2">
        <v>43208</v>
      </c>
      <c r="C4511" t="s">
        <v>2342</v>
      </c>
      <c r="D4511" t="s">
        <v>1031</v>
      </c>
    </row>
    <row r="4512" spans="1:4" x14ac:dyDescent="0.2">
      <c r="A4512" t="s">
        <v>6236</v>
      </c>
      <c r="B4512" s="2">
        <v>43185</v>
      </c>
      <c r="C4512" t="s">
        <v>1816</v>
      </c>
      <c r="D4512" t="s">
        <v>1031</v>
      </c>
    </row>
    <row r="4513" spans="1:4" x14ac:dyDescent="0.2">
      <c r="A4513" t="s">
        <v>6237</v>
      </c>
      <c r="B4513" s="2">
        <v>43106</v>
      </c>
      <c r="C4513" t="s">
        <v>1803</v>
      </c>
      <c r="D4513" t="s">
        <v>1804</v>
      </c>
    </row>
    <row r="4514" spans="1:4" x14ac:dyDescent="0.2">
      <c r="A4514" t="s">
        <v>6238</v>
      </c>
      <c r="B4514" s="2">
        <v>43235</v>
      </c>
      <c r="C4514" t="s">
        <v>1867</v>
      </c>
      <c r="D4514" t="s">
        <v>1804</v>
      </c>
    </row>
    <row r="4515" spans="1:4" x14ac:dyDescent="0.2">
      <c r="A4515" t="s">
        <v>6239</v>
      </c>
      <c r="B4515" s="2">
        <v>43024</v>
      </c>
      <c r="C4515" t="s">
        <v>2657</v>
      </c>
      <c r="D4515" t="s">
        <v>1910</v>
      </c>
    </row>
    <row r="4516" spans="1:4" x14ac:dyDescent="0.2">
      <c r="A4516" t="s">
        <v>6240</v>
      </c>
      <c r="B4516" s="2">
        <v>43061</v>
      </c>
      <c r="C4516" t="s">
        <v>1930</v>
      </c>
      <c r="D4516" t="s">
        <v>1807</v>
      </c>
    </row>
    <row r="4517" spans="1:4" x14ac:dyDescent="0.2">
      <c r="A4517" t="s">
        <v>6241</v>
      </c>
      <c r="B4517" s="2">
        <v>43179</v>
      </c>
      <c r="C4517" t="s">
        <v>1930</v>
      </c>
      <c r="D4517" t="s">
        <v>1807</v>
      </c>
    </row>
    <row r="4518" spans="1:4" x14ac:dyDescent="0.2">
      <c r="A4518" t="s">
        <v>1017</v>
      </c>
      <c r="B4518" s="2">
        <v>43122</v>
      </c>
      <c r="C4518" t="s">
        <v>1836</v>
      </c>
      <c r="D4518" t="s">
        <v>1031</v>
      </c>
    </row>
    <row r="4519" spans="1:4" x14ac:dyDescent="0.2">
      <c r="A4519" t="s">
        <v>1019</v>
      </c>
      <c r="B4519" s="2">
        <v>42977</v>
      </c>
      <c r="C4519" t="s">
        <v>2058</v>
      </c>
      <c r="D4519" t="s">
        <v>1807</v>
      </c>
    </row>
    <row r="4520" spans="1:4" x14ac:dyDescent="0.2">
      <c r="A4520" t="s">
        <v>6242</v>
      </c>
      <c r="B4520" s="2">
        <v>43105</v>
      </c>
      <c r="C4520" t="s">
        <v>1831</v>
      </c>
      <c r="D4520" t="s">
        <v>160</v>
      </c>
    </row>
    <row r="4521" spans="1:4" x14ac:dyDescent="0.2">
      <c r="A4521" t="s">
        <v>6243</v>
      </c>
      <c r="B4521" s="2">
        <v>43121</v>
      </c>
      <c r="C4521" t="s">
        <v>1803</v>
      </c>
      <c r="D4521" t="s">
        <v>1804</v>
      </c>
    </row>
    <row r="4522" spans="1:4" x14ac:dyDescent="0.2">
      <c r="A4522" t="s">
        <v>1021</v>
      </c>
      <c r="B4522" s="2">
        <v>43228</v>
      </c>
      <c r="C4522" t="s">
        <v>6244</v>
      </c>
      <c r="D4522" t="s">
        <v>1807</v>
      </c>
    </row>
    <row r="4523" spans="1:4" x14ac:dyDescent="0.2">
      <c r="A4523" t="s">
        <v>6245</v>
      </c>
      <c r="B4523" s="2">
        <v>43206</v>
      </c>
      <c r="C4523" t="s">
        <v>1863</v>
      </c>
      <c r="D4523" t="s">
        <v>1804</v>
      </c>
    </row>
    <row r="4524" spans="1:4" x14ac:dyDescent="0.2">
      <c r="A4524" t="s">
        <v>6246</v>
      </c>
      <c r="B4524" s="2">
        <v>43141</v>
      </c>
      <c r="C4524" t="s">
        <v>2716</v>
      </c>
      <c r="D4524" t="s">
        <v>1810</v>
      </c>
    </row>
    <row r="4525" spans="1:4" x14ac:dyDescent="0.2">
      <c r="A4525" t="s">
        <v>6247</v>
      </c>
      <c r="B4525" s="2">
        <v>43122</v>
      </c>
      <c r="C4525" t="s">
        <v>1825</v>
      </c>
      <c r="D4525" t="s">
        <v>1810</v>
      </c>
    </row>
    <row r="4526" spans="1:4" x14ac:dyDescent="0.2">
      <c r="A4526" t="s">
        <v>6248</v>
      </c>
      <c r="B4526" s="2">
        <v>43220</v>
      </c>
      <c r="C4526" t="s">
        <v>1998</v>
      </c>
      <c r="D4526" t="s">
        <v>1807</v>
      </c>
    </row>
    <row r="4527" spans="1:4" x14ac:dyDescent="0.2">
      <c r="A4527" t="s">
        <v>1023</v>
      </c>
      <c r="B4527" s="2">
        <v>43130</v>
      </c>
      <c r="C4527" t="s">
        <v>1930</v>
      </c>
      <c r="D4527" t="s">
        <v>1807</v>
      </c>
    </row>
    <row r="4528" spans="1:4" x14ac:dyDescent="0.2">
      <c r="A4528" t="s">
        <v>6249</v>
      </c>
      <c r="B4528" s="2">
        <v>43171</v>
      </c>
      <c r="C4528" t="s">
        <v>1803</v>
      </c>
      <c r="D4528" t="s">
        <v>1804</v>
      </c>
    </row>
    <row r="4529" spans="1:4" x14ac:dyDescent="0.2">
      <c r="A4529" t="s">
        <v>6250</v>
      </c>
      <c r="B4529" s="2">
        <v>43108</v>
      </c>
      <c r="C4529" t="s">
        <v>1836</v>
      </c>
      <c r="D4529" t="s">
        <v>1031</v>
      </c>
    </row>
    <row r="4530" spans="1:4" x14ac:dyDescent="0.2">
      <c r="A4530" t="s">
        <v>6251</v>
      </c>
      <c r="B4530" s="2">
        <v>43249</v>
      </c>
      <c r="C4530" t="s">
        <v>2342</v>
      </c>
      <c r="D4530" t="s">
        <v>1810</v>
      </c>
    </row>
    <row r="4531" spans="1:4" x14ac:dyDescent="0.2">
      <c r="A4531" t="s">
        <v>6252</v>
      </c>
      <c r="B4531" s="2">
        <v>43127</v>
      </c>
      <c r="C4531" t="s">
        <v>1825</v>
      </c>
      <c r="D4531" t="s">
        <v>1810</v>
      </c>
    </row>
    <row r="4532" spans="1:4" x14ac:dyDescent="0.2">
      <c r="A4532" t="s">
        <v>6253</v>
      </c>
      <c r="B4532" s="2">
        <v>43063</v>
      </c>
      <c r="C4532" t="s">
        <v>2324</v>
      </c>
      <c r="D4532" t="s">
        <v>1810</v>
      </c>
    </row>
    <row r="4533" spans="1:4" x14ac:dyDescent="0.2">
      <c r="A4533" t="s">
        <v>6254</v>
      </c>
      <c r="B4533" s="2">
        <v>43242</v>
      </c>
      <c r="C4533" t="s">
        <v>2204</v>
      </c>
      <c r="D4533" t="s">
        <v>1807</v>
      </c>
    </row>
    <row r="4534" spans="1:4" x14ac:dyDescent="0.2">
      <c r="A4534" t="s">
        <v>6255</v>
      </c>
      <c r="B4534" s="2">
        <v>43128</v>
      </c>
      <c r="C4534" t="s">
        <v>1803</v>
      </c>
      <c r="D4534" t="s">
        <v>1804</v>
      </c>
    </row>
    <row r="4535" spans="1:4" x14ac:dyDescent="0.2">
      <c r="A4535" t="s">
        <v>6256</v>
      </c>
      <c r="B4535" s="2">
        <v>43138</v>
      </c>
      <c r="C4535" t="s">
        <v>3827</v>
      </c>
      <c r="D4535" t="s">
        <v>1813</v>
      </c>
    </row>
    <row r="4536" spans="1:4" x14ac:dyDescent="0.2">
      <c r="A4536" t="s">
        <v>6257</v>
      </c>
      <c r="B4536" s="2">
        <v>43245</v>
      </c>
      <c r="C4536" t="s">
        <v>1825</v>
      </c>
      <c r="D4536" t="s">
        <v>1810</v>
      </c>
    </row>
    <row r="4537" spans="1:4" x14ac:dyDescent="0.2">
      <c r="A4537" t="s">
        <v>6258</v>
      </c>
      <c r="B4537" s="2">
        <v>42983</v>
      </c>
      <c r="C4537" t="s">
        <v>2074</v>
      </c>
      <c r="D4537" t="s">
        <v>1810</v>
      </c>
    </row>
    <row r="4538" spans="1:4" x14ac:dyDescent="0.2">
      <c r="A4538" t="s">
        <v>6259</v>
      </c>
      <c r="B4538" s="2">
        <v>43182</v>
      </c>
      <c r="C4538" t="s">
        <v>1836</v>
      </c>
      <c r="D4538" t="s">
        <v>1031</v>
      </c>
    </row>
    <row r="4539" spans="1:4" x14ac:dyDescent="0.2">
      <c r="A4539" t="s">
        <v>6260</v>
      </c>
      <c r="B4539" s="2">
        <v>43162</v>
      </c>
      <c r="C4539" t="s">
        <v>1809</v>
      </c>
      <c r="D4539" t="s">
        <v>1810</v>
      </c>
    </row>
    <row r="4540" spans="1:4" x14ac:dyDescent="0.2">
      <c r="A4540" t="s">
        <v>6261</v>
      </c>
      <c r="B4540" s="2">
        <v>43196</v>
      </c>
      <c r="C4540" t="s">
        <v>1816</v>
      </c>
      <c r="D4540" t="s">
        <v>1810</v>
      </c>
    </row>
    <row r="4541" spans="1:4" x14ac:dyDescent="0.2">
      <c r="A4541" t="s">
        <v>6262</v>
      </c>
      <c r="B4541" s="2">
        <v>43172</v>
      </c>
      <c r="C4541" t="s">
        <v>2108</v>
      </c>
      <c r="D4541" t="s">
        <v>1813</v>
      </c>
    </row>
    <row r="4542" spans="1:4" x14ac:dyDescent="0.2">
      <c r="A4542" t="s">
        <v>1025</v>
      </c>
      <c r="B4542" s="2">
        <v>43178</v>
      </c>
      <c r="C4542" t="s">
        <v>2023</v>
      </c>
      <c r="D4542" t="s">
        <v>1804</v>
      </c>
    </row>
    <row r="4543" spans="1:4" x14ac:dyDescent="0.2">
      <c r="A4543" t="s">
        <v>6263</v>
      </c>
      <c r="B4543" s="2">
        <v>42965</v>
      </c>
      <c r="C4543" t="s">
        <v>1816</v>
      </c>
      <c r="D4543" t="s">
        <v>1807</v>
      </c>
    </row>
    <row r="4544" spans="1:4" x14ac:dyDescent="0.2">
      <c r="A4544" t="s">
        <v>6264</v>
      </c>
      <c r="B4544" s="2">
        <v>43156</v>
      </c>
      <c r="C4544" t="s">
        <v>6265</v>
      </c>
      <c r="D4544" t="s">
        <v>1804</v>
      </c>
    </row>
    <row r="4545" spans="1:4" x14ac:dyDescent="0.2">
      <c r="A4545" t="s">
        <v>1027</v>
      </c>
      <c r="B4545" s="2">
        <v>43137</v>
      </c>
      <c r="C4545" t="s">
        <v>1968</v>
      </c>
      <c r="D4545" t="s">
        <v>1807</v>
      </c>
    </row>
    <row r="4546" spans="1:4" x14ac:dyDescent="0.2">
      <c r="A4546" t="s">
        <v>6266</v>
      </c>
      <c r="B4546" s="2">
        <v>43219</v>
      </c>
      <c r="C4546" t="s">
        <v>1930</v>
      </c>
      <c r="D4546" t="s">
        <v>1810</v>
      </c>
    </row>
    <row r="4547" spans="1:4" x14ac:dyDescent="0.2">
      <c r="A4547" t="s">
        <v>6267</v>
      </c>
      <c r="B4547" s="2">
        <v>43161</v>
      </c>
      <c r="C4547" t="s">
        <v>1836</v>
      </c>
      <c r="D4547" t="s">
        <v>1031</v>
      </c>
    </row>
    <row r="4548" spans="1:4" x14ac:dyDescent="0.2">
      <c r="A4548" t="s">
        <v>6268</v>
      </c>
      <c r="B4548" s="2">
        <v>43207</v>
      </c>
      <c r="C4548" t="s">
        <v>1930</v>
      </c>
      <c r="D4548" t="s">
        <v>1807</v>
      </c>
    </row>
    <row r="4549" spans="1:4" x14ac:dyDescent="0.2">
      <c r="A4549" t="s">
        <v>6269</v>
      </c>
      <c r="B4549" s="2">
        <v>42968</v>
      </c>
      <c r="C4549" t="s">
        <v>1894</v>
      </c>
      <c r="D4549" t="s">
        <v>1804</v>
      </c>
    </row>
    <row r="4550" spans="1:4" x14ac:dyDescent="0.2">
      <c r="A4550" t="s">
        <v>6270</v>
      </c>
      <c r="B4550" s="2">
        <v>43202</v>
      </c>
      <c r="C4550" t="s">
        <v>2078</v>
      </c>
      <c r="D4550" t="s">
        <v>1807</v>
      </c>
    </row>
    <row r="4551" spans="1:4" x14ac:dyDescent="0.2">
      <c r="A4551" t="s">
        <v>6271</v>
      </c>
      <c r="B4551" s="2">
        <v>43172</v>
      </c>
      <c r="C4551" t="s">
        <v>2019</v>
      </c>
      <c r="D4551" t="s">
        <v>1910</v>
      </c>
    </row>
    <row r="4552" spans="1:4" x14ac:dyDescent="0.2">
      <c r="A4552" t="s">
        <v>6272</v>
      </c>
      <c r="B4552" s="2">
        <v>43171</v>
      </c>
      <c r="C4552" t="s">
        <v>1928</v>
      </c>
      <c r="D4552" t="s">
        <v>1031</v>
      </c>
    </row>
    <row r="4553" spans="1:4" x14ac:dyDescent="0.2">
      <c r="A4553" t="s">
        <v>6273</v>
      </c>
      <c r="B4553" s="2">
        <v>43184</v>
      </c>
      <c r="C4553" t="s">
        <v>1889</v>
      </c>
      <c r="D4553" t="s">
        <v>1810</v>
      </c>
    </row>
    <row r="4554" spans="1:4" x14ac:dyDescent="0.2">
      <c r="A4554" t="s">
        <v>6274</v>
      </c>
      <c r="B4554" s="2">
        <v>43245</v>
      </c>
      <c r="C4554" t="s">
        <v>2242</v>
      </c>
      <c r="D4554" t="s">
        <v>1810</v>
      </c>
    </row>
    <row r="4555" spans="1:4" x14ac:dyDescent="0.2">
      <c r="A4555" t="s">
        <v>6275</v>
      </c>
      <c r="B4555" s="2">
        <v>43005</v>
      </c>
      <c r="C4555" t="s">
        <v>2576</v>
      </c>
      <c r="D4555" t="s">
        <v>1829</v>
      </c>
    </row>
    <row r="4556" spans="1:4" x14ac:dyDescent="0.2">
      <c r="A4556" t="s">
        <v>6276</v>
      </c>
      <c r="B4556" s="2">
        <v>42974</v>
      </c>
      <c r="C4556" t="s">
        <v>1894</v>
      </c>
      <c r="D4556" t="s">
        <v>1804</v>
      </c>
    </row>
    <row r="4557" spans="1:4" x14ac:dyDescent="0.2">
      <c r="A4557" t="s">
        <v>6277</v>
      </c>
      <c r="B4557" s="2">
        <v>43120</v>
      </c>
      <c r="C4557" t="s">
        <v>2182</v>
      </c>
      <c r="D4557" t="s">
        <v>1804</v>
      </c>
    </row>
    <row r="4558" spans="1:4" x14ac:dyDescent="0.2">
      <c r="A4558" t="s">
        <v>6278</v>
      </c>
      <c r="B4558" s="2">
        <v>43109</v>
      </c>
      <c r="C4558" t="s">
        <v>1803</v>
      </c>
      <c r="D4558" t="s">
        <v>1804</v>
      </c>
    </row>
    <row r="4559" spans="1:4" x14ac:dyDescent="0.2">
      <c r="A4559" t="s">
        <v>6279</v>
      </c>
      <c r="B4559" s="2">
        <v>43004</v>
      </c>
      <c r="C4559" t="s">
        <v>3234</v>
      </c>
      <c r="D4559" t="s">
        <v>1813</v>
      </c>
    </row>
    <row r="4560" spans="1:4" x14ac:dyDescent="0.2">
      <c r="A4560" t="s">
        <v>6280</v>
      </c>
      <c r="B4560" s="2">
        <v>43204</v>
      </c>
      <c r="C4560" t="s">
        <v>2033</v>
      </c>
      <c r="D4560" t="s">
        <v>1810</v>
      </c>
    </row>
    <row r="4561" spans="1:4" x14ac:dyDescent="0.2">
      <c r="A4561" t="s">
        <v>6281</v>
      </c>
      <c r="B4561" s="2">
        <v>43170</v>
      </c>
      <c r="C4561" t="s">
        <v>1831</v>
      </c>
      <c r="D4561" t="s">
        <v>160</v>
      </c>
    </row>
    <row r="4562" spans="1:4" x14ac:dyDescent="0.2">
      <c r="A4562" t="s">
        <v>6282</v>
      </c>
      <c r="B4562" s="2">
        <v>43198</v>
      </c>
      <c r="C4562" t="s">
        <v>1921</v>
      </c>
      <c r="D4562" t="s">
        <v>1810</v>
      </c>
    </row>
    <row r="4563" spans="1:4" x14ac:dyDescent="0.2">
      <c r="A4563" t="s">
        <v>6283</v>
      </c>
      <c r="B4563" s="2">
        <v>43180</v>
      </c>
      <c r="C4563" t="s">
        <v>1867</v>
      </c>
      <c r="D4563" t="s">
        <v>1813</v>
      </c>
    </row>
    <row r="4564" spans="1:4" x14ac:dyDescent="0.2">
      <c r="A4564" t="s">
        <v>6284</v>
      </c>
      <c r="B4564" s="2">
        <v>43126</v>
      </c>
      <c r="C4564" t="s">
        <v>1867</v>
      </c>
      <c r="D4564" t="s">
        <v>160</v>
      </c>
    </row>
    <row r="4565" spans="1:4" x14ac:dyDescent="0.2">
      <c r="A4565" t="s">
        <v>6285</v>
      </c>
      <c r="B4565" s="2">
        <v>43180</v>
      </c>
      <c r="C4565" t="s">
        <v>1930</v>
      </c>
      <c r="D4565" t="s">
        <v>1807</v>
      </c>
    </row>
    <row r="4566" spans="1:4" x14ac:dyDescent="0.2">
      <c r="A4566" t="s">
        <v>1029</v>
      </c>
      <c r="B4566" s="2">
        <v>43228</v>
      </c>
      <c r="C4566" t="s">
        <v>1889</v>
      </c>
      <c r="D4566" t="s">
        <v>1810</v>
      </c>
    </row>
    <row r="4567" spans="1:4" x14ac:dyDescent="0.2">
      <c r="A4567" t="s">
        <v>6286</v>
      </c>
      <c r="B4567" s="2">
        <v>42973</v>
      </c>
      <c r="C4567" t="s">
        <v>1814</v>
      </c>
      <c r="D4567" t="s">
        <v>1840</v>
      </c>
    </row>
    <row r="4568" spans="1:4" x14ac:dyDescent="0.2">
      <c r="A4568" t="s">
        <v>1032</v>
      </c>
      <c r="B4568" s="2">
        <v>43129</v>
      </c>
      <c r="C4568" t="s">
        <v>2194</v>
      </c>
      <c r="D4568" t="s">
        <v>1813</v>
      </c>
    </row>
    <row r="4569" spans="1:4" x14ac:dyDescent="0.2">
      <c r="A4569" t="s">
        <v>6287</v>
      </c>
      <c r="B4569" s="2">
        <v>43217</v>
      </c>
      <c r="C4569" t="s">
        <v>1816</v>
      </c>
      <c r="D4569" t="s">
        <v>1810</v>
      </c>
    </row>
    <row r="4570" spans="1:4" x14ac:dyDescent="0.2">
      <c r="A4570" t="s">
        <v>6288</v>
      </c>
      <c r="B4570" s="2">
        <v>43141</v>
      </c>
      <c r="C4570" t="s">
        <v>1803</v>
      </c>
      <c r="D4570" t="s">
        <v>160</v>
      </c>
    </row>
    <row r="4571" spans="1:4" x14ac:dyDescent="0.2">
      <c r="A4571" t="s">
        <v>6289</v>
      </c>
      <c r="B4571" s="2">
        <v>43172</v>
      </c>
      <c r="C4571" t="s">
        <v>2019</v>
      </c>
      <c r="D4571" t="s">
        <v>1813</v>
      </c>
    </row>
    <row r="4572" spans="1:4" x14ac:dyDescent="0.2">
      <c r="A4572" t="s">
        <v>6290</v>
      </c>
      <c r="B4572" s="2">
        <v>43128</v>
      </c>
      <c r="C4572" t="s">
        <v>1816</v>
      </c>
      <c r="D4572" t="s">
        <v>1807</v>
      </c>
    </row>
    <row r="4573" spans="1:4" x14ac:dyDescent="0.2">
      <c r="A4573" t="s">
        <v>6291</v>
      </c>
      <c r="B4573" s="2">
        <v>43057</v>
      </c>
      <c r="C4573" t="s">
        <v>1816</v>
      </c>
      <c r="D4573" t="s">
        <v>1810</v>
      </c>
    </row>
    <row r="4574" spans="1:4" x14ac:dyDescent="0.2">
      <c r="A4574" t="s">
        <v>1034</v>
      </c>
      <c r="B4574" s="2">
        <v>43162</v>
      </c>
      <c r="C4574" t="s">
        <v>1905</v>
      </c>
      <c r="D4574" t="s">
        <v>1810</v>
      </c>
    </row>
    <row r="4575" spans="1:4" x14ac:dyDescent="0.2">
      <c r="A4575" t="s">
        <v>6292</v>
      </c>
      <c r="B4575" s="2">
        <v>43084</v>
      </c>
      <c r="C4575" t="s">
        <v>1889</v>
      </c>
      <c r="D4575" t="s">
        <v>1810</v>
      </c>
    </row>
    <row r="4576" spans="1:4" x14ac:dyDescent="0.2">
      <c r="A4576" t="s">
        <v>6293</v>
      </c>
      <c r="B4576" s="2">
        <v>43140</v>
      </c>
      <c r="C4576" t="s">
        <v>3074</v>
      </c>
      <c r="D4576" t="s">
        <v>1807</v>
      </c>
    </row>
    <row r="4577" spans="1:4" x14ac:dyDescent="0.2">
      <c r="A4577" t="s">
        <v>6294</v>
      </c>
      <c r="B4577" s="2">
        <v>43019</v>
      </c>
      <c r="C4577" t="s">
        <v>1803</v>
      </c>
      <c r="D4577" t="s">
        <v>1804</v>
      </c>
    </row>
    <row r="4578" spans="1:4" x14ac:dyDescent="0.2">
      <c r="A4578" t="s">
        <v>6295</v>
      </c>
      <c r="B4578" s="2">
        <v>43035</v>
      </c>
      <c r="C4578" t="s">
        <v>3515</v>
      </c>
      <c r="D4578" t="s">
        <v>1910</v>
      </c>
    </row>
    <row r="4579" spans="1:4" x14ac:dyDescent="0.2">
      <c r="A4579" t="s">
        <v>6296</v>
      </c>
      <c r="B4579" s="2">
        <v>43239</v>
      </c>
      <c r="C4579" t="s">
        <v>1825</v>
      </c>
      <c r="D4579" t="s">
        <v>1804</v>
      </c>
    </row>
    <row r="4580" spans="1:4" x14ac:dyDescent="0.2">
      <c r="A4580" t="s">
        <v>6297</v>
      </c>
      <c r="B4580" s="2">
        <v>43103</v>
      </c>
      <c r="C4580" t="s">
        <v>1825</v>
      </c>
      <c r="D4580" t="s">
        <v>1810</v>
      </c>
    </row>
    <row r="4581" spans="1:4" x14ac:dyDescent="0.2">
      <c r="A4581" t="s">
        <v>6298</v>
      </c>
      <c r="B4581" s="2">
        <v>43214</v>
      </c>
      <c r="C4581" t="s">
        <v>1836</v>
      </c>
      <c r="D4581" t="s">
        <v>1807</v>
      </c>
    </row>
    <row r="4582" spans="1:4" x14ac:dyDescent="0.2">
      <c r="A4582" t="s">
        <v>6299</v>
      </c>
      <c r="B4582" s="2">
        <v>43175</v>
      </c>
      <c r="C4582" t="s">
        <v>1859</v>
      </c>
      <c r="D4582" t="s">
        <v>1810</v>
      </c>
    </row>
    <row r="4583" spans="1:4" x14ac:dyDescent="0.2">
      <c r="A4583" t="s">
        <v>6300</v>
      </c>
      <c r="B4583" s="2">
        <v>42928</v>
      </c>
      <c r="C4583" t="s">
        <v>1900</v>
      </c>
      <c r="D4583" t="s">
        <v>1813</v>
      </c>
    </row>
    <row r="4584" spans="1:4" x14ac:dyDescent="0.2">
      <c r="A4584" t="s">
        <v>6301</v>
      </c>
      <c r="B4584" s="2">
        <v>43066</v>
      </c>
      <c r="C4584" t="s">
        <v>1930</v>
      </c>
      <c r="D4584" t="s">
        <v>1807</v>
      </c>
    </row>
    <row r="4585" spans="1:4" x14ac:dyDescent="0.2">
      <c r="A4585" t="s">
        <v>6302</v>
      </c>
      <c r="B4585" s="2">
        <v>43207</v>
      </c>
      <c r="C4585" t="s">
        <v>6303</v>
      </c>
      <c r="D4585" t="s">
        <v>1813</v>
      </c>
    </row>
    <row r="4586" spans="1:4" x14ac:dyDescent="0.2">
      <c r="A4586" t="s">
        <v>6304</v>
      </c>
      <c r="B4586" s="2">
        <v>43201</v>
      </c>
      <c r="C4586" t="s">
        <v>2115</v>
      </c>
      <c r="D4586" t="s">
        <v>1804</v>
      </c>
    </row>
    <row r="4587" spans="1:4" x14ac:dyDescent="0.2">
      <c r="A4587" t="s">
        <v>6305</v>
      </c>
      <c r="B4587" s="2">
        <v>43227</v>
      </c>
      <c r="C4587" t="s">
        <v>5971</v>
      </c>
      <c r="D4587" t="s">
        <v>1807</v>
      </c>
    </row>
    <row r="4588" spans="1:4" x14ac:dyDescent="0.2">
      <c r="A4588" t="s">
        <v>6306</v>
      </c>
      <c r="B4588" s="2">
        <v>43034</v>
      </c>
      <c r="C4588" t="s">
        <v>1836</v>
      </c>
      <c r="D4588" t="s">
        <v>1840</v>
      </c>
    </row>
    <row r="4589" spans="1:4" x14ac:dyDescent="0.2">
      <c r="A4589" t="s">
        <v>6307</v>
      </c>
      <c r="B4589" s="2">
        <v>42968</v>
      </c>
      <c r="C4589" t="s">
        <v>1894</v>
      </c>
      <c r="D4589" t="s">
        <v>1804</v>
      </c>
    </row>
    <row r="4590" spans="1:4" x14ac:dyDescent="0.2">
      <c r="A4590" t="s">
        <v>6308</v>
      </c>
      <c r="B4590" s="2">
        <v>43200</v>
      </c>
      <c r="C4590" t="s">
        <v>2048</v>
      </c>
      <c r="D4590" t="s">
        <v>1807</v>
      </c>
    </row>
    <row r="4591" spans="1:4" x14ac:dyDescent="0.2">
      <c r="A4591" t="s">
        <v>6309</v>
      </c>
      <c r="B4591" s="2">
        <v>43048</v>
      </c>
      <c r="C4591" t="s">
        <v>2650</v>
      </c>
      <c r="D4591" t="s">
        <v>1807</v>
      </c>
    </row>
    <row r="4592" spans="1:4" x14ac:dyDescent="0.2">
      <c r="A4592" t="s">
        <v>6310</v>
      </c>
      <c r="B4592" s="2">
        <v>42954</v>
      </c>
      <c r="C4592" t="s">
        <v>3161</v>
      </c>
      <c r="D4592" t="s">
        <v>1810</v>
      </c>
    </row>
    <row r="4593" spans="1:4" x14ac:dyDescent="0.2">
      <c r="A4593" t="s">
        <v>6311</v>
      </c>
      <c r="B4593" s="2">
        <v>43163</v>
      </c>
      <c r="C4593" t="s">
        <v>2321</v>
      </c>
      <c r="D4593" t="s">
        <v>1840</v>
      </c>
    </row>
    <row r="4594" spans="1:4" x14ac:dyDescent="0.2">
      <c r="A4594" t="s">
        <v>6312</v>
      </c>
      <c r="B4594" s="2">
        <v>43031</v>
      </c>
      <c r="C4594" t="s">
        <v>1816</v>
      </c>
      <c r="D4594" t="s">
        <v>1804</v>
      </c>
    </row>
    <row r="4595" spans="1:4" x14ac:dyDescent="0.2">
      <c r="A4595" t="s">
        <v>6313</v>
      </c>
      <c r="B4595" s="2">
        <v>43205</v>
      </c>
      <c r="C4595" t="s">
        <v>1863</v>
      </c>
      <c r="D4595" t="s">
        <v>1804</v>
      </c>
    </row>
    <row r="4596" spans="1:4" x14ac:dyDescent="0.2">
      <c r="A4596" t="s">
        <v>6314</v>
      </c>
      <c r="B4596" s="2">
        <v>42968</v>
      </c>
      <c r="C4596" t="s">
        <v>1806</v>
      </c>
      <c r="D4596" t="s">
        <v>1810</v>
      </c>
    </row>
    <row r="4597" spans="1:4" x14ac:dyDescent="0.2">
      <c r="A4597" t="s">
        <v>1036</v>
      </c>
      <c r="B4597" s="2">
        <v>43180</v>
      </c>
      <c r="C4597" t="s">
        <v>1836</v>
      </c>
      <c r="D4597" t="s">
        <v>1031</v>
      </c>
    </row>
    <row r="4598" spans="1:4" x14ac:dyDescent="0.2">
      <c r="A4598" t="s">
        <v>6315</v>
      </c>
      <c r="B4598" s="2">
        <v>43186</v>
      </c>
      <c r="C4598" t="s">
        <v>1816</v>
      </c>
      <c r="D4598" t="s">
        <v>1810</v>
      </c>
    </row>
    <row r="4599" spans="1:4" x14ac:dyDescent="0.2">
      <c r="A4599" t="s">
        <v>6316</v>
      </c>
      <c r="B4599" s="2">
        <v>43115</v>
      </c>
      <c r="C4599" t="s">
        <v>1930</v>
      </c>
      <c r="D4599" t="s">
        <v>1810</v>
      </c>
    </row>
    <row r="4600" spans="1:4" x14ac:dyDescent="0.2">
      <c r="A4600" t="s">
        <v>6317</v>
      </c>
      <c r="B4600" s="2">
        <v>43038</v>
      </c>
      <c r="C4600" t="s">
        <v>1825</v>
      </c>
      <c r="D4600" t="s">
        <v>1810</v>
      </c>
    </row>
    <row r="4601" spans="1:4" x14ac:dyDescent="0.2">
      <c r="A4601" t="s">
        <v>6318</v>
      </c>
      <c r="B4601" s="2">
        <v>43100</v>
      </c>
      <c r="C4601" t="s">
        <v>1880</v>
      </c>
      <c r="D4601" t="s">
        <v>1810</v>
      </c>
    </row>
    <row r="4602" spans="1:4" x14ac:dyDescent="0.2">
      <c r="A4602" t="s">
        <v>6319</v>
      </c>
      <c r="B4602" s="2">
        <v>43154</v>
      </c>
      <c r="C4602" t="s">
        <v>1803</v>
      </c>
      <c r="D4602" t="s">
        <v>1804</v>
      </c>
    </row>
    <row r="4603" spans="1:4" x14ac:dyDescent="0.2">
      <c r="A4603" t="s">
        <v>6320</v>
      </c>
      <c r="B4603" s="2">
        <v>43137</v>
      </c>
      <c r="C4603" t="s">
        <v>1836</v>
      </c>
      <c r="D4603" t="s">
        <v>1031</v>
      </c>
    </row>
    <row r="4604" spans="1:4" x14ac:dyDescent="0.2">
      <c r="A4604" t="s">
        <v>6321</v>
      </c>
      <c r="B4604" s="2">
        <v>43115</v>
      </c>
      <c r="C4604" t="s">
        <v>1905</v>
      </c>
      <c r="D4604" t="s">
        <v>1829</v>
      </c>
    </row>
    <row r="4605" spans="1:4" x14ac:dyDescent="0.2">
      <c r="A4605" t="s">
        <v>1038</v>
      </c>
      <c r="B4605" s="2">
        <v>43174</v>
      </c>
      <c r="C4605" t="s">
        <v>1928</v>
      </c>
      <c r="D4605" t="s">
        <v>1807</v>
      </c>
    </row>
    <row r="4606" spans="1:4" x14ac:dyDescent="0.2">
      <c r="A4606" t="s">
        <v>6322</v>
      </c>
      <c r="B4606" s="2">
        <v>43241</v>
      </c>
      <c r="C4606" t="s">
        <v>1836</v>
      </c>
      <c r="D4606" t="s">
        <v>1810</v>
      </c>
    </row>
    <row r="4607" spans="1:4" x14ac:dyDescent="0.2">
      <c r="A4607" t="s">
        <v>6323</v>
      </c>
      <c r="B4607" s="2">
        <v>43112</v>
      </c>
      <c r="C4607" t="s">
        <v>1867</v>
      </c>
      <c r="D4607" t="s">
        <v>1807</v>
      </c>
    </row>
    <row r="4608" spans="1:4" x14ac:dyDescent="0.2">
      <c r="A4608" t="s">
        <v>1040</v>
      </c>
      <c r="B4608" s="2">
        <v>43136</v>
      </c>
      <c r="C4608" t="s">
        <v>1930</v>
      </c>
      <c r="D4608" t="s">
        <v>1807</v>
      </c>
    </row>
    <row r="4609" spans="1:4" x14ac:dyDescent="0.2">
      <c r="A4609" t="s">
        <v>6324</v>
      </c>
      <c r="B4609" s="2">
        <v>42943</v>
      </c>
      <c r="C4609" t="s">
        <v>3419</v>
      </c>
      <c r="D4609" t="s">
        <v>1810</v>
      </c>
    </row>
    <row r="4610" spans="1:4" x14ac:dyDescent="0.2">
      <c r="A4610" t="s">
        <v>6325</v>
      </c>
      <c r="B4610" s="2">
        <v>43205</v>
      </c>
      <c r="C4610" t="s">
        <v>1863</v>
      </c>
      <c r="D4610" t="s">
        <v>1804</v>
      </c>
    </row>
    <row r="4611" spans="1:4" x14ac:dyDescent="0.2">
      <c r="A4611" t="s">
        <v>6326</v>
      </c>
      <c r="B4611" s="2">
        <v>43228</v>
      </c>
      <c r="C4611" t="s">
        <v>2521</v>
      </c>
      <c r="D4611" t="s">
        <v>1813</v>
      </c>
    </row>
    <row r="4612" spans="1:4" x14ac:dyDescent="0.2">
      <c r="A4612" t="s">
        <v>6327</v>
      </c>
      <c r="B4612" s="2">
        <v>43244</v>
      </c>
      <c r="C4612" t="s">
        <v>1825</v>
      </c>
      <c r="D4612" t="s">
        <v>1810</v>
      </c>
    </row>
    <row r="4613" spans="1:4" x14ac:dyDescent="0.2">
      <c r="A4613" t="s">
        <v>6328</v>
      </c>
      <c r="B4613" s="2">
        <v>43241</v>
      </c>
      <c r="C4613" t="s">
        <v>1867</v>
      </c>
      <c r="D4613" t="s">
        <v>1807</v>
      </c>
    </row>
    <row r="4614" spans="1:4" x14ac:dyDescent="0.2">
      <c r="A4614" t="s">
        <v>6329</v>
      </c>
      <c r="B4614" s="2">
        <v>43248</v>
      </c>
      <c r="C4614" t="s">
        <v>1825</v>
      </c>
      <c r="D4614" t="s">
        <v>1810</v>
      </c>
    </row>
    <row r="4615" spans="1:4" x14ac:dyDescent="0.2">
      <c r="A4615" t="s">
        <v>1042</v>
      </c>
      <c r="B4615" s="2">
        <v>43121</v>
      </c>
      <c r="C4615" t="s">
        <v>6330</v>
      </c>
      <c r="D4615" t="s">
        <v>1810</v>
      </c>
    </row>
    <row r="4616" spans="1:4" x14ac:dyDescent="0.2">
      <c r="A4616" t="s">
        <v>6331</v>
      </c>
      <c r="B4616" s="2">
        <v>43195</v>
      </c>
      <c r="C4616" t="s">
        <v>1832</v>
      </c>
      <c r="D4616" t="s">
        <v>1910</v>
      </c>
    </row>
    <row r="4617" spans="1:4" x14ac:dyDescent="0.2">
      <c r="A4617" t="s">
        <v>6332</v>
      </c>
      <c r="B4617" s="2">
        <v>42964</v>
      </c>
      <c r="C4617" t="s">
        <v>2552</v>
      </c>
      <c r="D4617" t="s">
        <v>1807</v>
      </c>
    </row>
    <row r="4618" spans="1:4" x14ac:dyDescent="0.2">
      <c r="A4618" t="s">
        <v>6333</v>
      </c>
      <c r="B4618" s="2">
        <v>43163</v>
      </c>
      <c r="C4618" t="s">
        <v>1809</v>
      </c>
      <c r="D4618" t="s">
        <v>1810</v>
      </c>
    </row>
    <row r="4619" spans="1:4" x14ac:dyDescent="0.2">
      <c r="A4619" t="s">
        <v>6334</v>
      </c>
      <c r="B4619" s="2">
        <v>43242</v>
      </c>
      <c r="C4619" t="s">
        <v>1902</v>
      </c>
      <c r="D4619" t="s">
        <v>1810</v>
      </c>
    </row>
    <row r="4620" spans="1:4" x14ac:dyDescent="0.2">
      <c r="A4620" t="s">
        <v>1044</v>
      </c>
      <c r="B4620" s="2">
        <v>43108</v>
      </c>
      <c r="C4620" t="s">
        <v>1915</v>
      </c>
      <c r="D4620" t="s">
        <v>1807</v>
      </c>
    </row>
    <row r="4621" spans="1:4" x14ac:dyDescent="0.2">
      <c r="A4621" t="s">
        <v>6335</v>
      </c>
      <c r="B4621" s="2">
        <v>43130</v>
      </c>
      <c r="C4621" t="s">
        <v>1836</v>
      </c>
      <c r="D4621" t="s">
        <v>1031</v>
      </c>
    </row>
    <row r="4622" spans="1:4" x14ac:dyDescent="0.2">
      <c r="A4622" t="s">
        <v>6336</v>
      </c>
      <c r="B4622" s="2">
        <v>43055</v>
      </c>
      <c r="C4622" t="s">
        <v>2309</v>
      </c>
      <c r="D4622" t="s">
        <v>1813</v>
      </c>
    </row>
    <row r="4623" spans="1:4" x14ac:dyDescent="0.2">
      <c r="A4623" t="s">
        <v>1046</v>
      </c>
      <c r="B4623" s="2">
        <v>43113</v>
      </c>
      <c r="C4623" t="s">
        <v>1905</v>
      </c>
      <c r="D4623" t="s">
        <v>1810</v>
      </c>
    </row>
    <row r="4624" spans="1:4" x14ac:dyDescent="0.2">
      <c r="A4624" t="s">
        <v>6337</v>
      </c>
      <c r="B4624" s="2">
        <v>43073</v>
      </c>
      <c r="C4624" t="s">
        <v>1915</v>
      </c>
      <c r="D4624" t="s">
        <v>1807</v>
      </c>
    </row>
    <row r="4625" spans="1:4" x14ac:dyDescent="0.2">
      <c r="A4625" t="s">
        <v>6338</v>
      </c>
      <c r="B4625" s="2">
        <v>43154</v>
      </c>
      <c r="C4625" t="s">
        <v>1825</v>
      </c>
      <c r="D4625" t="s">
        <v>1810</v>
      </c>
    </row>
    <row r="4626" spans="1:4" x14ac:dyDescent="0.2">
      <c r="A4626" t="s">
        <v>6339</v>
      </c>
      <c r="B4626" s="2">
        <v>43189</v>
      </c>
      <c r="C4626" t="s">
        <v>1875</v>
      </c>
      <c r="D4626" t="s">
        <v>1031</v>
      </c>
    </row>
    <row r="4627" spans="1:4" x14ac:dyDescent="0.2">
      <c r="A4627" t="s">
        <v>6340</v>
      </c>
      <c r="B4627" s="2">
        <v>43109</v>
      </c>
      <c r="C4627" t="s">
        <v>1803</v>
      </c>
      <c r="D4627" t="s">
        <v>1804</v>
      </c>
    </row>
    <row r="4628" spans="1:4" x14ac:dyDescent="0.2">
      <c r="A4628" t="s">
        <v>6341</v>
      </c>
      <c r="B4628" s="2">
        <v>43244</v>
      </c>
      <c r="C4628" t="s">
        <v>1832</v>
      </c>
      <c r="D4628" t="s">
        <v>1807</v>
      </c>
    </row>
    <row r="4629" spans="1:4" x14ac:dyDescent="0.2">
      <c r="A4629" t="s">
        <v>6342</v>
      </c>
      <c r="B4629" s="2">
        <v>43053</v>
      </c>
      <c r="C4629" t="s">
        <v>2309</v>
      </c>
      <c r="D4629" t="s">
        <v>1810</v>
      </c>
    </row>
    <row r="4630" spans="1:4" x14ac:dyDescent="0.2">
      <c r="A4630" t="s">
        <v>6343</v>
      </c>
      <c r="B4630" s="2">
        <v>43014</v>
      </c>
      <c r="C4630" t="s">
        <v>1806</v>
      </c>
      <c r="D4630" t="s">
        <v>1807</v>
      </c>
    </row>
    <row r="4631" spans="1:4" x14ac:dyDescent="0.2">
      <c r="A4631" t="s">
        <v>6344</v>
      </c>
      <c r="B4631" s="2">
        <v>43192</v>
      </c>
      <c r="C4631" t="s">
        <v>1937</v>
      </c>
      <c r="D4631" t="s">
        <v>1807</v>
      </c>
    </row>
    <row r="4632" spans="1:4" x14ac:dyDescent="0.2">
      <c r="A4632" t="s">
        <v>6345</v>
      </c>
      <c r="B4632" s="2">
        <v>43215</v>
      </c>
      <c r="C4632" t="s">
        <v>1863</v>
      </c>
      <c r="D4632" t="s">
        <v>1804</v>
      </c>
    </row>
    <row r="4633" spans="1:4" x14ac:dyDescent="0.2">
      <c r="A4633" t="s">
        <v>6346</v>
      </c>
      <c r="B4633" s="2">
        <v>43045</v>
      </c>
      <c r="C4633" t="s">
        <v>1825</v>
      </c>
      <c r="D4633" t="s">
        <v>1829</v>
      </c>
    </row>
    <row r="4634" spans="1:4" x14ac:dyDescent="0.2">
      <c r="A4634" t="s">
        <v>6347</v>
      </c>
      <c r="B4634" s="2">
        <v>42974</v>
      </c>
      <c r="C4634" t="s">
        <v>1859</v>
      </c>
      <c r="D4634" t="s">
        <v>1810</v>
      </c>
    </row>
    <row r="4635" spans="1:4" x14ac:dyDescent="0.2">
      <c r="A4635" t="s">
        <v>6348</v>
      </c>
      <c r="B4635" s="2">
        <v>43035</v>
      </c>
      <c r="C4635" t="s">
        <v>1889</v>
      </c>
      <c r="D4635" t="s">
        <v>1813</v>
      </c>
    </row>
    <row r="4636" spans="1:4" x14ac:dyDescent="0.2">
      <c r="A4636" t="s">
        <v>6349</v>
      </c>
      <c r="B4636" s="2">
        <v>43124</v>
      </c>
      <c r="C4636" t="s">
        <v>1814</v>
      </c>
      <c r="D4636" t="s">
        <v>1840</v>
      </c>
    </row>
    <row r="4637" spans="1:4" x14ac:dyDescent="0.2">
      <c r="A4637" t="s">
        <v>6350</v>
      </c>
      <c r="B4637" s="2">
        <v>43074</v>
      </c>
      <c r="C4637" t="s">
        <v>1885</v>
      </c>
      <c r="D4637" t="s">
        <v>1807</v>
      </c>
    </row>
    <row r="4638" spans="1:4" x14ac:dyDescent="0.2">
      <c r="A4638" t="s">
        <v>6351</v>
      </c>
      <c r="B4638" s="2">
        <v>43226</v>
      </c>
      <c r="C4638" t="s">
        <v>1905</v>
      </c>
      <c r="D4638" t="s">
        <v>1804</v>
      </c>
    </row>
    <row r="4639" spans="1:4" x14ac:dyDescent="0.2">
      <c r="A4639" t="s">
        <v>6352</v>
      </c>
      <c r="B4639" s="2">
        <v>43238</v>
      </c>
      <c r="C4639" t="s">
        <v>2831</v>
      </c>
      <c r="D4639" t="s">
        <v>1807</v>
      </c>
    </row>
    <row r="4640" spans="1:4" x14ac:dyDescent="0.2">
      <c r="A4640" t="s">
        <v>6353</v>
      </c>
      <c r="B4640" s="2">
        <v>43011</v>
      </c>
      <c r="C4640" t="s">
        <v>1885</v>
      </c>
      <c r="D4640" t="s">
        <v>1807</v>
      </c>
    </row>
    <row r="4641" spans="1:4" x14ac:dyDescent="0.2">
      <c r="A4641" t="s">
        <v>6354</v>
      </c>
      <c r="B4641" s="2">
        <v>43028</v>
      </c>
      <c r="C4641" t="s">
        <v>1887</v>
      </c>
      <c r="D4641" t="s">
        <v>1813</v>
      </c>
    </row>
    <row r="4642" spans="1:4" x14ac:dyDescent="0.2">
      <c r="A4642" t="s">
        <v>6355</v>
      </c>
      <c r="B4642" s="2">
        <v>43165</v>
      </c>
      <c r="C4642" t="s">
        <v>3333</v>
      </c>
      <c r="D4642" t="s">
        <v>1813</v>
      </c>
    </row>
    <row r="4643" spans="1:4" x14ac:dyDescent="0.2">
      <c r="A4643" t="s">
        <v>1048</v>
      </c>
      <c r="B4643" s="2">
        <v>43210</v>
      </c>
      <c r="C4643" t="s">
        <v>1930</v>
      </c>
      <c r="D4643" t="s">
        <v>1807</v>
      </c>
    </row>
    <row r="4644" spans="1:4" x14ac:dyDescent="0.2">
      <c r="A4644" t="s">
        <v>6356</v>
      </c>
      <c r="B4644" s="2">
        <v>43118</v>
      </c>
      <c r="C4644" t="s">
        <v>1867</v>
      </c>
      <c r="D4644" t="s">
        <v>1840</v>
      </c>
    </row>
    <row r="4645" spans="1:4" x14ac:dyDescent="0.2">
      <c r="A4645" t="s">
        <v>6357</v>
      </c>
      <c r="B4645" s="2">
        <v>43184</v>
      </c>
      <c r="C4645" t="s">
        <v>1816</v>
      </c>
      <c r="D4645" t="s">
        <v>1807</v>
      </c>
    </row>
    <row r="4646" spans="1:4" x14ac:dyDescent="0.2">
      <c r="A4646" t="s">
        <v>6358</v>
      </c>
      <c r="B4646" s="2">
        <v>43173</v>
      </c>
      <c r="C4646" t="s">
        <v>1809</v>
      </c>
      <c r="D4646" t="s">
        <v>1849</v>
      </c>
    </row>
    <row r="4647" spans="1:4" x14ac:dyDescent="0.2">
      <c r="A4647" t="s">
        <v>6359</v>
      </c>
      <c r="B4647" s="2">
        <v>43109</v>
      </c>
      <c r="C4647" t="s">
        <v>1905</v>
      </c>
      <c r="D4647" t="s">
        <v>1810</v>
      </c>
    </row>
    <row r="4648" spans="1:4" x14ac:dyDescent="0.2">
      <c r="A4648" t="s">
        <v>6360</v>
      </c>
      <c r="B4648" s="2">
        <v>43036</v>
      </c>
      <c r="C4648" t="s">
        <v>1825</v>
      </c>
      <c r="D4648" t="s">
        <v>1804</v>
      </c>
    </row>
    <row r="4649" spans="1:4" x14ac:dyDescent="0.2">
      <c r="A4649" t="s">
        <v>1050</v>
      </c>
      <c r="B4649" s="2">
        <v>43178</v>
      </c>
      <c r="C4649" t="s">
        <v>6361</v>
      </c>
      <c r="D4649" t="s">
        <v>1031</v>
      </c>
    </row>
    <row r="4650" spans="1:4" x14ac:dyDescent="0.2">
      <c r="A4650" t="s">
        <v>6362</v>
      </c>
      <c r="B4650" s="2">
        <v>43105</v>
      </c>
      <c r="C4650" t="s">
        <v>1831</v>
      </c>
      <c r="D4650" t="s">
        <v>160</v>
      </c>
    </row>
    <row r="4651" spans="1:4" x14ac:dyDescent="0.2">
      <c r="A4651" t="s">
        <v>6363</v>
      </c>
      <c r="B4651" s="2">
        <v>43109</v>
      </c>
      <c r="C4651" t="s">
        <v>1905</v>
      </c>
      <c r="D4651" t="s">
        <v>1031</v>
      </c>
    </row>
    <row r="4652" spans="1:4" x14ac:dyDescent="0.2">
      <c r="A4652" t="s">
        <v>6364</v>
      </c>
      <c r="B4652" s="2">
        <v>43203</v>
      </c>
      <c r="C4652" t="s">
        <v>1863</v>
      </c>
      <c r="D4652" t="s">
        <v>1804</v>
      </c>
    </row>
    <row r="4653" spans="1:4" x14ac:dyDescent="0.2">
      <c r="A4653" t="s">
        <v>6365</v>
      </c>
      <c r="B4653" s="2">
        <v>42965</v>
      </c>
      <c r="C4653" t="s">
        <v>2535</v>
      </c>
      <c r="D4653" t="s">
        <v>1807</v>
      </c>
    </row>
    <row r="4654" spans="1:4" x14ac:dyDescent="0.2">
      <c r="A4654" t="s">
        <v>6366</v>
      </c>
      <c r="B4654" s="2">
        <v>43133</v>
      </c>
      <c r="C4654" t="s">
        <v>1814</v>
      </c>
      <c r="D4654" t="s">
        <v>1810</v>
      </c>
    </row>
    <row r="4655" spans="1:4" x14ac:dyDescent="0.2">
      <c r="A4655" t="s">
        <v>6367</v>
      </c>
      <c r="B4655" s="2">
        <v>43015</v>
      </c>
      <c r="C4655" t="s">
        <v>1803</v>
      </c>
      <c r="D4655" t="s">
        <v>1804</v>
      </c>
    </row>
    <row r="4656" spans="1:4" x14ac:dyDescent="0.2">
      <c r="A4656" t="s">
        <v>6368</v>
      </c>
      <c r="B4656" s="2">
        <v>43185</v>
      </c>
      <c r="C4656" t="s">
        <v>1825</v>
      </c>
      <c r="D4656" t="s">
        <v>1810</v>
      </c>
    </row>
    <row r="4657" spans="1:4" x14ac:dyDescent="0.2">
      <c r="A4657" t="s">
        <v>6369</v>
      </c>
      <c r="B4657" s="2">
        <v>43007</v>
      </c>
      <c r="C4657" t="s">
        <v>1894</v>
      </c>
      <c r="D4657" t="s">
        <v>1804</v>
      </c>
    </row>
    <row r="4658" spans="1:4" x14ac:dyDescent="0.2">
      <c r="A4658" t="s">
        <v>6370</v>
      </c>
      <c r="B4658" s="2">
        <v>43027</v>
      </c>
      <c r="C4658" t="s">
        <v>1816</v>
      </c>
      <c r="D4658" t="s">
        <v>1810</v>
      </c>
    </row>
    <row r="4659" spans="1:4" x14ac:dyDescent="0.2">
      <c r="A4659" t="s">
        <v>6371</v>
      </c>
      <c r="B4659" s="2">
        <v>43159</v>
      </c>
      <c r="C4659" t="s">
        <v>2291</v>
      </c>
      <c r="D4659" t="s">
        <v>1031</v>
      </c>
    </row>
    <row r="4660" spans="1:4" x14ac:dyDescent="0.2">
      <c r="A4660" t="s">
        <v>6372</v>
      </c>
      <c r="B4660" s="2">
        <v>42978</v>
      </c>
      <c r="C4660" t="s">
        <v>6373</v>
      </c>
      <c r="D4660" t="s">
        <v>1807</v>
      </c>
    </row>
    <row r="4661" spans="1:4" x14ac:dyDescent="0.2">
      <c r="A4661" t="s">
        <v>6374</v>
      </c>
      <c r="B4661" s="2">
        <v>43172</v>
      </c>
      <c r="C4661" t="s">
        <v>1816</v>
      </c>
      <c r="D4661" t="s">
        <v>1810</v>
      </c>
    </row>
    <row r="4662" spans="1:4" x14ac:dyDescent="0.2">
      <c r="A4662" t="s">
        <v>6375</v>
      </c>
      <c r="B4662" s="2">
        <v>43180</v>
      </c>
      <c r="C4662" t="s">
        <v>1825</v>
      </c>
      <c r="D4662" t="s">
        <v>1810</v>
      </c>
    </row>
    <row r="4663" spans="1:4" x14ac:dyDescent="0.2">
      <c r="A4663" t="s">
        <v>6376</v>
      </c>
      <c r="B4663" s="2">
        <v>43171</v>
      </c>
      <c r="C4663" t="s">
        <v>1816</v>
      </c>
      <c r="D4663" t="s">
        <v>1810</v>
      </c>
    </row>
    <row r="4664" spans="1:4" x14ac:dyDescent="0.2">
      <c r="A4664" t="s">
        <v>6377</v>
      </c>
      <c r="B4664" s="2">
        <v>43117</v>
      </c>
      <c r="C4664" t="s">
        <v>1867</v>
      </c>
      <c r="D4664" t="s">
        <v>1813</v>
      </c>
    </row>
    <row r="4665" spans="1:4" x14ac:dyDescent="0.2">
      <c r="A4665" t="s">
        <v>6378</v>
      </c>
      <c r="B4665" s="2">
        <v>43108</v>
      </c>
      <c r="C4665" t="s">
        <v>1836</v>
      </c>
      <c r="D4665" t="s">
        <v>1031</v>
      </c>
    </row>
    <row r="4666" spans="1:4" x14ac:dyDescent="0.2">
      <c r="A4666" t="s">
        <v>1052</v>
      </c>
      <c r="B4666" s="2">
        <v>43245</v>
      </c>
      <c r="C4666" t="s">
        <v>2342</v>
      </c>
      <c r="D4666" t="s">
        <v>1031</v>
      </c>
    </row>
    <row r="4667" spans="1:4" x14ac:dyDescent="0.2">
      <c r="A4667" t="s">
        <v>6379</v>
      </c>
      <c r="B4667" s="2">
        <v>42992</v>
      </c>
      <c r="C4667" t="s">
        <v>1894</v>
      </c>
      <c r="D4667" t="s">
        <v>1813</v>
      </c>
    </row>
    <row r="4668" spans="1:4" x14ac:dyDescent="0.2">
      <c r="A4668" t="s">
        <v>6380</v>
      </c>
      <c r="B4668" s="2">
        <v>43201</v>
      </c>
      <c r="C4668" t="s">
        <v>1889</v>
      </c>
      <c r="D4668" t="s">
        <v>1810</v>
      </c>
    </row>
    <row r="4669" spans="1:4" x14ac:dyDescent="0.2">
      <c r="A4669" t="s">
        <v>6381</v>
      </c>
      <c r="B4669" s="2">
        <v>43230</v>
      </c>
      <c r="C4669" t="s">
        <v>3210</v>
      </c>
      <c r="D4669" t="s">
        <v>1807</v>
      </c>
    </row>
    <row r="4670" spans="1:4" x14ac:dyDescent="0.2">
      <c r="A4670" t="s">
        <v>6382</v>
      </c>
      <c r="B4670" s="2">
        <v>43158</v>
      </c>
      <c r="C4670" t="s">
        <v>1867</v>
      </c>
      <c r="D4670" t="s">
        <v>1810</v>
      </c>
    </row>
    <row r="4671" spans="1:4" x14ac:dyDescent="0.2">
      <c r="A4671" t="s">
        <v>6383</v>
      </c>
      <c r="B4671" s="2">
        <v>42928</v>
      </c>
      <c r="C4671" t="s">
        <v>1816</v>
      </c>
      <c r="D4671" t="s">
        <v>1840</v>
      </c>
    </row>
    <row r="4672" spans="1:4" x14ac:dyDescent="0.2">
      <c r="A4672" t="s">
        <v>6384</v>
      </c>
      <c r="B4672" s="2">
        <v>43157</v>
      </c>
      <c r="C4672" t="s">
        <v>4155</v>
      </c>
      <c r="D4672" t="s">
        <v>1810</v>
      </c>
    </row>
    <row r="4673" spans="1:4" x14ac:dyDescent="0.2">
      <c r="A4673" t="s">
        <v>6385</v>
      </c>
      <c r="B4673" s="2">
        <v>43014</v>
      </c>
      <c r="C4673" t="s">
        <v>1806</v>
      </c>
      <c r="D4673" t="s">
        <v>160</v>
      </c>
    </row>
    <row r="4674" spans="1:4" x14ac:dyDescent="0.2">
      <c r="A4674" t="s">
        <v>6386</v>
      </c>
      <c r="B4674" s="2">
        <v>43075</v>
      </c>
      <c r="C4674" t="s">
        <v>1803</v>
      </c>
      <c r="D4674" t="s">
        <v>1804</v>
      </c>
    </row>
    <row r="4675" spans="1:4" x14ac:dyDescent="0.2">
      <c r="A4675" t="s">
        <v>6387</v>
      </c>
      <c r="B4675" s="2">
        <v>43118</v>
      </c>
      <c r="C4675" t="s">
        <v>1825</v>
      </c>
      <c r="D4675" t="s">
        <v>1810</v>
      </c>
    </row>
    <row r="4676" spans="1:4" x14ac:dyDescent="0.2">
      <c r="A4676" t="s">
        <v>1054</v>
      </c>
      <c r="B4676" s="2">
        <v>43227</v>
      </c>
      <c r="C4676" t="s">
        <v>1827</v>
      </c>
      <c r="D4676" t="s">
        <v>1807</v>
      </c>
    </row>
    <row r="4677" spans="1:4" x14ac:dyDescent="0.2">
      <c r="A4677" t="s">
        <v>6388</v>
      </c>
      <c r="B4677" s="2">
        <v>43119</v>
      </c>
      <c r="C4677" t="s">
        <v>1836</v>
      </c>
      <c r="D4677" t="s">
        <v>1031</v>
      </c>
    </row>
    <row r="4678" spans="1:4" x14ac:dyDescent="0.2">
      <c r="A4678" t="s">
        <v>1056</v>
      </c>
      <c r="B4678" s="2">
        <v>43195</v>
      </c>
      <c r="C4678" t="s">
        <v>1814</v>
      </c>
      <c r="D4678" t="s">
        <v>1810</v>
      </c>
    </row>
    <row r="4679" spans="1:4" x14ac:dyDescent="0.2">
      <c r="A4679" t="s">
        <v>6389</v>
      </c>
      <c r="B4679" s="2">
        <v>42951</v>
      </c>
      <c r="C4679" t="s">
        <v>2576</v>
      </c>
      <c r="D4679" t="s">
        <v>1813</v>
      </c>
    </row>
    <row r="4680" spans="1:4" x14ac:dyDescent="0.2">
      <c r="A4680" t="s">
        <v>6390</v>
      </c>
      <c r="B4680" s="2">
        <v>43225</v>
      </c>
      <c r="C4680" t="s">
        <v>2070</v>
      </c>
      <c r="D4680" t="s">
        <v>1813</v>
      </c>
    </row>
    <row r="4681" spans="1:4" x14ac:dyDescent="0.2">
      <c r="A4681" t="s">
        <v>6391</v>
      </c>
      <c r="B4681" s="2">
        <v>43110</v>
      </c>
      <c r="C4681" t="s">
        <v>1905</v>
      </c>
      <c r="D4681" t="s">
        <v>1810</v>
      </c>
    </row>
    <row r="4682" spans="1:4" x14ac:dyDescent="0.2">
      <c r="A4682" t="s">
        <v>6392</v>
      </c>
      <c r="B4682" s="2">
        <v>43170</v>
      </c>
      <c r="C4682" t="s">
        <v>2045</v>
      </c>
      <c r="D4682" t="s">
        <v>1807</v>
      </c>
    </row>
    <row r="4683" spans="1:4" x14ac:dyDescent="0.2">
      <c r="A4683" t="s">
        <v>6393</v>
      </c>
      <c r="B4683" s="2">
        <v>43042</v>
      </c>
      <c r="C4683" t="s">
        <v>1816</v>
      </c>
      <c r="D4683" t="s">
        <v>1840</v>
      </c>
    </row>
    <row r="4684" spans="1:4" x14ac:dyDescent="0.2">
      <c r="A4684" t="s">
        <v>6394</v>
      </c>
      <c r="B4684" s="2">
        <v>42969</v>
      </c>
      <c r="C4684" t="s">
        <v>3101</v>
      </c>
      <c r="D4684" t="s">
        <v>1031</v>
      </c>
    </row>
    <row r="4685" spans="1:4" x14ac:dyDescent="0.2">
      <c r="A4685" t="s">
        <v>6395</v>
      </c>
      <c r="B4685" s="2">
        <v>43207</v>
      </c>
      <c r="C4685" t="s">
        <v>2158</v>
      </c>
      <c r="D4685" t="s">
        <v>1910</v>
      </c>
    </row>
    <row r="4686" spans="1:4" x14ac:dyDescent="0.2">
      <c r="A4686" t="s">
        <v>6396</v>
      </c>
      <c r="B4686" s="2">
        <v>43223</v>
      </c>
      <c r="C4686" t="s">
        <v>1863</v>
      </c>
      <c r="D4686" t="s">
        <v>1804</v>
      </c>
    </row>
    <row r="4687" spans="1:4" x14ac:dyDescent="0.2">
      <c r="A4687" t="s">
        <v>6397</v>
      </c>
      <c r="B4687" s="2">
        <v>43178</v>
      </c>
      <c r="C4687" t="s">
        <v>2000</v>
      </c>
      <c r="D4687" t="s">
        <v>1807</v>
      </c>
    </row>
    <row r="4688" spans="1:4" x14ac:dyDescent="0.2">
      <c r="A4688" t="s">
        <v>6398</v>
      </c>
      <c r="B4688" s="2">
        <v>43228</v>
      </c>
      <c r="C4688" t="s">
        <v>2521</v>
      </c>
      <c r="D4688" t="s">
        <v>1813</v>
      </c>
    </row>
    <row r="4689" spans="1:4" x14ac:dyDescent="0.2">
      <c r="A4689" t="s">
        <v>1058</v>
      </c>
      <c r="B4689" s="2">
        <v>43147</v>
      </c>
      <c r="C4689" t="s">
        <v>4092</v>
      </c>
      <c r="D4689" t="s">
        <v>1813</v>
      </c>
    </row>
    <row r="4690" spans="1:4" x14ac:dyDescent="0.2">
      <c r="A4690" t="s">
        <v>6399</v>
      </c>
      <c r="B4690" s="2">
        <v>43245</v>
      </c>
      <c r="C4690" t="s">
        <v>2196</v>
      </c>
      <c r="D4690" t="s">
        <v>1807</v>
      </c>
    </row>
    <row r="4691" spans="1:4" x14ac:dyDescent="0.2">
      <c r="A4691" t="s">
        <v>6400</v>
      </c>
      <c r="B4691" s="2">
        <v>43234</v>
      </c>
      <c r="C4691" t="s">
        <v>1863</v>
      </c>
      <c r="D4691" t="s">
        <v>1804</v>
      </c>
    </row>
    <row r="4692" spans="1:4" x14ac:dyDescent="0.2">
      <c r="A4692" t="s">
        <v>6401</v>
      </c>
      <c r="B4692" s="2">
        <v>43158</v>
      </c>
      <c r="C4692" t="s">
        <v>1836</v>
      </c>
      <c r="D4692" t="s">
        <v>1031</v>
      </c>
    </row>
    <row r="4693" spans="1:4" x14ac:dyDescent="0.2">
      <c r="A4693" t="s">
        <v>1060</v>
      </c>
      <c r="B4693" s="2">
        <v>43033</v>
      </c>
      <c r="C4693" t="s">
        <v>1885</v>
      </c>
      <c r="D4693" t="s">
        <v>1807</v>
      </c>
    </row>
    <row r="4694" spans="1:4" x14ac:dyDescent="0.2">
      <c r="A4694" t="s">
        <v>6402</v>
      </c>
      <c r="B4694" s="2">
        <v>43090</v>
      </c>
      <c r="C4694" t="s">
        <v>4230</v>
      </c>
      <c r="D4694" t="s">
        <v>1031</v>
      </c>
    </row>
    <row r="4695" spans="1:4" x14ac:dyDescent="0.2">
      <c r="A4695" t="s">
        <v>1062</v>
      </c>
      <c r="B4695" s="2">
        <v>43147</v>
      </c>
      <c r="C4695" t="s">
        <v>1905</v>
      </c>
      <c r="D4695" t="s">
        <v>1813</v>
      </c>
    </row>
    <row r="4696" spans="1:4" x14ac:dyDescent="0.2">
      <c r="A4696" t="s">
        <v>6403</v>
      </c>
      <c r="B4696" s="2">
        <v>43185</v>
      </c>
      <c r="C4696" t="s">
        <v>1863</v>
      </c>
      <c r="D4696" t="s">
        <v>1804</v>
      </c>
    </row>
    <row r="4697" spans="1:4" x14ac:dyDescent="0.2">
      <c r="A4697" t="s">
        <v>6404</v>
      </c>
      <c r="B4697" s="2">
        <v>43164</v>
      </c>
      <c r="C4697" t="s">
        <v>1905</v>
      </c>
      <c r="D4697" t="s">
        <v>1810</v>
      </c>
    </row>
    <row r="4698" spans="1:4" x14ac:dyDescent="0.2">
      <c r="A4698" t="s">
        <v>6405</v>
      </c>
      <c r="B4698" s="2">
        <v>43128</v>
      </c>
      <c r="C4698" t="s">
        <v>1803</v>
      </c>
      <c r="D4698" t="s">
        <v>1804</v>
      </c>
    </row>
    <row r="4699" spans="1:4" x14ac:dyDescent="0.2">
      <c r="A4699" t="s">
        <v>6406</v>
      </c>
      <c r="B4699" s="2">
        <v>43058</v>
      </c>
      <c r="C4699" t="s">
        <v>1803</v>
      </c>
      <c r="D4699" t="s">
        <v>1804</v>
      </c>
    </row>
    <row r="4700" spans="1:4" x14ac:dyDescent="0.2">
      <c r="A4700" t="s">
        <v>6407</v>
      </c>
      <c r="B4700" s="2">
        <v>43014</v>
      </c>
      <c r="C4700" t="s">
        <v>1900</v>
      </c>
      <c r="D4700" t="s">
        <v>1829</v>
      </c>
    </row>
    <row r="4701" spans="1:4" x14ac:dyDescent="0.2">
      <c r="A4701" t="s">
        <v>6408</v>
      </c>
      <c r="B4701" s="2">
        <v>43167</v>
      </c>
      <c r="C4701" t="s">
        <v>1825</v>
      </c>
      <c r="D4701" t="s">
        <v>1810</v>
      </c>
    </row>
    <row r="4702" spans="1:4" x14ac:dyDescent="0.2">
      <c r="A4702" t="s">
        <v>6409</v>
      </c>
      <c r="B4702" s="2">
        <v>42950</v>
      </c>
      <c r="C4702" t="s">
        <v>1816</v>
      </c>
      <c r="D4702" t="s">
        <v>1810</v>
      </c>
    </row>
    <row r="4703" spans="1:4" x14ac:dyDescent="0.2">
      <c r="A4703" t="s">
        <v>6410</v>
      </c>
      <c r="B4703" s="2">
        <v>43138</v>
      </c>
      <c r="C4703" t="s">
        <v>1831</v>
      </c>
      <c r="D4703" t="s">
        <v>1804</v>
      </c>
    </row>
    <row r="4704" spans="1:4" x14ac:dyDescent="0.2">
      <c r="A4704" t="s">
        <v>6411</v>
      </c>
      <c r="B4704" s="2">
        <v>43070</v>
      </c>
      <c r="C4704" t="s">
        <v>1834</v>
      </c>
      <c r="D4704" t="s">
        <v>1810</v>
      </c>
    </row>
    <row r="4705" spans="1:4" x14ac:dyDescent="0.2">
      <c r="A4705" t="s">
        <v>1064</v>
      </c>
      <c r="B4705" s="2">
        <v>43168</v>
      </c>
      <c r="C4705" t="s">
        <v>1885</v>
      </c>
      <c r="D4705" t="s">
        <v>1810</v>
      </c>
    </row>
    <row r="4706" spans="1:4" x14ac:dyDescent="0.2">
      <c r="A4706" t="s">
        <v>6412</v>
      </c>
      <c r="B4706" s="2">
        <v>43038</v>
      </c>
      <c r="C4706" t="s">
        <v>1867</v>
      </c>
      <c r="D4706" t="s">
        <v>1810</v>
      </c>
    </row>
    <row r="4707" spans="1:4" x14ac:dyDescent="0.2">
      <c r="A4707" t="s">
        <v>6413</v>
      </c>
      <c r="B4707" s="2">
        <v>43178</v>
      </c>
      <c r="C4707" t="s">
        <v>2196</v>
      </c>
      <c r="D4707" t="s">
        <v>1840</v>
      </c>
    </row>
    <row r="4708" spans="1:4" x14ac:dyDescent="0.2">
      <c r="A4708" t="s">
        <v>1066</v>
      </c>
      <c r="B4708" s="2">
        <v>43003</v>
      </c>
      <c r="C4708" t="s">
        <v>2012</v>
      </c>
      <c r="D4708" t="s">
        <v>1807</v>
      </c>
    </row>
    <row r="4709" spans="1:4" x14ac:dyDescent="0.2">
      <c r="A4709" t="s">
        <v>6414</v>
      </c>
      <c r="B4709" s="2">
        <v>42930</v>
      </c>
      <c r="C4709" t="s">
        <v>1885</v>
      </c>
      <c r="D4709" t="s">
        <v>1807</v>
      </c>
    </row>
    <row r="4710" spans="1:4" x14ac:dyDescent="0.2">
      <c r="A4710" t="s">
        <v>6415</v>
      </c>
      <c r="B4710" s="2">
        <v>43034</v>
      </c>
      <c r="C4710" t="s">
        <v>2216</v>
      </c>
      <c r="D4710" t="s">
        <v>1810</v>
      </c>
    </row>
    <row r="4711" spans="1:4" x14ac:dyDescent="0.2">
      <c r="A4711" t="s">
        <v>6416</v>
      </c>
      <c r="B4711" s="2">
        <v>43234</v>
      </c>
      <c r="C4711" t="s">
        <v>6417</v>
      </c>
      <c r="D4711" t="s">
        <v>1810</v>
      </c>
    </row>
    <row r="4712" spans="1:4" x14ac:dyDescent="0.2">
      <c r="A4712" t="s">
        <v>6418</v>
      </c>
      <c r="B4712" s="2">
        <v>42951</v>
      </c>
      <c r="C4712" t="s">
        <v>1843</v>
      </c>
      <c r="D4712" t="s">
        <v>1807</v>
      </c>
    </row>
    <row r="4713" spans="1:4" x14ac:dyDescent="0.2">
      <c r="A4713" t="s">
        <v>6419</v>
      </c>
      <c r="B4713" s="2">
        <v>43222</v>
      </c>
      <c r="C4713" t="s">
        <v>1816</v>
      </c>
      <c r="D4713" t="s">
        <v>1810</v>
      </c>
    </row>
    <row r="4714" spans="1:4" x14ac:dyDescent="0.2">
      <c r="A4714" t="s">
        <v>6420</v>
      </c>
      <c r="B4714" s="2">
        <v>43136</v>
      </c>
      <c r="C4714" t="s">
        <v>1836</v>
      </c>
      <c r="D4714" t="s">
        <v>1807</v>
      </c>
    </row>
    <row r="4715" spans="1:4" x14ac:dyDescent="0.2">
      <c r="A4715" t="s">
        <v>6421</v>
      </c>
      <c r="B4715" s="2">
        <v>42958</v>
      </c>
      <c r="C4715" t="s">
        <v>2014</v>
      </c>
      <c r="D4715" t="s">
        <v>1810</v>
      </c>
    </row>
    <row r="4716" spans="1:4" x14ac:dyDescent="0.2">
      <c r="A4716" t="s">
        <v>6422</v>
      </c>
      <c r="B4716" s="2">
        <v>42970</v>
      </c>
      <c r="C4716" t="s">
        <v>1867</v>
      </c>
      <c r="D4716" t="s">
        <v>1031</v>
      </c>
    </row>
    <row r="4717" spans="1:4" x14ac:dyDescent="0.2">
      <c r="A4717" t="s">
        <v>6423</v>
      </c>
      <c r="B4717" s="2">
        <v>43243</v>
      </c>
      <c r="C4717" t="s">
        <v>1863</v>
      </c>
      <c r="D4717" t="s">
        <v>1804</v>
      </c>
    </row>
    <row r="4718" spans="1:4" x14ac:dyDescent="0.2">
      <c r="A4718" t="s">
        <v>6424</v>
      </c>
      <c r="B4718" s="2">
        <v>43111</v>
      </c>
      <c r="C4718" t="s">
        <v>1867</v>
      </c>
      <c r="D4718" t="s">
        <v>1813</v>
      </c>
    </row>
    <row r="4719" spans="1:4" x14ac:dyDescent="0.2">
      <c r="A4719" t="s">
        <v>6425</v>
      </c>
      <c r="B4719" s="2">
        <v>43122</v>
      </c>
      <c r="C4719" t="s">
        <v>1836</v>
      </c>
      <c r="D4719" t="s">
        <v>1031</v>
      </c>
    </row>
    <row r="4720" spans="1:4" x14ac:dyDescent="0.2">
      <c r="A4720" t="s">
        <v>6426</v>
      </c>
      <c r="B4720" s="2">
        <v>43241</v>
      </c>
      <c r="C4720" t="s">
        <v>1930</v>
      </c>
      <c r="D4720" t="s">
        <v>1807</v>
      </c>
    </row>
    <row r="4721" spans="1:4" x14ac:dyDescent="0.2">
      <c r="A4721" t="s">
        <v>6427</v>
      </c>
      <c r="B4721" s="2">
        <v>43234</v>
      </c>
      <c r="C4721" t="s">
        <v>1930</v>
      </c>
      <c r="D4721" t="s">
        <v>1810</v>
      </c>
    </row>
    <row r="4722" spans="1:4" x14ac:dyDescent="0.2">
      <c r="A4722" t="s">
        <v>6428</v>
      </c>
      <c r="B4722" s="2">
        <v>43185</v>
      </c>
      <c r="C4722" t="s">
        <v>2445</v>
      </c>
      <c r="D4722" t="s">
        <v>1840</v>
      </c>
    </row>
    <row r="4723" spans="1:4" x14ac:dyDescent="0.2">
      <c r="A4723" t="s">
        <v>6429</v>
      </c>
      <c r="B4723" s="2">
        <v>43224</v>
      </c>
      <c r="C4723" t="s">
        <v>6430</v>
      </c>
      <c r="D4723" t="s">
        <v>1840</v>
      </c>
    </row>
    <row r="4724" spans="1:4" x14ac:dyDescent="0.2">
      <c r="A4724" t="s">
        <v>6431</v>
      </c>
      <c r="B4724" s="2">
        <v>43241</v>
      </c>
      <c r="C4724" t="s">
        <v>1867</v>
      </c>
      <c r="D4724" t="s">
        <v>1810</v>
      </c>
    </row>
    <row r="4725" spans="1:4" x14ac:dyDescent="0.2">
      <c r="A4725" t="s">
        <v>6432</v>
      </c>
      <c r="B4725" s="2">
        <v>43012</v>
      </c>
      <c r="C4725" t="s">
        <v>1806</v>
      </c>
      <c r="D4725" t="s">
        <v>1807</v>
      </c>
    </row>
    <row r="4726" spans="1:4" x14ac:dyDescent="0.2">
      <c r="A4726" t="s">
        <v>6433</v>
      </c>
      <c r="B4726" s="2">
        <v>42984</v>
      </c>
      <c r="C4726" t="s">
        <v>1987</v>
      </c>
      <c r="D4726" t="s">
        <v>1807</v>
      </c>
    </row>
    <row r="4727" spans="1:4" x14ac:dyDescent="0.2">
      <c r="A4727" t="s">
        <v>6434</v>
      </c>
      <c r="B4727" s="2">
        <v>43105</v>
      </c>
      <c r="C4727" t="s">
        <v>1831</v>
      </c>
      <c r="D4727" t="s">
        <v>1810</v>
      </c>
    </row>
    <row r="4728" spans="1:4" x14ac:dyDescent="0.2">
      <c r="A4728" t="s">
        <v>6435</v>
      </c>
      <c r="B4728" s="2">
        <v>43117</v>
      </c>
      <c r="C4728" t="s">
        <v>1803</v>
      </c>
      <c r="D4728" t="s">
        <v>1804</v>
      </c>
    </row>
    <row r="4729" spans="1:4" x14ac:dyDescent="0.2">
      <c r="A4729" t="s">
        <v>6436</v>
      </c>
      <c r="B4729" s="2">
        <v>43165</v>
      </c>
      <c r="C4729" t="s">
        <v>2048</v>
      </c>
      <c r="D4729" t="s">
        <v>1810</v>
      </c>
    </row>
    <row r="4730" spans="1:4" x14ac:dyDescent="0.2">
      <c r="A4730" t="s">
        <v>6437</v>
      </c>
      <c r="B4730" s="2">
        <v>43206</v>
      </c>
      <c r="C4730" t="s">
        <v>1902</v>
      </c>
      <c r="D4730" t="s">
        <v>1810</v>
      </c>
    </row>
    <row r="4731" spans="1:4" x14ac:dyDescent="0.2">
      <c r="A4731" t="s">
        <v>6438</v>
      </c>
      <c r="B4731" s="2">
        <v>43206</v>
      </c>
      <c r="C4731" t="s">
        <v>1863</v>
      </c>
      <c r="D4731" t="s">
        <v>1804</v>
      </c>
    </row>
    <row r="4732" spans="1:4" x14ac:dyDescent="0.2">
      <c r="A4732" t="s">
        <v>6439</v>
      </c>
      <c r="B4732" s="2">
        <v>43124</v>
      </c>
      <c r="C4732" t="s">
        <v>1803</v>
      </c>
      <c r="D4732" t="s">
        <v>1849</v>
      </c>
    </row>
    <row r="4733" spans="1:4" x14ac:dyDescent="0.2">
      <c r="A4733" t="s">
        <v>6440</v>
      </c>
      <c r="B4733" s="2">
        <v>43061</v>
      </c>
      <c r="C4733" t="s">
        <v>1867</v>
      </c>
      <c r="D4733" t="s">
        <v>1849</v>
      </c>
    </row>
    <row r="4734" spans="1:4" x14ac:dyDescent="0.2">
      <c r="A4734" t="s">
        <v>6441</v>
      </c>
      <c r="B4734" s="2">
        <v>43182</v>
      </c>
      <c r="C4734" t="s">
        <v>1816</v>
      </c>
      <c r="D4734" t="s">
        <v>1810</v>
      </c>
    </row>
    <row r="4735" spans="1:4" x14ac:dyDescent="0.2">
      <c r="A4735" t="s">
        <v>6442</v>
      </c>
      <c r="B4735" s="2">
        <v>43015</v>
      </c>
      <c r="C4735" t="s">
        <v>1803</v>
      </c>
      <c r="D4735" t="s">
        <v>1804</v>
      </c>
    </row>
    <row r="4736" spans="1:4" x14ac:dyDescent="0.2">
      <c r="A4736" t="s">
        <v>6443</v>
      </c>
      <c r="B4736" s="2">
        <v>43004</v>
      </c>
      <c r="C4736" t="s">
        <v>2131</v>
      </c>
      <c r="D4736" t="s">
        <v>1031</v>
      </c>
    </row>
    <row r="4737" spans="1:4" x14ac:dyDescent="0.2">
      <c r="A4737" t="s">
        <v>6444</v>
      </c>
      <c r="B4737" s="2">
        <v>43249</v>
      </c>
      <c r="C4737" t="s">
        <v>1816</v>
      </c>
      <c r="D4737" t="s">
        <v>1829</v>
      </c>
    </row>
    <row r="4738" spans="1:4" x14ac:dyDescent="0.2">
      <c r="A4738" t="s">
        <v>6445</v>
      </c>
      <c r="B4738" s="2">
        <v>43225</v>
      </c>
      <c r="C4738" t="s">
        <v>2048</v>
      </c>
      <c r="D4738" t="s">
        <v>1840</v>
      </c>
    </row>
    <row r="4739" spans="1:4" x14ac:dyDescent="0.2">
      <c r="A4739" t="s">
        <v>6446</v>
      </c>
      <c r="B4739" s="2">
        <v>43217</v>
      </c>
      <c r="C4739" t="s">
        <v>1909</v>
      </c>
      <c r="D4739" t="s">
        <v>1810</v>
      </c>
    </row>
    <row r="4740" spans="1:4" x14ac:dyDescent="0.2">
      <c r="A4740" t="s">
        <v>6447</v>
      </c>
      <c r="B4740" s="2">
        <v>42993</v>
      </c>
      <c r="C4740" t="s">
        <v>2535</v>
      </c>
      <c r="D4740" t="s">
        <v>1807</v>
      </c>
    </row>
    <row r="4741" spans="1:4" x14ac:dyDescent="0.2">
      <c r="A4741" t="s">
        <v>6448</v>
      </c>
      <c r="B4741" s="2">
        <v>43155</v>
      </c>
      <c r="C4741" t="s">
        <v>1803</v>
      </c>
      <c r="D4741" t="s">
        <v>1804</v>
      </c>
    </row>
    <row r="4742" spans="1:4" x14ac:dyDescent="0.2">
      <c r="A4742" t="s">
        <v>6449</v>
      </c>
      <c r="B4742" s="2">
        <v>43227</v>
      </c>
      <c r="C4742" t="s">
        <v>1863</v>
      </c>
      <c r="D4742" t="s">
        <v>1804</v>
      </c>
    </row>
    <row r="4743" spans="1:4" x14ac:dyDescent="0.2">
      <c r="A4743" t="s">
        <v>1068</v>
      </c>
      <c r="B4743" s="2">
        <v>43248</v>
      </c>
      <c r="C4743" t="s">
        <v>1930</v>
      </c>
      <c r="D4743" t="s">
        <v>1807</v>
      </c>
    </row>
    <row r="4744" spans="1:4" x14ac:dyDescent="0.2">
      <c r="A4744" t="s">
        <v>6450</v>
      </c>
      <c r="B4744" s="2">
        <v>43156</v>
      </c>
      <c r="C4744" t="s">
        <v>1809</v>
      </c>
      <c r="D4744" t="s">
        <v>1849</v>
      </c>
    </row>
    <row r="4745" spans="1:4" x14ac:dyDescent="0.2">
      <c r="A4745" t="s">
        <v>6451</v>
      </c>
      <c r="B4745" s="2">
        <v>43191</v>
      </c>
      <c r="C4745" t="s">
        <v>1825</v>
      </c>
      <c r="D4745" t="s">
        <v>1804</v>
      </c>
    </row>
    <row r="4746" spans="1:4" x14ac:dyDescent="0.2">
      <c r="A4746" t="s">
        <v>6452</v>
      </c>
      <c r="B4746" s="2">
        <v>42965</v>
      </c>
      <c r="C4746" t="s">
        <v>1816</v>
      </c>
      <c r="D4746" t="s">
        <v>1807</v>
      </c>
    </row>
    <row r="4747" spans="1:4" x14ac:dyDescent="0.2">
      <c r="A4747" t="s">
        <v>6453</v>
      </c>
      <c r="B4747" s="2">
        <v>43231</v>
      </c>
      <c r="C4747" t="s">
        <v>1863</v>
      </c>
      <c r="D4747" t="s">
        <v>1804</v>
      </c>
    </row>
    <row r="4748" spans="1:4" x14ac:dyDescent="0.2">
      <c r="A4748" t="s">
        <v>6454</v>
      </c>
      <c r="B4748" s="2">
        <v>43246</v>
      </c>
      <c r="C4748" t="s">
        <v>1863</v>
      </c>
      <c r="D4748" t="s">
        <v>1804</v>
      </c>
    </row>
    <row r="4749" spans="1:4" x14ac:dyDescent="0.2">
      <c r="A4749" t="s">
        <v>6455</v>
      </c>
      <c r="B4749" s="2">
        <v>42994</v>
      </c>
      <c r="C4749" t="s">
        <v>2576</v>
      </c>
      <c r="D4749" t="s">
        <v>1031</v>
      </c>
    </row>
    <row r="4750" spans="1:4" x14ac:dyDescent="0.2">
      <c r="A4750" t="s">
        <v>6456</v>
      </c>
      <c r="B4750" s="2">
        <v>43208</v>
      </c>
      <c r="C4750" t="s">
        <v>2254</v>
      </c>
      <c r="D4750" t="s">
        <v>1810</v>
      </c>
    </row>
    <row r="4751" spans="1:4" x14ac:dyDescent="0.2">
      <c r="A4751" t="s">
        <v>6457</v>
      </c>
      <c r="B4751" s="2">
        <v>43240</v>
      </c>
      <c r="C4751" t="s">
        <v>1930</v>
      </c>
      <c r="D4751" t="s">
        <v>1807</v>
      </c>
    </row>
    <row r="4752" spans="1:4" x14ac:dyDescent="0.2">
      <c r="A4752" t="s">
        <v>6458</v>
      </c>
      <c r="B4752" s="2">
        <v>43248</v>
      </c>
      <c r="C4752" t="s">
        <v>2831</v>
      </c>
      <c r="D4752" t="s">
        <v>1807</v>
      </c>
    </row>
    <row r="4753" spans="1:4" x14ac:dyDescent="0.2">
      <c r="A4753" t="s">
        <v>6459</v>
      </c>
      <c r="B4753" s="2">
        <v>43056</v>
      </c>
      <c r="C4753" t="s">
        <v>1939</v>
      </c>
      <c r="D4753" t="s">
        <v>1031</v>
      </c>
    </row>
    <row r="4754" spans="1:4" x14ac:dyDescent="0.2">
      <c r="A4754" t="s">
        <v>6460</v>
      </c>
      <c r="B4754" s="2">
        <v>43235</v>
      </c>
      <c r="C4754" t="s">
        <v>1863</v>
      </c>
      <c r="D4754" t="s">
        <v>1804</v>
      </c>
    </row>
    <row r="4755" spans="1:4" x14ac:dyDescent="0.2">
      <c r="A4755" t="s">
        <v>6461</v>
      </c>
      <c r="B4755" s="2">
        <v>43248</v>
      </c>
      <c r="C4755" t="s">
        <v>1836</v>
      </c>
      <c r="D4755" t="s">
        <v>1810</v>
      </c>
    </row>
    <row r="4756" spans="1:4" x14ac:dyDescent="0.2">
      <c r="A4756" t="s">
        <v>6462</v>
      </c>
      <c r="B4756" s="2">
        <v>43080</v>
      </c>
      <c r="C4756" t="s">
        <v>1825</v>
      </c>
      <c r="D4756" t="s">
        <v>1810</v>
      </c>
    </row>
    <row r="4757" spans="1:4" x14ac:dyDescent="0.2">
      <c r="A4757" t="s">
        <v>6463</v>
      </c>
      <c r="B4757" s="2">
        <v>43153</v>
      </c>
      <c r="C4757" t="s">
        <v>1905</v>
      </c>
      <c r="D4757" t="s">
        <v>1810</v>
      </c>
    </row>
    <row r="4758" spans="1:4" x14ac:dyDescent="0.2">
      <c r="A4758" t="s">
        <v>6464</v>
      </c>
      <c r="B4758" s="2">
        <v>43135</v>
      </c>
      <c r="C4758" t="s">
        <v>1865</v>
      </c>
      <c r="D4758" t="s">
        <v>1829</v>
      </c>
    </row>
    <row r="4759" spans="1:4" x14ac:dyDescent="0.2">
      <c r="A4759" t="s">
        <v>6465</v>
      </c>
      <c r="B4759" s="2">
        <v>43188</v>
      </c>
      <c r="C4759" t="s">
        <v>1863</v>
      </c>
      <c r="D4759" t="s">
        <v>1804</v>
      </c>
    </row>
    <row r="4760" spans="1:4" x14ac:dyDescent="0.2">
      <c r="A4760" t="s">
        <v>1070</v>
      </c>
      <c r="B4760" s="2">
        <v>43146</v>
      </c>
      <c r="C4760" t="s">
        <v>4092</v>
      </c>
      <c r="D4760" t="s">
        <v>1849</v>
      </c>
    </row>
    <row r="4761" spans="1:4" x14ac:dyDescent="0.2">
      <c r="A4761" t="s">
        <v>6466</v>
      </c>
      <c r="B4761" s="2">
        <v>43217</v>
      </c>
      <c r="C4761" t="s">
        <v>2263</v>
      </c>
      <c r="D4761" t="s">
        <v>1849</v>
      </c>
    </row>
    <row r="4762" spans="1:4" x14ac:dyDescent="0.2">
      <c r="A4762" t="s">
        <v>1072</v>
      </c>
      <c r="B4762" s="2">
        <v>43112</v>
      </c>
      <c r="C4762" t="s">
        <v>1836</v>
      </c>
      <c r="D4762" t="s">
        <v>1031</v>
      </c>
    </row>
    <row r="4763" spans="1:4" x14ac:dyDescent="0.2">
      <c r="A4763" t="s">
        <v>6467</v>
      </c>
      <c r="B4763" s="2">
        <v>43137</v>
      </c>
      <c r="C4763" t="s">
        <v>3827</v>
      </c>
      <c r="D4763" t="s">
        <v>1813</v>
      </c>
    </row>
    <row r="4764" spans="1:4" x14ac:dyDescent="0.2">
      <c r="A4764" t="s">
        <v>6468</v>
      </c>
      <c r="B4764" s="2">
        <v>43069</v>
      </c>
      <c r="C4764" t="s">
        <v>1905</v>
      </c>
      <c r="D4764" t="s">
        <v>1031</v>
      </c>
    </row>
    <row r="4765" spans="1:4" x14ac:dyDescent="0.2">
      <c r="A4765" t="s">
        <v>1074</v>
      </c>
      <c r="B4765" s="2">
        <v>43170</v>
      </c>
      <c r="C4765" t="s">
        <v>1816</v>
      </c>
      <c r="D4765" t="s">
        <v>1810</v>
      </c>
    </row>
    <row r="4766" spans="1:4" x14ac:dyDescent="0.2">
      <c r="A4766" t="s">
        <v>6469</v>
      </c>
      <c r="B4766" s="2">
        <v>43238</v>
      </c>
      <c r="C4766" t="s">
        <v>6470</v>
      </c>
      <c r="D4766" t="s">
        <v>1031</v>
      </c>
    </row>
    <row r="4767" spans="1:4" x14ac:dyDescent="0.2">
      <c r="A4767" t="s">
        <v>6471</v>
      </c>
      <c r="B4767" s="2">
        <v>43234</v>
      </c>
      <c r="C4767" t="s">
        <v>1832</v>
      </c>
      <c r="D4767" t="s">
        <v>1804</v>
      </c>
    </row>
    <row r="4768" spans="1:4" x14ac:dyDescent="0.2">
      <c r="A4768" t="s">
        <v>6472</v>
      </c>
      <c r="B4768" s="2">
        <v>43228</v>
      </c>
      <c r="C4768" t="s">
        <v>1832</v>
      </c>
      <c r="D4768" t="s">
        <v>1807</v>
      </c>
    </row>
    <row r="4769" spans="1:4" x14ac:dyDescent="0.2">
      <c r="A4769" t="s">
        <v>6473</v>
      </c>
      <c r="B4769" s="2">
        <v>43192</v>
      </c>
      <c r="C4769" t="s">
        <v>1816</v>
      </c>
      <c r="D4769" t="s">
        <v>1810</v>
      </c>
    </row>
    <row r="4770" spans="1:4" x14ac:dyDescent="0.2">
      <c r="A4770" t="s">
        <v>6474</v>
      </c>
      <c r="B4770" s="2">
        <v>43217</v>
      </c>
      <c r="C4770" t="s">
        <v>2503</v>
      </c>
      <c r="D4770" t="s">
        <v>1810</v>
      </c>
    </row>
    <row r="4771" spans="1:4" x14ac:dyDescent="0.2">
      <c r="A4771" t="s">
        <v>6475</v>
      </c>
      <c r="B4771" s="2">
        <v>43139</v>
      </c>
      <c r="C4771" t="s">
        <v>1836</v>
      </c>
      <c r="D4771" t="s">
        <v>1031</v>
      </c>
    </row>
    <row r="4772" spans="1:4" x14ac:dyDescent="0.2">
      <c r="A4772" t="s">
        <v>6476</v>
      </c>
      <c r="B4772" s="2">
        <v>43234</v>
      </c>
      <c r="C4772" t="s">
        <v>1836</v>
      </c>
      <c r="D4772" t="s">
        <v>1031</v>
      </c>
    </row>
    <row r="4773" spans="1:4" x14ac:dyDescent="0.2">
      <c r="A4773" t="s">
        <v>6477</v>
      </c>
      <c r="B4773" s="2">
        <v>43184</v>
      </c>
      <c r="C4773" t="s">
        <v>1816</v>
      </c>
      <c r="D4773" t="s">
        <v>1810</v>
      </c>
    </row>
    <row r="4774" spans="1:4" x14ac:dyDescent="0.2">
      <c r="A4774" t="s">
        <v>6478</v>
      </c>
      <c r="B4774" s="2">
        <v>43226</v>
      </c>
      <c r="C4774" t="s">
        <v>1863</v>
      </c>
      <c r="D4774" t="s">
        <v>1804</v>
      </c>
    </row>
    <row r="4775" spans="1:4" x14ac:dyDescent="0.2">
      <c r="A4775" t="s">
        <v>6479</v>
      </c>
      <c r="B4775" s="2">
        <v>42943</v>
      </c>
      <c r="C4775" t="s">
        <v>1843</v>
      </c>
      <c r="D4775" t="s">
        <v>1807</v>
      </c>
    </row>
    <row r="4776" spans="1:4" x14ac:dyDescent="0.2">
      <c r="A4776" t="s">
        <v>6480</v>
      </c>
      <c r="B4776" s="2">
        <v>43136</v>
      </c>
      <c r="C4776" t="s">
        <v>3415</v>
      </c>
      <c r="D4776" t="s">
        <v>1910</v>
      </c>
    </row>
    <row r="4777" spans="1:4" x14ac:dyDescent="0.2">
      <c r="A4777" t="s">
        <v>6481</v>
      </c>
      <c r="B4777" s="2">
        <v>43003</v>
      </c>
      <c r="C4777" t="s">
        <v>1806</v>
      </c>
      <c r="D4777" t="s">
        <v>1807</v>
      </c>
    </row>
    <row r="4778" spans="1:4" x14ac:dyDescent="0.2">
      <c r="A4778" t="s">
        <v>6482</v>
      </c>
      <c r="B4778" s="2">
        <v>43222</v>
      </c>
      <c r="C4778" t="s">
        <v>1863</v>
      </c>
      <c r="D4778" t="s">
        <v>1804</v>
      </c>
    </row>
    <row r="4779" spans="1:4" x14ac:dyDescent="0.2">
      <c r="A4779" t="s">
        <v>6483</v>
      </c>
      <c r="B4779" s="2">
        <v>42933</v>
      </c>
      <c r="C4779" t="s">
        <v>2058</v>
      </c>
      <c r="D4779" t="s">
        <v>1807</v>
      </c>
    </row>
    <row r="4780" spans="1:4" x14ac:dyDescent="0.2">
      <c r="A4780" t="s">
        <v>6484</v>
      </c>
      <c r="B4780" s="2">
        <v>43187</v>
      </c>
      <c r="C4780" t="s">
        <v>1930</v>
      </c>
      <c r="D4780" t="s">
        <v>1807</v>
      </c>
    </row>
    <row r="4781" spans="1:4" x14ac:dyDescent="0.2">
      <c r="A4781" t="s">
        <v>6485</v>
      </c>
      <c r="B4781" s="2">
        <v>43182</v>
      </c>
      <c r="C4781" t="s">
        <v>2579</v>
      </c>
      <c r="D4781" t="s">
        <v>1807</v>
      </c>
    </row>
    <row r="4782" spans="1:4" x14ac:dyDescent="0.2">
      <c r="A4782" t="s">
        <v>1076</v>
      </c>
      <c r="B4782" s="2">
        <v>43229</v>
      </c>
      <c r="C4782" t="s">
        <v>1816</v>
      </c>
      <c r="D4782" t="s">
        <v>1840</v>
      </c>
    </row>
    <row r="4783" spans="1:4" x14ac:dyDescent="0.2">
      <c r="A4783" t="s">
        <v>6486</v>
      </c>
      <c r="B4783" s="2">
        <v>43201</v>
      </c>
      <c r="C4783" t="s">
        <v>1831</v>
      </c>
      <c r="D4783" t="s">
        <v>1810</v>
      </c>
    </row>
    <row r="4784" spans="1:4" x14ac:dyDescent="0.2">
      <c r="A4784" t="s">
        <v>6487</v>
      </c>
      <c r="B4784" s="2">
        <v>43216</v>
      </c>
      <c r="C4784" t="s">
        <v>1959</v>
      </c>
      <c r="D4784" t="s">
        <v>1810</v>
      </c>
    </row>
    <row r="4785" spans="1:4" x14ac:dyDescent="0.2">
      <c r="A4785" t="s">
        <v>6488</v>
      </c>
      <c r="B4785" s="2">
        <v>43012</v>
      </c>
      <c r="C4785" t="s">
        <v>2576</v>
      </c>
      <c r="D4785" t="s">
        <v>1031</v>
      </c>
    </row>
    <row r="4786" spans="1:4" x14ac:dyDescent="0.2">
      <c r="A4786" t="s">
        <v>6489</v>
      </c>
      <c r="B4786" s="2">
        <v>43116</v>
      </c>
      <c r="C4786" t="s">
        <v>1806</v>
      </c>
      <c r="D4786" t="s">
        <v>1807</v>
      </c>
    </row>
    <row r="4787" spans="1:4" x14ac:dyDescent="0.2">
      <c r="A4787" t="s">
        <v>6490</v>
      </c>
      <c r="B4787" s="2">
        <v>43208</v>
      </c>
      <c r="C4787" t="s">
        <v>1930</v>
      </c>
      <c r="D4787" t="s">
        <v>1840</v>
      </c>
    </row>
    <row r="4788" spans="1:4" x14ac:dyDescent="0.2">
      <c r="A4788" t="s">
        <v>6491</v>
      </c>
      <c r="B4788" s="2">
        <v>43232</v>
      </c>
      <c r="C4788" t="s">
        <v>2242</v>
      </c>
      <c r="D4788" t="s">
        <v>1807</v>
      </c>
    </row>
    <row r="4789" spans="1:4" x14ac:dyDescent="0.2">
      <c r="A4789" t="s">
        <v>6492</v>
      </c>
      <c r="B4789" s="2">
        <v>43185</v>
      </c>
      <c r="C4789" t="s">
        <v>2115</v>
      </c>
      <c r="D4789" t="s">
        <v>1804</v>
      </c>
    </row>
    <row r="4790" spans="1:4" x14ac:dyDescent="0.2">
      <c r="A4790" t="s">
        <v>6493</v>
      </c>
      <c r="B4790" s="2">
        <v>43155</v>
      </c>
      <c r="C4790" t="s">
        <v>1867</v>
      </c>
      <c r="D4790" t="s">
        <v>1810</v>
      </c>
    </row>
    <row r="4791" spans="1:4" x14ac:dyDescent="0.2">
      <c r="A4791" t="s">
        <v>1078</v>
      </c>
      <c r="B4791" s="2">
        <v>43192</v>
      </c>
      <c r="C4791" t="s">
        <v>1809</v>
      </c>
      <c r="D4791" t="s">
        <v>1849</v>
      </c>
    </row>
    <row r="4792" spans="1:4" x14ac:dyDescent="0.2">
      <c r="A4792" t="s">
        <v>6494</v>
      </c>
      <c r="B4792" s="2">
        <v>42942</v>
      </c>
      <c r="C4792" t="s">
        <v>2433</v>
      </c>
      <c r="D4792" t="s">
        <v>1829</v>
      </c>
    </row>
    <row r="4793" spans="1:4" x14ac:dyDescent="0.2">
      <c r="A4793" t="s">
        <v>6495</v>
      </c>
      <c r="B4793" s="2">
        <v>43132</v>
      </c>
      <c r="C4793" t="s">
        <v>1930</v>
      </c>
      <c r="D4793" t="s">
        <v>1807</v>
      </c>
    </row>
    <row r="4794" spans="1:4" x14ac:dyDescent="0.2">
      <c r="A4794" t="s">
        <v>1080</v>
      </c>
      <c r="B4794" s="2">
        <v>43124</v>
      </c>
      <c r="C4794" t="s">
        <v>1816</v>
      </c>
      <c r="D4794" t="s">
        <v>1810</v>
      </c>
    </row>
    <row r="4795" spans="1:4" x14ac:dyDescent="0.2">
      <c r="A4795" t="s">
        <v>6496</v>
      </c>
      <c r="B4795" s="2">
        <v>43221</v>
      </c>
      <c r="C4795" t="s">
        <v>1836</v>
      </c>
      <c r="D4795" t="s">
        <v>1031</v>
      </c>
    </row>
    <row r="4796" spans="1:4" x14ac:dyDescent="0.2">
      <c r="A4796" t="s">
        <v>6497</v>
      </c>
      <c r="B4796" s="2">
        <v>43242</v>
      </c>
      <c r="C4796" t="s">
        <v>2901</v>
      </c>
      <c r="D4796" t="s">
        <v>1807</v>
      </c>
    </row>
    <row r="4797" spans="1:4" x14ac:dyDescent="0.2">
      <c r="A4797" t="s">
        <v>6498</v>
      </c>
      <c r="B4797" s="2">
        <v>42947</v>
      </c>
      <c r="C4797" t="s">
        <v>1843</v>
      </c>
      <c r="D4797" t="s">
        <v>1840</v>
      </c>
    </row>
    <row r="4798" spans="1:4" x14ac:dyDescent="0.2">
      <c r="A4798" t="s">
        <v>6499</v>
      </c>
      <c r="B4798" s="2">
        <v>43153</v>
      </c>
      <c r="C4798" t="s">
        <v>2249</v>
      </c>
      <c r="D4798" t="s">
        <v>1031</v>
      </c>
    </row>
    <row r="4799" spans="1:4" x14ac:dyDescent="0.2">
      <c r="A4799" t="s">
        <v>6500</v>
      </c>
      <c r="B4799" s="2">
        <v>43105</v>
      </c>
      <c r="C4799" t="s">
        <v>1816</v>
      </c>
      <c r="D4799" t="s">
        <v>1810</v>
      </c>
    </row>
    <row r="4800" spans="1:4" x14ac:dyDescent="0.2">
      <c r="A4800" t="s">
        <v>1082</v>
      </c>
      <c r="B4800" s="2">
        <v>43123</v>
      </c>
      <c r="C4800" t="s">
        <v>1838</v>
      </c>
      <c r="D4800" t="s">
        <v>1840</v>
      </c>
    </row>
    <row r="4801" spans="1:4" x14ac:dyDescent="0.2">
      <c r="A4801" t="s">
        <v>6501</v>
      </c>
      <c r="B4801" s="2">
        <v>43017</v>
      </c>
      <c r="C4801" t="s">
        <v>1836</v>
      </c>
      <c r="D4801" t="s">
        <v>1031</v>
      </c>
    </row>
    <row r="4802" spans="1:4" x14ac:dyDescent="0.2">
      <c r="A4802" t="s">
        <v>6502</v>
      </c>
      <c r="B4802" s="2">
        <v>43131</v>
      </c>
      <c r="C4802" t="s">
        <v>2819</v>
      </c>
      <c r="D4802" t="s">
        <v>1810</v>
      </c>
    </row>
    <row r="4803" spans="1:4" x14ac:dyDescent="0.2">
      <c r="A4803" t="s">
        <v>6503</v>
      </c>
      <c r="B4803" s="2">
        <v>43137</v>
      </c>
      <c r="C4803" t="s">
        <v>1836</v>
      </c>
      <c r="D4803" t="s">
        <v>1807</v>
      </c>
    </row>
    <row r="4804" spans="1:4" x14ac:dyDescent="0.2">
      <c r="A4804" t="s">
        <v>6504</v>
      </c>
      <c r="B4804" s="2">
        <v>43185</v>
      </c>
      <c r="C4804" t="s">
        <v>6505</v>
      </c>
      <c r="D4804" t="s">
        <v>1840</v>
      </c>
    </row>
    <row r="4805" spans="1:4" x14ac:dyDescent="0.2">
      <c r="A4805" t="s">
        <v>6506</v>
      </c>
      <c r="B4805" s="2">
        <v>42939</v>
      </c>
      <c r="C4805" t="s">
        <v>2679</v>
      </c>
      <c r="D4805" t="s">
        <v>1807</v>
      </c>
    </row>
    <row r="4806" spans="1:4" x14ac:dyDescent="0.2">
      <c r="A4806" t="s">
        <v>6507</v>
      </c>
      <c r="B4806" s="2">
        <v>43222</v>
      </c>
      <c r="C4806" t="s">
        <v>1909</v>
      </c>
      <c r="D4806" t="s">
        <v>1810</v>
      </c>
    </row>
    <row r="4807" spans="1:4" x14ac:dyDescent="0.2">
      <c r="A4807" t="s">
        <v>6508</v>
      </c>
      <c r="B4807" s="2">
        <v>42957</v>
      </c>
      <c r="C4807" t="s">
        <v>2321</v>
      </c>
      <c r="D4807" t="s">
        <v>1810</v>
      </c>
    </row>
    <row r="4808" spans="1:4" x14ac:dyDescent="0.2">
      <c r="A4808" t="s">
        <v>6509</v>
      </c>
      <c r="B4808" s="2">
        <v>43209</v>
      </c>
      <c r="C4808" t="s">
        <v>2242</v>
      </c>
      <c r="D4808" t="s">
        <v>1840</v>
      </c>
    </row>
    <row r="4809" spans="1:4" x14ac:dyDescent="0.2">
      <c r="A4809" t="s">
        <v>1084</v>
      </c>
      <c r="B4809" s="2">
        <v>43060</v>
      </c>
      <c r="C4809" t="s">
        <v>1825</v>
      </c>
      <c r="D4809" t="s">
        <v>1810</v>
      </c>
    </row>
    <row r="4810" spans="1:4" x14ac:dyDescent="0.2">
      <c r="A4810" t="s">
        <v>6510</v>
      </c>
      <c r="B4810" s="2">
        <v>43005</v>
      </c>
      <c r="C4810" t="s">
        <v>2131</v>
      </c>
      <c r="D4810" t="s">
        <v>1810</v>
      </c>
    </row>
    <row r="4811" spans="1:4" x14ac:dyDescent="0.2">
      <c r="A4811" t="s">
        <v>6511</v>
      </c>
      <c r="B4811" s="2">
        <v>43069</v>
      </c>
      <c r="C4811" t="s">
        <v>2324</v>
      </c>
      <c r="D4811" t="s">
        <v>1810</v>
      </c>
    </row>
    <row r="4812" spans="1:4" x14ac:dyDescent="0.2">
      <c r="A4812" t="s">
        <v>6512</v>
      </c>
      <c r="B4812" s="2">
        <v>43157</v>
      </c>
      <c r="C4812" t="s">
        <v>2108</v>
      </c>
      <c r="D4812" t="s">
        <v>1829</v>
      </c>
    </row>
    <row r="4813" spans="1:4" x14ac:dyDescent="0.2">
      <c r="A4813" t="s">
        <v>6513</v>
      </c>
      <c r="B4813" s="2">
        <v>42985</v>
      </c>
      <c r="C4813" t="s">
        <v>1816</v>
      </c>
      <c r="D4813" t="s">
        <v>1840</v>
      </c>
    </row>
    <row r="4814" spans="1:4" x14ac:dyDescent="0.2">
      <c r="A4814" t="s">
        <v>6514</v>
      </c>
      <c r="B4814" s="2">
        <v>43208</v>
      </c>
      <c r="C4814" t="s">
        <v>1863</v>
      </c>
      <c r="D4814" t="s">
        <v>1804</v>
      </c>
    </row>
    <row r="4815" spans="1:4" x14ac:dyDescent="0.2">
      <c r="A4815" t="s">
        <v>6515</v>
      </c>
      <c r="B4815" s="2">
        <v>43166</v>
      </c>
      <c r="C4815" t="s">
        <v>1816</v>
      </c>
      <c r="D4815" t="s">
        <v>1807</v>
      </c>
    </row>
    <row r="4816" spans="1:4" x14ac:dyDescent="0.2">
      <c r="A4816" t="s">
        <v>6516</v>
      </c>
      <c r="B4816" s="2">
        <v>43206</v>
      </c>
      <c r="C4816" t="s">
        <v>1998</v>
      </c>
      <c r="D4816" t="s">
        <v>1807</v>
      </c>
    </row>
    <row r="4817" spans="1:4" x14ac:dyDescent="0.2">
      <c r="A4817" t="s">
        <v>6517</v>
      </c>
      <c r="B4817" s="2">
        <v>43110</v>
      </c>
      <c r="C4817" t="s">
        <v>1809</v>
      </c>
      <c r="D4817" t="s">
        <v>1849</v>
      </c>
    </row>
    <row r="4818" spans="1:4" x14ac:dyDescent="0.2">
      <c r="A4818" t="s">
        <v>1086</v>
      </c>
      <c r="B4818" s="2">
        <v>43125</v>
      </c>
      <c r="C4818" t="s">
        <v>2462</v>
      </c>
      <c r="D4818" t="s">
        <v>1829</v>
      </c>
    </row>
    <row r="4819" spans="1:4" x14ac:dyDescent="0.2">
      <c r="A4819" t="s">
        <v>6518</v>
      </c>
      <c r="B4819" s="2">
        <v>43143</v>
      </c>
      <c r="C4819" t="s">
        <v>1836</v>
      </c>
      <c r="D4819" t="s">
        <v>1031</v>
      </c>
    </row>
    <row r="4820" spans="1:4" x14ac:dyDescent="0.2">
      <c r="A4820" t="s">
        <v>6519</v>
      </c>
      <c r="B4820" s="2">
        <v>43232</v>
      </c>
      <c r="C4820" t="s">
        <v>2204</v>
      </c>
      <c r="D4820" t="s">
        <v>1807</v>
      </c>
    </row>
    <row r="4821" spans="1:4" x14ac:dyDescent="0.2">
      <c r="A4821" t="s">
        <v>6520</v>
      </c>
      <c r="B4821" s="2">
        <v>43172</v>
      </c>
      <c r="C4821" t="s">
        <v>3181</v>
      </c>
      <c r="D4821" t="s">
        <v>1807</v>
      </c>
    </row>
    <row r="4822" spans="1:4" x14ac:dyDescent="0.2">
      <c r="A4822" t="s">
        <v>6521</v>
      </c>
      <c r="B4822" s="2">
        <v>43171</v>
      </c>
      <c r="C4822" t="s">
        <v>1803</v>
      </c>
      <c r="D4822" t="s">
        <v>1804</v>
      </c>
    </row>
    <row r="4823" spans="1:4" x14ac:dyDescent="0.2">
      <c r="A4823" t="s">
        <v>6522</v>
      </c>
      <c r="B4823" s="2">
        <v>43039</v>
      </c>
      <c r="C4823" t="s">
        <v>2143</v>
      </c>
      <c r="D4823" t="s">
        <v>1840</v>
      </c>
    </row>
    <row r="4824" spans="1:4" x14ac:dyDescent="0.2">
      <c r="A4824" t="s">
        <v>6523</v>
      </c>
      <c r="B4824" s="2">
        <v>43210</v>
      </c>
      <c r="C4824" t="s">
        <v>1816</v>
      </c>
      <c r="D4824" t="s">
        <v>1810</v>
      </c>
    </row>
    <row r="4825" spans="1:4" x14ac:dyDescent="0.2">
      <c r="A4825" t="s">
        <v>1088</v>
      </c>
      <c r="B4825" s="2">
        <v>43159</v>
      </c>
      <c r="C4825" t="s">
        <v>1816</v>
      </c>
      <c r="D4825" t="s">
        <v>1810</v>
      </c>
    </row>
    <row r="4826" spans="1:4" x14ac:dyDescent="0.2">
      <c r="A4826" t="s">
        <v>6524</v>
      </c>
      <c r="B4826" s="2">
        <v>43206</v>
      </c>
      <c r="C4826" t="s">
        <v>1905</v>
      </c>
      <c r="D4826" t="s">
        <v>1810</v>
      </c>
    </row>
    <row r="4827" spans="1:4" x14ac:dyDescent="0.2">
      <c r="A4827" t="s">
        <v>6525</v>
      </c>
      <c r="B4827" s="2">
        <v>43208</v>
      </c>
      <c r="C4827" t="s">
        <v>2500</v>
      </c>
      <c r="D4827" t="s">
        <v>1813</v>
      </c>
    </row>
    <row r="4828" spans="1:4" x14ac:dyDescent="0.2">
      <c r="A4828" t="s">
        <v>6526</v>
      </c>
      <c r="B4828" s="2">
        <v>43102</v>
      </c>
      <c r="C4828" t="s">
        <v>1836</v>
      </c>
      <c r="D4828" t="s">
        <v>1031</v>
      </c>
    </row>
    <row r="4829" spans="1:4" x14ac:dyDescent="0.2">
      <c r="A4829" t="s">
        <v>6527</v>
      </c>
      <c r="B4829" s="2">
        <v>43134</v>
      </c>
      <c r="C4829" t="s">
        <v>1816</v>
      </c>
      <c r="D4829" t="s">
        <v>1807</v>
      </c>
    </row>
    <row r="4830" spans="1:4" x14ac:dyDescent="0.2">
      <c r="A4830" t="s">
        <v>6528</v>
      </c>
      <c r="B4830" s="2">
        <v>43121</v>
      </c>
      <c r="C4830" t="s">
        <v>1816</v>
      </c>
      <c r="D4830" t="s">
        <v>1810</v>
      </c>
    </row>
    <row r="4831" spans="1:4" x14ac:dyDescent="0.2">
      <c r="A4831" t="s">
        <v>6529</v>
      </c>
      <c r="B4831" s="2">
        <v>43220</v>
      </c>
      <c r="C4831" t="s">
        <v>2133</v>
      </c>
      <c r="D4831" t="s">
        <v>1810</v>
      </c>
    </row>
    <row r="4832" spans="1:4" x14ac:dyDescent="0.2">
      <c r="A4832" t="s">
        <v>6530</v>
      </c>
      <c r="B4832" s="2">
        <v>43049</v>
      </c>
      <c r="C4832" t="s">
        <v>3515</v>
      </c>
      <c r="D4832" t="s">
        <v>1804</v>
      </c>
    </row>
    <row r="4833" spans="1:4" x14ac:dyDescent="0.2">
      <c r="A4833" t="s">
        <v>6531</v>
      </c>
      <c r="B4833" s="2">
        <v>43117</v>
      </c>
      <c r="C4833" t="s">
        <v>1803</v>
      </c>
      <c r="D4833" t="s">
        <v>1804</v>
      </c>
    </row>
    <row r="4834" spans="1:4" x14ac:dyDescent="0.2">
      <c r="A4834" t="s">
        <v>6532</v>
      </c>
      <c r="B4834" s="2">
        <v>42962</v>
      </c>
      <c r="C4834" t="s">
        <v>2143</v>
      </c>
      <c r="D4834" t="s">
        <v>1810</v>
      </c>
    </row>
    <row r="4835" spans="1:4" x14ac:dyDescent="0.2">
      <c r="A4835" t="s">
        <v>6533</v>
      </c>
      <c r="B4835" s="2">
        <v>43127</v>
      </c>
      <c r="C4835" t="s">
        <v>1816</v>
      </c>
      <c r="D4835" t="s">
        <v>1840</v>
      </c>
    </row>
    <row r="4836" spans="1:4" x14ac:dyDescent="0.2">
      <c r="A4836" t="s">
        <v>6534</v>
      </c>
      <c r="B4836" s="2">
        <v>43110</v>
      </c>
      <c r="C4836" t="s">
        <v>1836</v>
      </c>
      <c r="D4836" t="s">
        <v>1031</v>
      </c>
    </row>
    <row r="4837" spans="1:4" x14ac:dyDescent="0.2">
      <c r="A4837" t="s">
        <v>6535</v>
      </c>
      <c r="B4837" s="2">
        <v>43174</v>
      </c>
      <c r="C4837" t="s">
        <v>1928</v>
      </c>
      <c r="D4837" t="s">
        <v>1810</v>
      </c>
    </row>
    <row r="4838" spans="1:4" x14ac:dyDescent="0.2">
      <c r="A4838" t="s">
        <v>6536</v>
      </c>
      <c r="B4838" s="2">
        <v>43122</v>
      </c>
      <c r="C4838" t="s">
        <v>1812</v>
      </c>
      <c r="D4838" t="s">
        <v>1813</v>
      </c>
    </row>
    <row r="4839" spans="1:4" x14ac:dyDescent="0.2">
      <c r="A4839" t="s">
        <v>6537</v>
      </c>
      <c r="B4839" s="2">
        <v>43159</v>
      </c>
      <c r="C4839" t="s">
        <v>1867</v>
      </c>
      <c r="D4839" t="s">
        <v>1807</v>
      </c>
    </row>
    <row r="4840" spans="1:4" x14ac:dyDescent="0.2">
      <c r="A4840" t="s">
        <v>6538</v>
      </c>
      <c r="B4840" s="2">
        <v>43185</v>
      </c>
      <c r="C4840" t="s">
        <v>1814</v>
      </c>
      <c r="D4840" t="s">
        <v>1810</v>
      </c>
    </row>
    <row r="4841" spans="1:4" x14ac:dyDescent="0.2">
      <c r="A4841" t="s">
        <v>6539</v>
      </c>
      <c r="B4841" s="2">
        <v>43002</v>
      </c>
      <c r="C4841" t="s">
        <v>2256</v>
      </c>
      <c r="D4841" t="s">
        <v>1840</v>
      </c>
    </row>
    <row r="4842" spans="1:4" x14ac:dyDescent="0.2">
      <c r="A4842" t="s">
        <v>6540</v>
      </c>
      <c r="B4842" s="2">
        <v>43222</v>
      </c>
      <c r="C4842" t="s">
        <v>1836</v>
      </c>
      <c r="D4842" t="s">
        <v>1031</v>
      </c>
    </row>
    <row r="4843" spans="1:4" x14ac:dyDescent="0.2">
      <c r="A4843" t="s">
        <v>6541</v>
      </c>
      <c r="B4843" s="2">
        <v>43167</v>
      </c>
      <c r="C4843" t="s">
        <v>1816</v>
      </c>
      <c r="D4843" t="s">
        <v>1810</v>
      </c>
    </row>
    <row r="4844" spans="1:4" x14ac:dyDescent="0.2">
      <c r="A4844" t="s">
        <v>1090</v>
      </c>
      <c r="B4844" s="2">
        <v>43131</v>
      </c>
      <c r="C4844" t="s">
        <v>1816</v>
      </c>
      <c r="D4844" t="s">
        <v>1810</v>
      </c>
    </row>
    <row r="4845" spans="1:4" x14ac:dyDescent="0.2">
      <c r="A4845" t="s">
        <v>6542</v>
      </c>
      <c r="B4845" s="2">
        <v>43049</v>
      </c>
      <c r="C4845" t="s">
        <v>2650</v>
      </c>
      <c r="D4845" t="s">
        <v>1810</v>
      </c>
    </row>
    <row r="4846" spans="1:4" x14ac:dyDescent="0.2">
      <c r="A4846" t="s">
        <v>6543</v>
      </c>
      <c r="B4846" s="2">
        <v>43215</v>
      </c>
      <c r="C4846" t="s">
        <v>4290</v>
      </c>
      <c r="D4846" t="s">
        <v>1810</v>
      </c>
    </row>
    <row r="4847" spans="1:4" x14ac:dyDescent="0.2">
      <c r="A4847" t="s">
        <v>6544</v>
      </c>
      <c r="B4847" s="2">
        <v>43025</v>
      </c>
      <c r="C4847" t="s">
        <v>1887</v>
      </c>
      <c r="D4847" t="s">
        <v>1813</v>
      </c>
    </row>
    <row r="4848" spans="1:4" x14ac:dyDescent="0.2">
      <c r="A4848" t="s">
        <v>6545</v>
      </c>
      <c r="B4848" s="2">
        <v>43187</v>
      </c>
      <c r="C4848" t="s">
        <v>1875</v>
      </c>
      <c r="D4848" t="s">
        <v>1813</v>
      </c>
    </row>
    <row r="4849" spans="1:4" x14ac:dyDescent="0.2">
      <c r="A4849" t="s">
        <v>6546</v>
      </c>
      <c r="B4849" s="2">
        <v>43111</v>
      </c>
      <c r="C4849" t="s">
        <v>1836</v>
      </c>
      <c r="D4849" t="s">
        <v>1810</v>
      </c>
    </row>
    <row r="4850" spans="1:4" x14ac:dyDescent="0.2">
      <c r="A4850" t="s">
        <v>6547</v>
      </c>
      <c r="B4850" s="2">
        <v>43031</v>
      </c>
      <c r="C4850" t="s">
        <v>1816</v>
      </c>
      <c r="D4850" t="s">
        <v>1840</v>
      </c>
    </row>
    <row r="4851" spans="1:4" x14ac:dyDescent="0.2">
      <c r="A4851" t="s">
        <v>6548</v>
      </c>
      <c r="B4851" s="2">
        <v>43185</v>
      </c>
      <c r="C4851" t="s">
        <v>1816</v>
      </c>
      <c r="D4851" t="s">
        <v>1840</v>
      </c>
    </row>
    <row r="4852" spans="1:4" x14ac:dyDescent="0.2">
      <c r="A4852" t="s">
        <v>6549</v>
      </c>
      <c r="B4852" s="2">
        <v>42969</v>
      </c>
      <c r="C4852" t="s">
        <v>6550</v>
      </c>
      <c r="D4852" t="s">
        <v>1031</v>
      </c>
    </row>
    <row r="4853" spans="1:4" x14ac:dyDescent="0.2">
      <c r="A4853" t="s">
        <v>6551</v>
      </c>
      <c r="B4853" s="2">
        <v>43132</v>
      </c>
      <c r="C4853" t="s">
        <v>1803</v>
      </c>
      <c r="D4853" t="s">
        <v>1804</v>
      </c>
    </row>
    <row r="4854" spans="1:4" x14ac:dyDescent="0.2">
      <c r="A4854" t="s">
        <v>1092</v>
      </c>
      <c r="B4854" s="2">
        <v>43243</v>
      </c>
      <c r="C4854" t="s">
        <v>1816</v>
      </c>
      <c r="D4854" t="s">
        <v>1829</v>
      </c>
    </row>
    <row r="4855" spans="1:4" x14ac:dyDescent="0.2">
      <c r="A4855" t="s">
        <v>6552</v>
      </c>
      <c r="B4855" s="2">
        <v>43111</v>
      </c>
      <c r="C4855" t="s">
        <v>1867</v>
      </c>
      <c r="D4855" t="s">
        <v>1031</v>
      </c>
    </row>
    <row r="4856" spans="1:4" x14ac:dyDescent="0.2">
      <c r="A4856" t="s">
        <v>6553</v>
      </c>
      <c r="B4856" s="2">
        <v>43169</v>
      </c>
      <c r="C4856" t="s">
        <v>2115</v>
      </c>
      <c r="D4856" t="s">
        <v>1804</v>
      </c>
    </row>
    <row r="4857" spans="1:4" x14ac:dyDescent="0.2">
      <c r="A4857" t="s">
        <v>6554</v>
      </c>
      <c r="B4857" s="2">
        <v>43126</v>
      </c>
      <c r="C4857" t="s">
        <v>1836</v>
      </c>
      <c r="D4857" t="s">
        <v>1031</v>
      </c>
    </row>
    <row r="4858" spans="1:4" x14ac:dyDescent="0.2">
      <c r="A4858" t="s">
        <v>1094</v>
      </c>
      <c r="B4858" s="2">
        <v>43137</v>
      </c>
      <c r="C4858" t="s">
        <v>1816</v>
      </c>
      <c r="D4858" t="s">
        <v>1813</v>
      </c>
    </row>
    <row r="4859" spans="1:4" x14ac:dyDescent="0.2">
      <c r="A4859" t="s">
        <v>6555</v>
      </c>
      <c r="B4859" s="2">
        <v>43235</v>
      </c>
      <c r="C4859" t="s">
        <v>1809</v>
      </c>
      <c r="D4859" t="s">
        <v>1810</v>
      </c>
    </row>
    <row r="4860" spans="1:4" x14ac:dyDescent="0.2">
      <c r="A4860" t="s">
        <v>6556</v>
      </c>
      <c r="B4860" s="2">
        <v>43125</v>
      </c>
      <c r="C4860" t="s">
        <v>1885</v>
      </c>
      <c r="D4860" t="s">
        <v>1807</v>
      </c>
    </row>
    <row r="4861" spans="1:4" x14ac:dyDescent="0.2">
      <c r="A4861" t="s">
        <v>6557</v>
      </c>
      <c r="B4861" s="2">
        <v>43004</v>
      </c>
      <c r="C4861" t="s">
        <v>1915</v>
      </c>
      <c r="D4861" t="s">
        <v>1807</v>
      </c>
    </row>
    <row r="4862" spans="1:4" x14ac:dyDescent="0.2">
      <c r="A4862" t="s">
        <v>6558</v>
      </c>
      <c r="B4862" s="2">
        <v>43150</v>
      </c>
      <c r="C4862" t="s">
        <v>1803</v>
      </c>
      <c r="D4862" t="s">
        <v>1804</v>
      </c>
    </row>
    <row r="4863" spans="1:4" x14ac:dyDescent="0.2">
      <c r="A4863" t="s">
        <v>6559</v>
      </c>
      <c r="B4863" s="2">
        <v>43199</v>
      </c>
      <c r="C4863" t="s">
        <v>1836</v>
      </c>
      <c r="D4863" t="s">
        <v>1031</v>
      </c>
    </row>
    <row r="4864" spans="1:4" x14ac:dyDescent="0.2">
      <c r="A4864" t="s">
        <v>6560</v>
      </c>
      <c r="B4864" s="2">
        <v>43235</v>
      </c>
      <c r="C4864" t="s">
        <v>1818</v>
      </c>
      <c r="D4864" t="s">
        <v>1813</v>
      </c>
    </row>
    <row r="4865" spans="1:4" x14ac:dyDescent="0.2">
      <c r="A4865" t="s">
        <v>6561</v>
      </c>
      <c r="B4865" s="2">
        <v>43186</v>
      </c>
      <c r="C4865" t="s">
        <v>6562</v>
      </c>
      <c r="D4865" t="s">
        <v>1031</v>
      </c>
    </row>
    <row r="4866" spans="1:4" x14ac:dyDescent="0.2">
      <c r="A4866" t="s">
        <v>6563</v>
      </c>
      <c r="B4866" s="2">
        <v>43236</v>
      </c>
      <c r="C4866" t="s">
        <v>1816</v>
      </c>
      <c r="D4866" t="s">
        <v>1829</v>
      </c>
    </row>
    <row r="4867" spans="1:4" x14ac:dyDescent="0.2">
      <c r="A4867" t="s">
        <v>6564</v>
      </c>
      <c r="B4867" s="2">
        <v>42955</v>
      </c>
      <c r="C4867" t="s">
        <v>3268</v>
      </c>
      <c r="D4867" t="s">
        <v>1849</v>
      </c>
    </row>
    <row r="4868" spans="1:4" x14ac:dyDescent="0.2">
      <c r="A4868" t="s">
        <v>6565</v>
      </c>
      <c r="B4868" s="2">
        <v>43251</v>
      </c>
      <c r="C4868" t="s">
        <v>1836</v>
      </c>
      <c r="D4868" t="s">
        <v>1031</v>
      </c>
    </row>
    <row r="4869" spans="1:4" x14ac:dyDescent="0.2">
      <c r="A4869" t="s">
        <v>6566</v>
      </c>
      <c r="B4869" s="2">
        <v>43031</v>
      </c>
      <c r="C4869" t="s">
        <v>1939</v>
      </c>
      <c r="D4869" t="s">
        <v>1810</v>
      </c>
    </row>
    <row r="4870" spans="1:4" x14ac:dyDescent="0.2">
      <c r="A4870" t="s">
        <v>6567</v>
      </c>
      <c r="B4870" s="2">
        <v>43053</v>
      </c>
      <c r="C4870" t="s">
        <v>1880</v>
      </c>
      <c r="D4870" t="s">
        <v>1810</v>
      </c>
    </row>
    <row r="4871" spans="1:4" x14ac:dyDescent="0.2">
      <c r="A4871" t="s">
        <v>6568</v>
      </c>
      <c r="B4871" s="2">
        <v>43237</v>
      </c>
      <c r="C4871" t="s">
        <v>1836</v>
      </c>
      <c r="D4871" t="s">
        <v>1031</v>
      </c>
    </row>
    <row r="4872" spans="1:4" x14ac:dyDescent="0.2">
      <c r="A4872" t="s">
        <v>6569</v>
      </c>
      <c r="B4872" s="2">
        <v>43152</v>
      </c>
      <c r="C4872" t="s">
        <v>1816</v>
      </c>
      <c r="D4872" t="s">
        <v>1810</v>
      </c>
    </row>
    <row r="4873" spans="1:4" x14ac:dyDescent="0.2">
      <c r="A4873" t="s">
        <v>6570</v>
      </c>
      <c r="B4873" s="2">
        <v>42992</v>
      </c>
      <c r="C4873" t="s">
        <v>2187</v>
      </c>
      <c r="D4873" t="s">
        <v>1807</v>
      </c>
    </row>
    <row r="4874" spans="1:4" x14ac:dyDescent="0.2">
      <c r="A4874" t="s">
        <v>6571</v>
      </c>
      <c r="B4874" s="2">
        <v>42964</v>
      </c>
      <c r="C4874" t="s">
        <v>1816</v>
      </c>
      <c r="D4874" t="s">
        <v>1810</v>
      </c>
    </row>
    <row r="4875" spans="1:4" x14ac:dyDescent="0.2">
      <c r="A4875" t="s">
        <v>6572</v>
      </c>
      <c r="B4875" s="2">
        <v>43227</v>
      </c>
      <c r="C4875" t="s">
        <v>1836</v>
      </c>
      <c r="D4875" t="s">
        <v>1031</v>
      </c>
    </row>
    <row r="4876" spans="1:4" x14ac:dyDescent="0.2">
      <c r="A4876" t="s">
        <v>6573</v>
      </c>
      <c r="B4876" s="2">
        <v>43188</v>
      </c>
      <c r="C4876" t="s">
        <v>1816</v>
      </c>
      <c r="D4876" t="s">
        <v>1840</v>
      </c>
    </row>
    <row r="4877" spans="1:4" x14ac:dyDescent="0.2">
      <c r="A4877" t="s">
        <v>6574</v>
      </c>
      <c r="B4877" s="2">
        <v>43114</v>
      </c>
      <c r="C4877" t="s">
        <v>1865</v>
      </c>
      <c r="D4877" t="s">
        <v>1810</v>
      </c>
    </row>
    <row r="4878" spans="1:4" x14ac:dyDescent="0.2">
      <c r="A4878" t="s">
        <v>6575</v>
      </c>
      <c r="B4878" s="2">
        <v>43138</v>
      </c>
      <c r="C4878" t="s">
        <v>1803</v>
      </c>
      <c r="D4878" t="s">
        <v>1804</v>
      </c>
    </row>
    <row r="4879" spans="1:4" x14ac:dyDescent="0.2">
      <c r="A4879" t="s">
        <v>1096</v>
      </c>
      <c r="B4879" s="2">
        <v>43227</v>
      </c>
      <c r="C4879" t="s">
        <v>1836</v>
      </c>
      <c r="D4879" t="s">
        <v>1031</v>
      </c>
    </row>
    <row r="4880" spans="1:4" x14ac:dyDescent="0.2">
      <c r="A4880" t="s">
        <v>6576</v>
      </c>
      <c r="B4880" s="2">
        <v>43147</v>
      </c>
      <c r="C4880" t="s">
        <v>1905</v>
      </c>
      <c r="D4880" t="s">
        <v>1840</v>
      </c>
    </row>
    <row r="4881" spans="1:4" x14ac:dyDescent="0.2">
      <c r="A4881" t="s">
        <v>6577</v>
      </c>
      <c r="B4881" s="2">
        <v>43242</v>
      </c>
      <c r="C4881" t="s">
        <v>1863</v>
      </c>
      <c r="D4881" t="s">
        <v>1804</v>
      </c>
    </row>
    <row r="4882" spans="1:4" x14ac:dyDescent="0.2">
      <c r="A4882" t="s">
        <v>6578</v>
      </c>
      <c r="B4882" s="2">
        <v>43170</v>
      </c>
      <c r="C4882" t="s">
        <v>1834</v>
      </c>
      <c r="D4882" t="s">
        <v>1810</v>
      </c>
    </row>
    <row r="4883" spans="1:4" x14ac:dyDescent="0.2">
      <c r="A4883" t="s">
        <v>6579</v>
      </c>
      <c r="B4883" s="2">
        <v>42978</v>
      </c>
      <c r="C4883" t="s">
        <v>2552</v>
      </c>
      <c r="D4883" t="s">
        <v>1807</v>
      </c>
    </row>
    <row r="4884" spans="1:4" x14ac:dyDescent="0.2">
      <c r="A4884" t="s">
        <v>6580</v>
      </c>
      <c r="B4884" s="2">
        <v>43060</v>
      </c>
      <c r="C4884" t="s">
        <v>1803</v>
      </c>
      <c r="D4884" t="s">
        <v>1804</v>
      </c>
    </row>
    <row r="4885" spans="1:4" x14ac:dyDescent="0.2">
      <c r="A4885" t="s">
        <v>6581</v>
      </c>
      <c r="B4885" s="2">
        <v>43235</v>
      </c>
      <c r="C4885" t="s">
        <v>2108</v>
      </c>
      <c r="D4885" t="s">
        <v>1031</v>
      </c>
    </row>
    <row r="4886" spans="1:4" x14ac:dyDescent="0.2">
      <c r="A4886" t="s">
        <v>6582</v>
      </c>
      <c r="B4886" s="2">
        <v>43035</v>
      </c>
      <c r="C4886" t="s">
        <v>2998</v>
      </c>
      <c r="D4886" t="s">
        <v>1813</v>
      </c>
    </row>
    <row r="4887" spans="1:4" x14ac:dyDescent="0.2">
      <c r="A4887" t="s">
        <v>6583</v>
      </c>
      <c r="B4887" s="2">
        <v>43117</v>
      </c>
      <c r="C4887" t="s">
        <v>1959</v>
      </c>
      <c r="D4887" t="s">
        <v>1840</v>
      </c>
    </row>
    <row r="4888" spans="1:4" x14ac:dyDescent="0.2">
      <c r="A4888" t="s">
        <v>6584</v>
      </c>
      <c r="B4888" s="2">
        <v>42947</v>
      </c>
      <c r="C4888" t="s">
        <v>2433</v>
      </c>
      <c r="D4888" t="s">
        <v>1829</v>
      </c>
    </row>
    <row r="4889" spans="1:4" x14ac:dyDescent="0.2">
      <c r="A4889" t="s">
        <v>6585</v>
      </c>
      <c r="B4889" s="2">
        <v>43229</v>
      </c>
      <c r="C4889" t="s">
        <v>1827</v>
      </c>
      <c r="D4889" t="s">
        <v>1810</v>
      </c>
    </row>
    <row r="4890" spans="1:4" x14ac:dyDescent="0.2">
      <c r="A4890" t="s">
        <v>6586</v>
      </c>
      <c r="B4890" s="2">
        <v>43063</v>
      </c>
      <c r="C4890" t="s">
        <v>1987</v>
      </c>
      <c r="D4890" t="s">
        <v>1807</v>
      </c>
    </row>
    <row r="4891" spans="1:4" x14ac:dyDescent="0.2">
      <c r="A4891" t="s">
        <v>6587</v>
      </c>
      <c r="B4891" s="2">
        <v>43210</v>
      </c>
      <c r="C4891" t="s">
        <v>1836</v>
      </c>
      <c r="D4891" t="s">
        <v>1031</v>
      </c>
    </row>
    <row r="4892" spans="1:4" x14ac:dyDescent="0.2">
      <c r="A4892" t="s">
        <v>6588</v>
      </c>
      <c r="B4892" s="2">
        <v>43250</v>
      </c>
      <c r="C4892" t="s">
        <v>1928</v>
      </c>
      <c r="D4892" t="s">
        <v>1849</v>
      </c>
    </row>
    <row r="4893" spans="1:4" x14ac:dyDescent="0.2">
      <c r="A4893" t="s">
        <v>6589</v>
      </c>
      <c r="B4893" s="2">
        <v>43142</v>
      </c>
      <c r="C4893" t="s">
        <v>1803</v>
      </c>
      <c r="D4893" t="s">
        <v>1804</v>
      </c>
    </row>
    <row r="4894" spans="1:4" x14ac:dyDescent="0.2">
      <c r="A4894" t="s">
        <v>6590</v>
      </c>
      <c r="B4894" s="2">
        <v>43156</v>
      </c>
      <c r="C4894" t="s">
        <v>1905</v>
      </c>
      <c r="D4894" t="s">
        <v>1031</v>
      </c>
    </row>
    <row r="4895" spans="1:4" x14ac:dyDescent="0.2">
      <c r="A4895" t="s">
        <v>6591</v>
      </c>
      <c r="B4895" s="2">
        <v>43026</v>
      </c>
      <c r="C4895" t="s">
        <v>1806</v>
      </c>
      <c r="D4895" t="s">
        <v>1807</v>
      </c>
    </row>
    <row r="4896" spans="1:4" x14ac:dyDescent="0.2">
      <c r="A4896" t="s">
        <v>6592</v>
      </c>
      <c r="B4896" s="2">
        <v>43189</v>
      </c>
      <c r="C4896" t="s">
        <v>1863</v>
      </c>
      <c r="D4896" t="s">
        <v>1804</v>
      </c>
    </row>
    <row r="4897" spans="1:4" x14ac:dyDescent="0.2">
      <c r="A4897" t="s">
        <v>1098</v>
      </c>
      <c r="B4897" s="2">
        <v>43219</v>
      </c>
      <c r="C4897" t="s">
        <v>1816</v>
      </c>
      <c r="D4897" t="s">
        <v>1829</v>
      </c>
    </row>
    <row r="4898" spans="1:4" x14ac:dyDescent="0.2">
      <c r="A4898" t="s">
        <v>6593</v>
      </c>
      <c r="B4898" s="2">
        <v>43172</v>
      </c>
      <c r="C4898" t="s">
        <v>2019</v>
      </c>
      <c r="D4898" t="s">
        <v>1813</v>
      </c>
    </row>
    <row r="4899" spans="1:4" x14ac:dyDescent="0.2">
      <c r="A4899" t="s">
        <v>6594</v>
      </c>
      <c r="B4899" s="2">
        <v>43025</v>
      </c>
      <c r="C4899" t="s">
        <v>1939</v>
      </c>
      <c r="D4899" t="s">
        <v>1807</v>
      </c>
    </row>
    <row r="4900" spans="1:4" x14ac:dyDescent="0.2">
      <c r="A4900" t="s">
        <v>6595</v>
      </c>
      <c r="B4900" s="2">
        <v>43156</v>
      </c>
      <c r="C4900" t="s">
        <v>1902</v>
      </c>
      <c r="D4900" t="s">
        <v>1807</v>
      </c>
    </row>
    <row r="4901" spans="1:4" x14ac:dyDescent="0.2">
      <c r="A4901" t="s">
        <v>6596</v>
      </c>
      <c r="B4901" s="2">
        <v>43124</v>
      </c>
      <c r="C4901" t="s">
        <v>1812</v>
      </c>
      <c r="D4901" t="s">
        <v>1813</v>
      </c>
    </row>
    <row r="4902" spans="1:4" x14ac:dyDescent="0.2">
      <c r="A4902" t="s">
        <v>6597</v>
      </c>
      <c r="B4902" s="2">
        <v>42998</v>
      </c>
      <c r="C4902" t="s">
        <v>1865</v>
      </c>
      <c r="D4902" t="s">
        <v>1031</v>
      </c>
    </row>
    <row r="4903" spans="1:4" x14ac:dyDescent="0.2">
      <c r="A4903" t="s">
        <v>6598</v>
      </c>
      <c r="B4903" s="2">
        <v>43227</v>
      </c>
      <c r="C4903" t="s">
        <v>2070</v>
      </c>
      <c r="D4903" t="s">
        <v>1031</v>
      </c>
    </row>
    <row r="4904" spans="1:4" x14ac:dyDescent="0.2">
      <c r="A4904" t="s">
        <v>6599</v>
      </c>
      <c r="B4904" s="2">
        <v>42934</v>
      </c>
      <c r="C4904" t="s">
        <v>1921</v>
      </c>
      <c r="D4904" t="s">
        <v>1804</v>
      </c>
    </row>
    <row r="4905" spans="1:4" x14ac:dyDescent="0.2">
      <c r="A4905" t="s">
        <v>6600</v>
      </c>
      <c r="B4905" s="2">
        <v>42996</v>
      </c>
      <c r="C4905" t="s">
        <v>3178</v>
      </c>
      <c r="D4905" t="s">
        <v>1031</v>
      </c>
    </row>
    <row r="4906" spans="1:4" x14ac:dyDescent="0.2">
      <c r="A4906" t="s">
        <v>6601</v>
      </c>
      <c r="B4906" s="2">
        <v>43214</v>
      </c>
      <c r="C4906" t="s">
        <v>1863</v>
      </c>
      <c r="D4906" t="s">
        <v>1804</v>
      </c>
    </row>
    <row r="4907" spans="1:4" x14ac:dyDescent="0.2">
      <c r="A4907" t="s">
        <v>1100</v>
      </c>
      <c r="B4907" s="2">
        <v>43104</v>
      </c>
      <c r="C4907" t="s">
        <v>1930</v>
      </c>
      <c r="D4907" t="s">
        <v>1807</v>
      </c>
    </row>
    <row r="4908" spans="1:4" x14ac:dyDescent="0.2">
      <c r="A4908" t="s">
        <v>6602</v>
      </c>
      <c r="B4908" s="2">
        <v>43151</v>
      </c>
      <c r="C4908" t="s">
        <v>1803</v>
      </c>
      <c r="D4908" t="s">
        <v>1804</v>
      </c>
    </row>
    <row r="4909" spans="1:4" x14ac:dyDescent="0.2">
      <c r="A4909" t="s">
        <v>1102</v>
      </c>
      <c r="B4909" s="2">
        <v>43151</v>
      </c>
      <c r="C4909" t="s">
        <v>2591</v>
      </c>
      <c r="D4909" t="s">
        <v>1810</v>
      </c>
    </row>
    <row r="4910" spans="1:4" x14ac:dyDescent="0.2">
      <c r="A4910" t="s">
        <v>6603</v>
      </c>
      <c r="B4910" s="2">
        <v>43146</v>
      </c>
      <c r="C4910" t="s">
        <v>1907</v>
      </c>
      <c r="D4910" t="s">
        <v>1807</v>
      </c>
    </row>
    <row r="4911" spans="1:4" x14ac:dyDescent="0.2">
      <c r="A4911" t="s">
        <v>6604</v>
      </c>
      <c r="B4911" s="2">
        <v>42961</v>
      </c>
      <c r="C4911" t="s">
        <v>1814</v>
      </c>
      <c r="D4911" t="s">
        <v>1810</v>
      </c>
    </row>
    <row r="4912" spans="1:4" x14ac:dyDescent="0.2">
      <c r="A4912" t="s">
        <v>6605</v>
      </c>
      <c r="B4912" s="2">
        <v>42943</v>
      </c>
      <c r="C4912" t="s">
        <v>1892</v>
      </c>
      <c r="D4912" t="s">
        <v>1810</v>
      </c>
    </row>
    <row r="4913" spans="1:4" x14ac:dyDescent="0.2">
      <c r="A4913" t="s">
        <v>6606</v>
      </c>
      <c r="B4913" s="2">
        <v>43177</v>
      </c>
      <c r="C4913" t="s">
        <v>6607</v>
      </c>
      <c r="D4913" t="s">
        <v>1807</v>
      </c>
    </row>
    <row r="4914" spans="1:4" x14ac:dyDescent="0.2">
      <c r="A4914" t="s">
        <v>6608</v>
      </c>
      <c r="B4914" s="2">
        <v>43143</v>
      </c>
      <c r="C4914" t="s">
        <v>1836</v>
      </c>
      <c r="D4914" t="s">
        <v>1031</v>
      </c>
    </row>
    <row r="4915" spans="1:4" x14ac:dyDescent="0.2">
      <c r="A4915" t="s">
        <v>6609</v>
      </c>
      <c r="B4915" s="2">
        <v>43045</v>
      </c>
      <c r="C4915" t="s">
        <v>1859</v>
      </c>
      <c r="D4915" t="s">
        <v>1810</v>
      </c>
    </row>
    <row r="4916" spans="1:4" x14ac:dyDescent="0.2">
      <c r="A4916" t="s">
        <v>6610</v>
      </c>
      <c r="B4916" s="2">
        <v>42988</v>
      </c>
      <c r="C4916" t="s">
        <v>1816</v>
      </c>
      <c r="D4916" t="s">
        <v>1840</v>
      </c>
    </row>
    <row r="4917" spans="1:4" x14ac:dyDescent="0.2">
      <c r="A4917" t="s">
        <v>6611</v>
      </c>
      <c r="B4917" s="2">
        <v>43198</v>
      </c>
      <c r="C4917" t="s">
        <v>1863</v>
      </c>
      <c r="D4917" t="s">
        <v>1804</v>
      </c>
    </row>
    <row r="4918" spans="1:4" x14ac:dyDescent="0.2">
      <c r="A4918" t="s">
        <v>6612</v>
      </c>
      <c r="B4918" s="2">
        <v>43105</v>
      </c>
      <c r="C4918" t="s">
        <v>1885</v>
      </c>
      <c r="D4918" t="s">
        <v>1810</v>
      </c>
    </row>
    <row r="4919" spans="1:4" x14ac:dyDescent="0.2">
      <c r="A4919" t="s">
        <v>6613</v>
      </c>
      <c r="B4919" s="2">
        <v>42961</v>
      </c>
      <c r="C4919" t="s">
        <v>2716</v>
      </c>
      <c r="D4919" t="s">
        <v>1810</v>
      </c>
    </row>
    <row r="4920" spans="1:4" x14ac:dyDescent="0.2">
      <c r="A4920" t="s">
        <v>6614</v>
      </c>
      <c r="B4920" s="2">
        <v>43210</v>
      </c>
      <c r="C4920" t="s">
        <v>1816</v>
      </c>
      <c r="D4920" t="s">
        <v>1810</v>
      </c>
    </row>
    <row r="4921" spans="1:4" x14ac:dyDescent="0.2">
      <c r="A4921" t="s">
        <v>6615</v>
      </c>
      <c r="B4921" s="2">
        <v>43007</v>
      </c>
      <c r="C4921" t="s">
        <v>2187</v>
      </c>
      <c r="D4921" t="s">
        <v>1807</v>
      </c>
    </row>
    <row r="4922" spans="1:4" x14ac:dyDescent="0.2">
      <c r="A4922" t="s">
        <v>6616</v>
      </c>
      <c r="B4922" s="2">
        <v>43202</v>
      </c>
      <c r="C4922" t="s">
        <v>1863</v>
      </c>
      <c r="D4922" t="s">
        <v>1804</v>
      </c>
    </row>
    <row r="4923" spans="1:4" x14ac:dyDescent="0.2">
      <c r="A4923" t="s">
        <v>1104</v>
      </c>
      <c r="B4923" s="2">
        <v>43237</v>
      </c>
      <c r="C4923" t="s">
        <v>1809</v>
      </c>
      <c r="D4923" t="s">
        <v>1810</v>
      </c>
    </row>
    <row r="4924" spans="1:4" x14ac:dyDescent="0.2">
      <c r="A4924" t="s">
        <v>6617</v>
      </c>
      <c r="B4924" s="2">
        <v>43191</v>
      </c>
      <c r="C4924" t="s">
        <v>1905</v>
      </c>
      <c r="D4924" t="s">
        <v>1810</v>
      </c>
    </row>
    <row r="4925" spans="1:4" x14ac:dyDescent="0.2">
      <c r="A4925" t="s">
        <v>6618</v>
      </c>
      <c r="B4925" s="2">
        <v>43114</v>
      </c>
      <c r="C4925" t="s">
        <v>1889</v>
      </c>
      <c r="D4925" t="s">
        <v>1840</v>
      </c>
    </row>
    <row r="4926" spans="1:4" x14ac:dyDescent="0.2">
      <c r="A4926" t="s">
        <v>6619</v>
      </c>
      <c r="B4926" s="2">
        <v>43116</v>
      </c>
      <c r="C4926" t="s">
        <v>1907</v>
      </c>
      <c r="D4926" t="s">
        <v>1807</v>
      </c>
    </row>
    <row r="4927" spans="1:4" x14ac:dyDescent="0.2">
      <c r="A4927" t="s">
        <v>6620</v>
      </c>
      <c r="B4927" s="2">
        <v>43225</v>
      </c>
      <c r="C4927" t="s">
        <v>2242</v>
      </c>
      <c r="D4927" t="s">
        <v>1810</v>
      </c>
    </row>
    <row r="4928" spans="1:4" x14ac:dyDescent="0.2">
      <c r="A4928" t="s">
        <v>6621</v>
      </c>
      <c r="B4928" s="2">
        <v>42941</v>
      </c>
      <c r="C4928" t="s">
        <v>2433</v>
      </c>
      <c r="D4928" t="s">
        <v>1810</v>
      </c>
    </row>
    <row r="4929" spans="1:4" x14ac:dyDescent="0.2">
      <c r="A4929" t="s">
        <v>6622</v>
      </c>
      <c r="B4929" s="2">
        <v>43196</v>
      </c>
      <c r="C4929" t="s">
        <v>1930</v>
      </c>
      <c r="D4929" t="s">
        <v>1807</v>
      </c>
    </row>
    <row r="4930" spans="1:4" x14ac:dyDescent="0.2">
      <c r="A4930" t="s">
        <v>6623</v>
      </c>
      <c r="B4930" s="2">
        <v>43245</v>
      </c>
      <c r="C4930" t="s">
        <v>1832</v>
      </c>
      <c r="D4930" t="s">
        <v>1810</v>
      </c>
    </row>
    <row r="4931" spans="1:4" x14ac:dyDescent="0.2">
      <c r="A4931" t="s">
        <v>6624</v>
      </c>
      <c r="B4931" s="2">
        <v>43222</v>
      </c>
      <c r="C4931" t="s">
        <v>1863</v>
      </c>
      <c r="D4931" t="s">
        <v>1840</v>
      </c>
    </row>
    <row r="4932" spans="1:4" x14ac:dyDescent="0.2">
      <c r="A4932" t="s">
        <v>6625</v>
      </c>
      <c r="B4932" s="2">
        <v>43018</v>
      </c>
      <c r="C4932" t="s">
        <v>1889</v>
      </c>
      <c r="D4932" t="s">
        <v>1807</v>
      </c>
    </row>
    <row r="4933" spans="1:4" x14ac:dyDescent="0.2">
      <c r="A4933" t="s">
        <v>6626</v>
      </c>
      <c r="B4933" s="2">
        <v>43108</v>
      </c>
      <c r="C4933" t="s">
        <v>1825</v>
      </c>
      <c r="D4933" t="s">
        <v>1810</v>
      </c>
    </row>
    <row r="4934" spans="1:4" x14ac:dyDescent="0.2">
      <c r="A4934" t="s">
        <v>6627</v>
      </c>
      <c r="B4934" s="2">
        <v>43154</v>
      </c>
      <c r="C4934" t="s">
        <v>1836</v>
      </c>
      <c r="D4934" t="s">
        <v>1807</v>
      </c>
    </row>
    <row r="4935" spans="1:4" x14ac:dyDescent="0.2">
      <c r="A4935" t="s">
        <v>6628</v>
      </c>
      <c r="B4935" s="2">
        <v>43202</v>
      </c>
      <c r="C4935" t="s">
        <v>4290</v>
      </c>
      <c r="D4935" t="s">
        <v>1810</v>
      </c>
    </row>
    <row r="4936" spans="1:4" x14ac:dyDescent="0.2">
      <c r="A4936" t="s">
        <v>6629</v>
      </c>
      <c r="B4936" s="2">
        <v>43212</v>
      </c>
      <c r="C4936" t="s">
        <v>2154</v>
      </c>
      <c r="D4936" t="s">
        <v>1807</v>
      </c>
    </row>
    <row r="4937" spans="1:4" x14ac:dyDescent="0.2">
      <c r="A4937" t="s">
        <v>6630</v>
      </c>
      <c r="B4937" s="2">
        <v>43165</v>
      </c>
      <c r="C4937" t="s">
        <v>2115</v>
      </c>
      <c r="D4937" t="s">
        <v>1804</v>
      </c>
    </row>
    <row r="4938" spans="1:4" x14ac:dyDescent="0.2">
      <c r="A4938" t="s">
        <v>6631</v>
      </c>
      <c r="B4938" s="2">
        <v>43102</v>
      </c>
      <c r="C4938" t="s">
        <v>1836</v>
      </c>
      <c r="D4938" t="s">
        <v>1031</v>
      </c>
    </row>
    <row r="4939" spans="1:4" x14ac:dyDescent="0.2">
      <c r="A4939" t="s">
        <v>6632</v>
      </c>
      <c r="B4939" s="2">
        <v>43163</v>
      </c>
      <c r="C4939" t="s">
        <v>1831</v>
      </c>
      <c r="D4939" t="s">
        <v>160</v>
      </c>
    </row>
    <row r="4940" spans="1:4" x14ac:dyDescent="0.2">
      <c r="A4940" t="s">
        <v>6633</v>
      </c>
      <c r="B4940" s="2">
        <v>43151</v>
      </c>
      <c r="C4940" t="s">
        <v>1905</v>
      </c>
      <c r="D4940" t="s">
        <v>1810</v>
      </c>
    </row>
    <row r="4941" spans="1:4" x14ac:dyDescent="0.2">
      <c r="A4941" t="s">
        <v>6634</v>
      </c>
      <c r="B4941" s="2">
        <v>43240</v>
      </c>
      <c r="C4941" t="s">
        <v>2831</v>
      </c>
      <c r="D4941" t="s">
        <v>1807</v>
      </c>
    </row>
    <row r="4942" spans="1:4" x14ac:dyDescent="0.2">
      <c r="A4942" t="s">
        <v>6635</v>
      </c>
      <c r="B4942" s="2">
        <v>43199</v>
      </c>
      <c r="C4942" t="s">
        <v>1816</v>
      </c>
      <c r="D4942" t="s">
        <v>1810</v>
      </c>
    </row>
    <row r="4943" spans="1:4" x14ac:dyDescent="0.2">
      <c r="A4943" t="s">
        <v>6636</v>
      </c>
      <c r="B4943" s="2">
        <v>43161</v>
      </c>
      <c r="C4943" t="s">
        <v>1905</v>
      </c>
      <c r="D4943" t="s">
        <v>1810</v>
      </c>
    </row>
    <row r="4944" spans="1:4" x14ac:dyDescent="0.2">
      <c r="A4944" t="s">
        <v>6637</v>
      </c>
      <c r="B4944" s="2">
        <v>43235</v>
      </c>
      <c r="C4944" t="s">
        <v>4199</v>
      </c>
      <c r="D4944" t="s">
        <v>1796</v>
      </c>
    </row>
    <row r="4945" spans="1:4" x14ac:dyDescent="0.2">
      <c r="A4945" t="s">
        <v>6638</v>
      </c>
      <c r="B4945" s="2">
        <v>43046</v>
      </c>
      <c r="C4945" t="s">
        <v>1803</v>
      </c>
      <c r="D4945" t="s">
        <v>1804</v>
      </c>
    </row>
    <row r="4946" spans="1:4" x14ac:dyDescent="0.2">
      <c r="A4946" t="s">
        <v>6639</v>
      </c>
      <c r="B4946" s="2">
        <v>43216</v>
      </c>
      <c r="C4946" t="s">
        <v>1836</v>
      </c>
      <c r="D4946" t="s">
        <v>1810</v>
      </c>
    </row>
    <row r="4947" spans="1:4" x14ac:dyDescent="0.2">
      <c r="A4947" t="s">
        <v>1106</v>
      </c>
      <c r="B4947" s="2">
        <v>43154</v>
      </c>
      <c r="C4947" t="s">
        <v>1836</v>
      </c>
      <c r="D4947" t="s">
        <v>1031</v>
      </c>
    </row>
    <row r="4948" spans="1:4" x14ac:dyDescent="0.2">
      <c r="A4948" t="s">
        <v>1108</v>
      </c>
      <c r="B4948" s="2">
        <v>43220</v>
      </c>
      <c r="C4948" t="s">
        <v>1827</v>
      </c>
      <c r="D4948" t="s">
        <v>1807</v>
      </c>
    </row>
    <row r="4949" spans="1:4" x14ac:dyDescent="0.2">
      <c r="A4949" t="s">
        <v>1110</v>
      </c>
      <c r="B4949" s="2">
        <v>43134</v>
      </c>
      <c r="C4949" t="s">
        <v>1825</v>
      </c>
      <c r="D4949" t="s">
        <v>1031</v>
      </c>
    </row>
    <row r="4950" spans="1:4" x14ac:dyDescent="0.2">
      <c r="A4950" t="s">
        <v>6640</v>
      </c>
      <c r="B4950" s="2">
        <v>43154</v>
      </c>
      <c r="C4950" t="s">
        <v>2115</v>
      </c>
      <c r="D4950" t="s">
        <v>1804</v>
      </c>
    </row>
    <row r="4951" spans="1:4" x14ac:dyDescent="0.2">
      <c r="A4951" t="s">
        <v>6641</v>
      </c>
      <c r="B4951" s="2">
        <v>43104</v>
      </c>
      <c r="C4951" t="s">
        <v>1803</v>
      </c>
      <c r="D4951" t="s">
        <v>1804</v>
      </c>
    </row>
    <row r="4952" spans="1:4" x14ac:dyDescent="0.2">
      <c r="A4952" t="s">
        <v>6642</v>
      </c>
      <c r="B4952" s="2">
        <v>43182</v>
      </c>
      <c r="C4952" t="s">
        <v>6643</v>
      </c>
      <c r="D4952" t="s">
        <v>1807</v>
      </c>
    </row>
    <row r="4953" spans="1:4" x14ac:dyDescent="0.2">
      <c r="A4953" t="s">
        <v>6644</v>
      </c>
      <c r="B4953" s="2">
        <v>43048</v>
      </c>
      <c r="C4953" t="s">
        <v>1803</v>
      </c>
      <c r="D4953" t="s">
        <v>1804</v>
      </c>
    </row>
    <row r="4954" spans="1:4" x14ac:dyDescent="0.2">
      <c r="A4954" t="s">
        <v>6645</v>
      </c>
      <c r="B4954" s="2">
        <v>43083</v>
      </c>
      <c r="C4954" t="s">
        <v>1959</v>
      </c>
      <c r="D4954" t="s">
        <v>1796</v>
      </c>
    </row>
    <row r="4955" spans="1:4" x14ac:dyDescent="0.2">
      <c r="A4955" t="s">
        <v>6646</v>
      </c>
      <c r="B4955" s="2">
        <v>43098</v>
      </c>
      <c r="C4955" t="s">
        <v>1803</v>
      </c>
      <c r="D4955" t="s">
        <v>1804</v>
      </c>
    </row>
    <row r="4956" spans="1:4" x14ac:dyDescent="0.2">
      <c r="A4956" t="s">
        <v>6647</v>
      </c>
      <c r="B4956" s="2">
        <v>43182</v>
      </c>
      <c r="C4956" t="s">
        <v>1987</v>
      </c>
      <c r="D4956" t="s">
        <v>1807</v>
      </c>
    </row>
    <row r="4957" spans="1:4" x14ac:dyDescent="0.2">
      <c r="A4957" t="s">
        <v>6648</v>
      </c>
      <c r="B4957" s="2">
        <v>43188</v>
      </c>
      <c r="C4957" t="s">
        <v>4896</v>
      </c>
      <c r="D4957" t="s">
        <v>1810</v>
      </c>
    </row>
    <row r="4958" spans="1:4" x14ac:dyDescent="0.2">
      <c r="A4958" t="s">
        <v>1113</v>
      </c>
      <c r="B4958" s="2">
        <v>43179</v>
      </c>
      <c r="C4958" t="s">
        <v>1930</v>
      </c>
      <c r="D4958" t="s">
        <v>1807</v>
      </c>
    </row>
    <row r="4959" spans="1:4" x14ac:dyDescent="0.2">
      <c r="A4959" t="s">
        <v>6649</v>
      </c>
      <c r="B4959" s="2">
        <v>43227</v>
      </c>
      <c r="C4959" t="s">
        <v>1863</v>
      </c>
      <c r="D4959" t="s">
        <v>1804</v>
      </c>
    </row>
    <row r="4960" spans="1:4" x14ac:dyDescent="0.2">
      <c r="A4960" t="s">
        <v>6650</v>
      </c>
      <c r="B4960" s="2">
        <v>43143</v>
      </c>
      <c r="C4960" t="s">
        <v>1803</v>
      </c>
      <c r="D4960" t="s">
        <v>1804</v>
      </c>
    </row>
    <row r="4961" spans="1:4" x14ac:dyDescent="0.2">
      <c r="A4961" t="s">
        <v>6651</v>
      </c>
      <c r="B4961" s="2">
        <v>43158</v>
      </c>
      <c r="C4961" t="s">
        <v>2048</v>
      </c>
      <c r="D4961" t="s">
        <v>1840</v>
      </c>
    </row>
    <row r="4962" spans="1:4" x14ac:dyDescent="0.2">
      <c r="A4962" t="s">
        <v>1115</v>
      </c>
      <c r="B4962" s="2">
        <v>43195</v>
      </c>
      <c r="C4962" t="s">
        <v>1816</v>
      </c>
      <c r="D4962" t="s">
        <v>1810</v>
      </c>
    </row>
    <row r="4963" spans="1:4" x14ac:dyDescent="0.2">
      <c r="A4963" t="s">
        <v>6652</v>
      </c>
      <c r="B4963" s="2">
        <v>43167</v>
      </c>
      <c r="C4963" t="s">
        <v>1907</v>
      </c>
      <c r="D4963" t="s">
        <v>1807</v>
      </c>
    </row>
    <row r="4964" spans="1:4" x14ac:dyDescent="0.2">
      <c r="A4964" t="s">
        <v>6653</v>
      </c>
      <c r="B4964" s="2">
        <v>43225</v>
      </c>
      <c r="C4964" t="s">
        <v>1863</v>
      </c>
      <c r="D4964" t="s">
        <v>1804</v>
      </c>
    </row>
    <row r="4965" spans="1:4" x14ac:dyDescent="0.2">
      <c r="A4965" t="s">
        <v>6654</v>
      </c>
      <c r="B4965" s="2">
        <v>43220</v>
      </c>
      <c r="C4965" t="s">
        <v>1930</v>
      </c>
      <c r="D4965" t="s">
        <v>1031</v>
      </c>
    </row>
    <row r="4966" spans="1:4" x14ac:dyDescent="0.2">
      <c r="A4966" t="s">
        <v>6655</v>
      </c>
      <c r="B4966" s="2">
        <v>43199</v>
      </c>
      <c r="C4966" t="s">
        <v>1831</v>
      </c>
      <c r="D4966" t="s">
        <v>160</v>
      </c>
    </row>
    <row r="4967" spans="1:4" x14ac:dyDescent="0.2">
      <c r="A4967" t="s">
        <v>6656</v>
      </c>
      <c r="B4967" s="2">
        <v>43052</v>
      </c>
      <c r="C4967" t="s">
        <v>1867</v>
      </c>
      <c r="D4967" t="s">
        <v>1807</v>
      </c>
    </row>
    <row r="4968" spans="1:4" x14ac:dyDescent="0.2">
      <c r="A4968" t="s">
        <v>6657</v>
      </c>
      <c r="B4968" s="2">
        <v>42935</v>
      </c>
      <c r="C4968" t="s">
        <v>1907</v>
      </c>
      <c r="D4968" t="s">
        <v>1807</v>
      </c>
    </row>
    <row r="4969" spans="1:4" x14ac:dyDescent="0.2">
      <c r="A4969" t="s">
        <v>6658</v>
      </c>
      <c r="B4969" s="2">
        <v>43056</v>
      </c>
      <c r="C4969" t="s">
        <v>1867</v>
      </c>
      <c r="D4969" t="s">
        <v>1829</v>
      </c>
    </row>
    <row r="4970" spans="1:4" x14ac:dyDescent="0.2">
      <c r="A4970" t="s">
        <v>6659</v>
      </c>
      <c r="B4970" s="2">
        <v>43131</v>
      </c>
      <c r="C4970" t="s">
        <v>1905</v>
      </c>
      <c r="D4970" t="s">
        <v>1807</v>
      </c>
    </row>
    <row r="4971" spans="1:4" x14ac:dyDescent="0.2">
      <c r="A4971" t="s">
        <v>6660</v>
      </c>
      <c r="B4971" s="2">
        <v>43222</v>
      </c>
      <c r="C4971" t="s">
        <v>1863</v>
      </c>
      <c r="D4971" t="s">
        <v>1804</v>
      </c>
    </row>
    <row r="4972" spans="1:4" x14ac:dyDescent="0.2">
      <c r="A4972" t="s">
        <v>6661</v>
      </c>
      <c r="B4972" s="2">
        <v>43129</v>
      </c>
      <c r="C4972" t="s">
        <v>1809</v>
      </c>
      <c r="D4972" t="s">
        <v>1810</v>
      </c>
    </row>
    <row r="4973" spans="1:4" x14ac:dyDescent="0.2">
      <c r="A4973" t="s">
        <v>6662</v>
      </c>
      <c r="B4973" s="2">
        <v>43132</v>
      </c>
      <c r="C4973" t="s">
        <v>2206</v>
      </c>
      <c r="D4973" t="s">
        <v>1813</v>
      </c>
    </row>
    <row r="4974" spans="1:4" x14ac:dyDescent="0.2">
      <c r="A4974" t="s">
        <v>6663</v>
      </c>
      <c r="B4974" s="2">
        <v>43233</v>
      </c>
      <c r="C4974" t="s">
        <v>1863</v>
      </c>
      <c r="D4974" t="s">
        <v>1804</v>
      </c>
    </row>
    <row r="4975" spans="1:4" x14ac:dyDescent="0.2">
      <c r="A4975" t="s">
        <v>6664</v>
      </c>
      <c r="B4975" s="2">
        <v>42969</v>
      </c>
      <c r="C4975" t="s">
        <v>1915</v>
      </c>
      <c r="D4975" t="s">
        <v>1807</v>
      </c>
    </row>
    <row r="4976" spans="1:4" x14ac:dyDescent="0.2">
      <c r="A4976" t="s">
        <v>6665</v>
      </c>
      <c r="B4976" s="2">
        <v>43186</v>
      </c>
      <c r="C4976" t="s">
        <v>1816</v>
      </c>
      <c r="D4976" t="s">
        <v>1810</v>
      </c>
    </row>
    <row r="4977" spans="1:4" x14ac:dyDescent="0.2">
      <c r="A4977" t="s">
        <v>1117</v>
      </c>
      <c r="B4977" s="2">
        <v>43196</v>
      </c>
      <c r="C4977" t="s">
        <v>1836</v>
      </c>
      <c r="D4977" t="s">
        <v>1031</v>
      </c>
    </row>
    <row r="4978" spans="1:4" x14ac:dyDescent="0.2">
      <c r="A4978" t="s">
        <v>6666</v>
      </c>
      <c r="B4978" s="2">
        <v>43177</v>
      </c>
      <c r="C4978" t="s">
        <v>2023</v>
      </c>
      <c r="D4978" t="s">
        <v>1810</v>
      </c>
    </row>
    <row r="4979" spans="1:4" x14ac:dyDescent="0.2">
      <c r="A4979" t="s">
        <v>6667</v>
      </c>
      <c r="B4979" s="2">
        <v>43192</v>
      </c>
      <c r="C4979" t="s">
        <v>2182</v>
      </c>
      <c r="D4979" t="s">
        <v>1810</v>
      </c>
    </row>
    <row r="4980" spans="1:4" x14ac:dyDescent="0.2">
      <c r="A4980" t="s">
        <v>1119</v>
      </c>
      <c r="B4980" s="2">
        <v>43117</v>
      </c>
      <c r="C4980" t="s">
        <v>1836</v>
      </c>
      <c r="D4980" t="s">
        <v>1031</v>
      </c>
    </row>
    <row r="4981" spans="1:4" x14ac:dyDescent="0.2">
      <c r="A4981" t="s">
        <v>6668</v>
      </c>
      <c r="B4981" s="2">
        <v>43244</v>
      </c>
      <c r="C4981" t="s">
        <v>1863</v>
      </c>
      <c r="D4981" t="s">
        <v>1804</v>
      </c>
    </row>
    <row r="4982" spans="1:4" x14ac:dyDescent="0.2">
      <c r="A4982" t="s">
        <v>6669</v>
      </c>
      <c r="B4982" s="2">
        <v>43238</v>
      </c>
      <c r="C4982" t="s">
        <v>1905</v>
      </c>
      <c r="D4982" t="s">
        <v>1810</v>
      </c>
    </row>
    <row r="4983" spans="1:4" x14ac:dyDescent="0.2">
      <c r="A4983" t="s">
        <v>6670</v>
      </c>
      <c r="B4983" s="2">
        <v>43190</v>
      </c>
      <c r="C4983" t="s">
        <v>1907</v>
      </c>
      <c r="D4983" t="s">
        <v>1807</v>
      </c>
    </row>
    <row r="4984" spans="1:4" x14ac:dyDescent="0.2">
      <c r="A4984" t="s">
        <v>6671</v>
      </c>
      <c r="B4984" s="2">
        <v>43238</v>
      </c>
      <c r="C4984" t="s">
        <v>1816</v>
      </c>
      <c r="D4984" t="s">
        <v>1840</v>
      </c>
    </row>
    <row r="4985" spans="1:4" x14ac:dyDescent="0.2">
      <c r="A4985" t="s">
        <v>1121</v>
      </c>
      <c r="B4985" s="2">
        <v>43129</v>
      </c>
      <c r="C4985" t="s">
        <v>1816</v>
      </c>
      <c r="D4985" t="s">
        <v>1810</v>
      </c>
    </row>
    <row r="4986" spans="1:4" x14ac:dyDescent="0.2">
      <c r="A4986" t="s">
        <v>6672</v>
      </c>
      <c r="B4986" s="2">
        <v>43033</v>
      </c>
      <c r="C4986" t="s">
        <v>1867</v>
      </c>
      <c r="D4986" t="s">
        <v>1810</v>
      </c>
    </row>
    <row r="4987" spans="1:4" x14ac:dyDescent="0.2">
      <c r="A4987" t="s">
        <v>6673</v>
      </c>
      <c r="B4987" s="2">
        <v>43069</v>
      </c>
      <c r="C4987" t="s">
        <v>6674</v>
      </c>
      <c r="D4987" t="s">
        <v>1810</v>
      </c>
    </row>
    <row r="4988" spans="1:4" x14ac:dyDescent="0.2">
      <c r="A4988" t="s">
        <v>6675</v>
      </c>
      <c r="B4988" s="2">
        <v>43236</v>
      </c>
      <c r="C4988" t="s">
        <v>2048</v>
      </c>
      <c r="D4988" t="s">
        <v>1804</v>
      </c>
    </row>
    <row r="4989" spans="1:4" x14ac:dyDescent="0.2">
      <c r="A4989" t="s">
        <v>1123</v>
      </c>
      <c r="B4989" s="2">
        <v>43168</v>
      </c>
      <c r="C4989" t="s">
        <v>1836</v>
      </c>
      <c r="D4989" t="s">
        <v>1031</v>
      </c>
    </row>
    <row r="4990" spans="1:4" x14ac:dyDescent="0.2">
      <c r="A4990" t="s">
        <v>1125</v>
      </c>
      <c r="B4990" s="2">
        <v>43134</v>
      </c>
      <c r="C4990" t="s">
        <v>1865</v>
      </c>
      <c r="D4990" t="s">
        <v>1810</v>
      </c>
    </row>
    <row r="4991" spans="1:4" x14ac:dyDescent="0.2">
      <c r="A4991" t="s">
        <v>6676</v>
      </c>
      <c r="B4991" s="2">
        <v>43228</v>
      </c>
      <c r="C4991" t="s">
        <v>1863</v>
      </c>
      <c r="D4991" t="s">
        <v>1804</v>
      </c>
    </row>
    <row r="4992" spans="1:4" x14ac:dyDescent="0.2">
      <c r="A4992" t="s">
        <v>1127</v>
      </c>
      <c r="B4992" s="2">
        <v>43223</v>
      </c>
      <c r="C4992" t="s">
        <v>6677</v>
      </c>
      <c r="D4992" t="s">
        <v>1804</v>
      </c>
    </row>
    <row r="4993" spans="1:4" x14ac:dyDescent="0.2">
      <c r="A4993" t="s">
        <v>6678</v>
      </c>
      <c r="B4993" s="2">
        <v>43151</v>
      </c>
      <c r="C4993" t="s">
        <v>1930</v>
      </c>
      <c r="D4993" t="s">
        <v>1807</v>
      </c>
    </row>
    <row r="4994" spans="1:4" x14ac:dyDescent="0.2">
      <c r="A4994" t="s">
        <v>6679</v>
      </c>
      <c r="B4994" s="2">
        <v>42965</v>
      </c>
      <c r="C4994" t="s">
        <v>1836</v>
      </c>
      <c r="D4994" t="s">
        <v>1031</v>
      </c>
    </row>
    <row r="4995" spans="1:4" x14ac:dyDescent="0.2">
      <c r="A4995" t="s">
        <v>6680</v>
      </c>
      <c r="B4995" s="2">
        <v>43013</v>
      </c>
      <c r="C4995" t="s">
        <v>1809</v>
      </c>
      <c r="D4995" t="s">
        <v>1807</v>
      </c>
    </row>
    <row r="4996" spans="1:4" x14ac:dyDescent="0.2">
      <c r="A4996" t="s">
        <v>6681</v>
      </c>
      <c r="B4996" s="2">
        <v>43137</v>
      </c>
      <c r="C4996" t="s">
        <v>3830</v>
      </c>
      <c r="D4996" t="s">
        <v>1810</v>
      </c>
    </row>
    <row r="4997" spans="1:4" x14ac:dyDescent="0.2">
      <c r="A4997" t="s">
        <v>6682</v>
      </c>
      <c r="B4997" s="2">
        <v>43216</v>
      </c>
      <c r="C4997" t="s">
        <v>4398</v>
      </c>
      <c r="D4997" t="s">
        <v>1804</v>
      </c>
    </row>
    <row r="4998" spans="1:4" x14ac:dyDescent="0.2">
      <c r="A4998" t="s">
        <v>6683</v>
      </c>
      <c r="B4998" s="2">
        <v>43212</v>
      </c>
      <c r="C4998" t="s">
        <v>1863</v>
      </c>
      <c r="D4998" t="s">
        <v>1804</v>
      </c>
    </row>
    <row r="4999" spans="1:4" x14ac:dyDescent="0.2">
      <c r="A4999" t="s">
        <v>6684</v>
      </c>
      <c r="B4999" s="2">
        <v>43185</v>
      </c>
      <c r="C4999" t="s">
        <v>1987</v>
      </c>
      <c r="D4999" t="s">
        <v>1807</v>
      </c>
    </row>
    <row r="5000" spans="1:4" x14ac:dyDescent="0.2">
      <c r="A5000" t="s">
        <v>6685</v>
      </c>
      <c r="B5000" s="2">
        <v>43217</v>
      </c>
      <c r="C5000" t="s">
        <v>2503</v>
      </c>
      <c r="D5000" t="s">
        <v>1829</v>
      </c>
    </row>
    <row r="5001" spans="1:4" x14ac:dyDescent="0.2">
      <c r="A5001" t="s">
        <v>6686</v>
      </c>
      <c r="B5001" s="2">
        <v>43220</v>
      </c>
      <c r="C5001" t="s">
        <v>2503</v>
      </c>
      <c r="D5001" t="s">
        <v>1031</v>
      </c>
    </row>
    <row r="5002" spans="1:4" x14ac:dyDescent="0.2">
      <c r="A5002" t="s">
        <v>6687</v>
      </c>
      <c r="B5002" s="2">
        <v>43208</v>
      </c>
      <c r="C5002" t="s">
        <v>2158</v>
      </c>
      <c r="D5002" t="s">
        <v>1810</v>
      </c>
    </row>
    <row r="5003" spans="1:4" x14ac:dyDescent="0.2">
      <c r="A5003" t="s">
        <v>6688</v>
      </c>
      <c r="B5003" s="2">
        <v>43117</v>
      </c>
      <c r="C5003" t="s">
        <v>1905</v>
      </c>
      <c r="D5003" t="s">
        <v>1807</v>
      </c>
    </row>
    <row r="5004" spans="1:4" x14ac:dyDescent="0.2">
      <c r="A5004" t="s">
        <v>1129</v>
      </c>
      <c r="B5004" s="2">
        <v>43245</v>
      </c>
      <c r="C5004" t="s">
        <v>2242</v>
      </c>
      <c r="D5004" t="s">
        <v>1810</v>
      </c>
    </row>
    <row r="5005" spans="1:4" x14ac:dyDescent="0.2">
      <c r="A5005" t="s">
        <v>6689</v>
      </c>
      <c r="B5005" s="2">
        <v>43156</v>
      </c>
      <c r="C5005" t="s">
        <v>1867</v>
      </c>
      <c r="D5005" t="s">
        <v>1810</v>
      </c>
    </row>
    <row r="5006" spans="1:4" x14ac:dyDescent="0.2">
      <c r="A5006" t="s">
        <v>6690</v>
      </c>
      <c r="B5006" s="2">
        <v>43095</v>
      </c>
      <c r="C5006" t="s">
        <v>1907</v>
      </c>
      <c r="D5006" t="s">
        <v>1807</v>
      </c>
    </row>
    <row r="5007" spans="1:4" x14ac:dyDescent="0.2">
      <c r="A5007" t="s">
        <v>6691</v>
      </c>
      <c r="B5007" s="2">
        <v>42923</v>
      </c>
      <c r="C5007" t="s">
        <v>3419</v>
      </c>
      <c r="D5007" t="s">
        <v>1810</v>
      </c>
    </row>
    <row r="5008" spans="1:4" x14ac:dyDescent="0.2">
      <c r="A5008" t="s">
        <v>1131</v>
      </c>
      <c r="B5008" s="2">
        <v>43236</v>
      </c>
      <c r="C5008" t="s">
        <v>1836</v>
      </c>
      <c r="D5008" t="s">
        <v>1031</v>
      </c>
    </row>
    <row r="5009" spans="1:4" x14ac:dyDescent="0.2">
      <c r="A5009" t="s">
        <v>6692</v>
      </c>
      <c r="B5009" s="2">
        <v>43206</v>
      </c>
      <c r="C5009" t="s">
        <v>1905</v>
      </c>
      <c r="D5009" t="s">
        <v>1810</v>
      </c>
    </row>
    <row r="5010" spans="1:4" x14ac:dyDescent="0.2">
      <c r="A5010" t="s">
        <v>6693</v>
      </c>
      <c r="B5010" s="2">
        <v>43035</v>
      </c>
      <c r="C5010" t="s">
        <v>2998</v>
      </c>
      <c r="D5010" t="s">
        <v>1807</v>
      </c>
    </row>
    <row r="5011" spans="1:4" x14ac:dyDescent="0.2">
      <c r="A5011" t="s">
        <v>6694</v>
      </c>
      <c r="B5011" s="2">
        <v>42961</v>
      </c>
      <c r="C5011" t="s">
        <v>2563</v>
      </c>
      <c r="D5011" t="s">
        <v>1807</v>
      </c>
    </row>
    <row r="5012" spans="1:4" x14ac:dyDescent="0.2">
      <c r="A5012" t="s">
        <v>6695</v>
      </c>
      <c r="B5012" s="2">
        <v>42941</v>
      </c>
      <c r="C5012" t="s">
        <v>1836</v>
      </c>
      <c r="D5012" t="s">
        <v>1031</v>
      </c>
    </row>
    <row r="5013" spans="1:4" x14ac:dyDescent="0.2">
      <c r="A5013" t="s">
        <v>6696</v>
      </c>
      <c r="B5013" s="2">
        <v>43172</v>
      </c>
      <c r="C5013" t="s">
        <v>1867</v>
      </c>
      <c r="D5013" t="s">
        <v>1840</v>
      </c>
    </row>
    <row r="5014" spans="1:4" x14ac:dyDescent="0.2">
      <c r="A5014" t="s">
        <v>6697</v>
      </c>
      <c r="B5014" s="2">
        <v>43159</v>
      </c>
      <c r="C5014" t="s">
        <v>1889</v>
      </c>
      <c r="D5014" t="s">
        <v>1807</v>
      </c>
    </row>
    <row r="5015" spans="1:4" x14ac:dyDescent="0.2">
      <c r="A5015" t="s">
        <v>6698</v>
      </c>
      <c r="B5015" s="2">
        <v>43146</v>
      </c>
      <c r="C5015" t="s">
        <v>6699</v>
      </c>
      <c r="D5015" t="s">
        <v>1810</v>
      </c>
    </row>
    <row r="5016" spans="1:4" x14ac:dyDescent="0.2">
      <c r="A5016" t="s">
        <v>6700</v>
      </c>
      <c r="B5016" s="2">
        <v>43161</v>
      </c>
      <c r="C5016" t="s">
        <v>1836</v>
      </c>
      <c r="D5016" t="s">
        <v>1031</v>
      </c>
    </row>
    <row r="5017" spans="1:4" x14ac:dyDescent="0.2">
      <c r="A5017" t="s">
        <v>6701</v>
      </c>
      <c r="B5017" s="2">
        <v>43108</v>
      </c>
      <c r="C5017" t="s">
        <v>1905</v>
      </c>
      <c r="D5017" t="s">
        <v>1810</v>
      </c>
    </row>
    <row r="5018" spans="1:4" x14ac:dyDescent="0.2">
      <c r="A5018" t="s">
        <v>1133</v>
      </c>
      <c r="B5018" s="2">
        <v>43133</v>
      </c>
      <c r="C5018" t="s">
        <v>3315</v>
      </c>
      <c r="D5018" t="s">
        <v>1807</v>
      </c>
    </row>
    <row r="5019" spans="1:4" x14ac:dyDescent="0.2">
      <c r="A5019" t="s">
        <v>6702</v>
      </c>
      <c r="B5019" s="2">
        <v>43194</v>
      </c>
      <c r="C5019" t="s">
        <v>1816</v>
      </c>
      <c r="D5019" t="s">
        <v>1810</v>
      </c>
    </row>
    <row r="5020" spans="1:4" x14ac:dyDescent="0.2">
      <c r="A5020" t="s">
        <v>6703</v>
      </c>
      <c r="B5020" s="2">
        <v>43239</v>
      </c>
      <c r="C5020" t="s">
        <v>2402</v>
      </c>
      <c r="D5020" t="s">
        <v>1849</v>
      </c>
    </row>
    <row r="5021" spans="1:4" x14ac:dyDescent="0.2">
      <c r="A5021" t="s">
        <v>6704</v>
      </c>
      <c r="B5021" s="2">
        <v>43228</v>
      </c>
      <c r="C5021" t="s">
        <v>1825</v>
      </c>
      <c r="D5021" t="s">
        <v>1810</v>
      </c>
    </row>
    <row r="5022" spans="1:4" x14ac:dyDescent="0.2">
      <c r="A5022" t="s">
        <v>6705</v>
      </c>
      <c r="B5022" s="2">
        <v>43236</v>
      </c>
      <c r="C5022" t="s">
        <v>1863</v>
      </c>
      <c r="D5022" t="s">
        <v>1804</v>
      </c>
    </row>
    <row r="5023" spans="1:4" x14ac:dyDescent="0.2">
      <c r="A5023" t="s">
        <v>6706</v>
      </c>
      <c r="B5023" s="2">
        <v>42921</v>
      </c>
      <c r="C5023" t="s">
        <v>6707</v>
      </c>
      <c r="D5023" t="s">
        <v>1031</v>
      </c>
    </row>
    <row r="5024" spans="1:4" x14ac:dyDescent="0.2">
      <c r="A5024" t="s">
        <v>6708</v>
      </c>
      <c r="B5024" s="2">
        <v>43213</v>
      </c>
      <c r="C5024" t="s">
        <v>2831</v>
      </c>
      <c r="D5024" t="s">
        <v>1807</v>
      </c>
    </row>
    <row r="5025" spans="1:4" x14ac:dyDescent="0.2">
      <c r="A5025" t="s">
        <v>6709</v>
      </c>
      <c r="B5025" s="2">
        <v>43242</v>
      </c>
      <c r="C5025" t="s">
        <v>2242</v>
      </c>
      <c r="D5025" t="s">
        <v>1840</v>
      </c>
    </row>
    <row r="5026" spans="1:4" x14ac:dyDescent="0.2">
      <c r="A5026" t="s">
        <v>1135</v>
      </c>
      <c r="B5026" s="2">
        <v>43139</v>
      </c>
      <c r="C5026" t="s">
        <v>1930</v>
      </c>
      <c r="D5026" t="s">
        <v>1807</v>
      </c>
    </row>
    <row r="5027" spans="1:4" x14ac:dyDescent="0.2">
      <c r="A5027" t="s">
        <v>6710</v>
      </c>
      <c r="B5027" s="2">
        <v>43211</v>
      </c>
      <c r="C5027" t="s">
        <v>1816</v>
      </c>
      <c r="D5027" t="s">
        <v>1840</v>
      </c>
    </row>
    <row r="5028" spans="1:4" x14ac:dyDescent="0.2">
      <c r="A5028" t="s">
        <v>1137</v>
      </c>
      <c r="B5028" s="2">
        <v>43181</v>
      </c>
      <c r="C5028" t="s">
        <v>1867</v>
      </c>
      <c r="D5028" t="s">
        <v>1810</v>
      </c>
    </row>
    <row r="5029" spans="1:4" x14ac:dyDescent="0.2">
      <c r="A5029" t="s">
        <v>6711</v>
      </c>
      <c r="B5029" s="2">
        <v>43170</v>
      </c>
      <c r="C5029" t="s">
        <v>1803</v>
      </c>
      <c r="D5029" t="s">
        <v>1804</v>
      </c>
    </row>
    <row r="5030" spans="1:4" x14ac:dyDescent="0.2">
      <c r="A5030" t="s">
        <v>6712</v>
      </c>
      <c r="B5030" s="2">
        <v>43033</v>
      </c>
      <c r="C5030" t="s">
        <v>1836</v>
      </c>
      <c r="D5030" t="s">
        <v>1031</v>
      </c>
    </row>
    <row r="5031" spans="1:4" x14ac:dyDescent="0.2">
      <c r="A5031" t="s">
        <v>6713</v>
      </c>
      <c r="B5031" s="2">
        <v>43243</v>
      </c>
      <c r="C5031" t="s">
        <v>1828</v>
      </c>
      <c r="D5031" t="s">
        <v>1810</v>
      </c>
    </row>
    <row r="5032" spans="1:4" x14ac:dyDescent="0.2">
      <c r="A5032" t="s">
        <v>6714</v>
      </c>
      <c r="B5032" s="2">
        <v>43096</v>
      </c>
      <c r="C5032" t="s">
        <v>1930</v>
      </c>
      <c r="D5032" t="s">
        <v>1807</v>
      </c>
    </row>
    <row r="5033" spans="1:4" x14ac:dyDescent="0.2">
      <c r="A5033" t="s">
        <v>6715</v>
      </c>
      <c r="B5033" s="2">
        <v>43138</v>
      </c>
      <c r="C5033" t="s">
        <v>1854</v>
      </c>
      <c r="D5033" t="s">
        <v>1807</v>
      </c>
    </row>
    <row r="5034" spans="1:4" x14ac:dyDescent="0.2">
      <c r="A5034" t="s">
        <v>6716</v>
      </c>
      <c r="B5034" s="2">
        <v>43248</v>
      </c>
      <c r="C5034" t="s">
        <v>2283</v>
      </c>
      <c r="D5034" t="s">
        <v>1031</v>
      </c>
    </row>
    <row r="5035" spans="1:4" x14ac:dyDescent="0.2">
      <c r="A5035" t="s">
        <v>1139</v>
      </c>
      <c r="B5035" s="2">
        <v>43034</v>
      </c>
      <c r="C5035" t="s">
        <v>2187</v>
      </c>
      <c r="D5035" t="s">
        <v>1807</v>
      </c>
    </row>
    <row r="5036" spans="1:4" x14ac:dyDescent="0.2">
      <c r="A5036" t="s">
        <v>1141</v>
      </c>
      <c r="B5036" s="2">
        <v>43148</v>
      </c>
      <c r="C5036" t="s">
        <v>1816</v>
      </c>
      <c r="D5036" t="s">
        <v>1810</v>
      </c>
    </row>
    <row r="5037" spans="1:4" x14ac:dyDescent="0.2">
      <c r="A5037" t="s">
        <v>6717</v>
      </c>
      <c r="B5037" s="2">
        <v>43147</v>
      </c>
      <c r="C5037" t="s">
        <v>1907</v>
      </c>
      <c r="D5037" t="s">
        <v>1807</v>
      </c>
    </row>
    <row r="5038" spans="1:4" x14ac:dyDescent="0.2">
      <c r="A5038" t="s">
        <v>6718</v>
      </c>
      <c r="B5038" s="2">
        <v>43133</v>
      </c>
      <c r="C5038" t="s">
        <v>1867</v>
      </c>
      <c r="D5038" t="s">
        <v>1810</v>
      </c>
    </row>
    <row r="5039" spans="1:4" x14ac:dyDescent="0.2">
      <c r="A5039" t="s">
        <v>1143</v>
      </c>
      <c r="B5039" s="2">
        <v>43202</v>
      </c>
      <c r="C5039" t="s">
        <v>1930</v>
      </c>
      <c r="D5039" t="s">
        <v>1807</v>
      </c>
    </row>
    <row r="5040" spans="1:4" x14ac:dyDescent="0.2">
      <c r="A5040" t="s">
        <v>6719</v>
      </c>
      <c r="B5040" s="2">
        <v>43116</v>
      </c>
      <c r="C5040" t="s">
        <v>1905</v>
      </c>
      <c r="D5040" t="s">
        <v>1031</v>
      </c>
    </row>
    <row r="5041" spans="1:4" x14ac:dyDescent="0.2">
      <c r="A5041" t="s">
        <v>6720</v>
      </c>
      <c r="B5041" s="2">
        <v>43230</v>
      </c>
      <c r="C5041" t="s">
        <v>5966</v>
      </c>
      <c r="D5041" t="s">
        <v>1031</v>
      </c>
    </row>
    <row r="5042" spans="1:4" x14ac:dyDescent="0.2">
      <c r="A5042" t="s">
        <v>6721</v>
      </c>
      <c r="B5042" s="2">
        <v>43216</v>
      </c>
      <c r="C5042" t="s">
        <v>1836</v>
      </c>
      <c r="D5042" t="s">
        <v>1031</v>
      </c>
    </row>
    <row r="5043" spans="1:4" x14ac:dyDescent="0.2">
      <c r="A5043" t="s">
        <v>1145</v>
      </c>
      <c r="B5043" s="2">
        <v>43211</v>
      </c>
      <c r="C5043" t="s">
        <v>2133</v>
      </c>
      <c r="D5043" t="s">
        <v>1807</v>
      </c>
    </row>
    <row r="5044" spans="1:4" x14ac:dyDescent="0.2">
      <c r="A5044" t="s">
        <v>6722</v>
      </c>
      <c r="B5044" s="2">
        <v>43217</v>
      </c>
      <c r="C5044" t="s">
        <v>1867</v>
      </c>
      <c r="D5044" t="s">
        <v>1810</v>
      </c>
    </row>
    <row r="5045" spans="1:4" x14ac:dyDescent="0.2">
      <c r="A5045" t="s">
        <v>1147</v>
      </c>
      <c r="B5045" s="2">
        <v>43185</v>
      </c>
      <c r="C5045" t="s">
        <v>1836</v>
      </c>
      <c r="D5045" t="s">
        <v>1810</v>
      </c>
    </row>
    <row r="5046" spans="1:4" x14ac:dyDescent="0.2">
      <c r="A5046" t="s">
        <v>6723</v>
      </c>
      <c r="B5046" s="2">
        <v>43105</v>
      </c>
      <c r="C5046" t="s">
        <v>1930</v>
      </c>
      <c r="D5046" t="s">
        <v>1807</v>
      </c>
    </row>
    <row r="5047" spans="1:4" x14ac:dyDescent="0.2">
      <c r="A5047" t="s">
        <v>6724</v>
      </c>
      <c r="B5047" s="2">
        <v>43129</v>
      </c>
      <c r="C5047" t="s">
        <v>1905</v>
      </c>
      <c r="D5047" t="s">
        <v>1810</v>
      </c>
    </row>
    <row r="5048" spans="1:4" x14ac:dyDescent="0.2">
      <c r="A5048" t="s">
        <v>1149</v>
      </c>
      <c r="B5048" s="2">
        <v>43153</v>
      </c>
      <c r="C5048" t="s">
        <v>2249</v>
      </c>
      <c r="D5048" t="s">
        <v>1813</v>
      </c>
    </row>
    <row r="5049" spans="1:4" x14ac:dyDescent="0.2">
      <c r="A5049" t="s">
        <v>6725</v>
      </c>
      <c r="B5049" s="2">
        <v>43232</v>
      </c>
      <c r="C5049" t="s">
        <v>1905</v>
      </c>
      <c r="D5049" t="s">
        <v>1804</v>
      </c>
    </row>
    <row r="5050" spans="1:4" x14ac:dyDescent="0.2">
      <c r="A5050" t="s">
        <v>6726</v>
      </c>
      <c r="B5050" s="2">
        <v>42923</v>
      </c>
      <c r="C5050" t="s">
        <v>2318</v>
      </c>
      <c r="D5050" t="s">
        <v>160</v>
      </c>
    </row>
    <row r="5051" spans="1:4" x14ac:dyDescent="0.2">
      <c r="A5051" t="s">
        <v>6727</v>
      </c>
      <c r="B5051" s="2">
        <v>43178</v>
      </c>
      <c r="C5051" t="s">
        <v>1816</v>
      </c>
      <c r="D5051" t="s">
        <v>1810</v>
      </c>
    </row>
    <row r="5052" spans="1:4" x14ac:dyDescent="0.2">
      <c r="A5052" t="s">
        <v>6728</v>
      </c>
      <c r="B5052" s="2">
        <v>43121</v>
      </c>
      <c r="C5052" t="s">
        <v>2716</v>
      </c>
      <c r="D5052" t="s">
        <v>1810</v>
      </c>
    </row>
    <row r="5053" spans="1:4" x14ac:dyDescent="0.2">
      <c r="A5053" t="s">
        <v>1151</v>
      </c>
      <c r="B5053" s="2">
        <v>43196</v>
      </c>
      <c r="C5053" t="s">
        <v>1836</v>
      </c>
      <c r="D5053" t="s">
        <v>1840</v>
      </c>
    </row>
    <row r="5054" spans="1:4" x14ac:dyDescent="0.2">
      <c r="A5054" t="s">
        <v>6729</v>
      </c>
      <c r="B5054" s="2">
        <v>43251</v>
      </c>
      <c r="C5054" t="s">
        <v>1863</v>
      </c>
      <c r="D5054" t="s">
        <v>1804</v>
      </c>
    </row>
    <row r="5055" spans="1:4" x14ac:dyDescent="0.2">
      <c r="A5055" t="s">
        <v>6730</v>
      </c>
      <c r="B5055" s="2">
        <v>42992</v>
      </c>
      <c r="C5055" t="s">
        <v>1892</v>
      </c>
      <c r="D5055" t="s">
        <v>1810</v>
      </c>
    </row>
    <row r="5056" spans="1:4" x14ac:dyDescent="0.2">
      <c r="A5056" t="s">
        <v>6731</v>
      </c>
      <c r="B5056" s="2">
        <v>43239</v>
      </c>
      <c r="C5056" t="s">
        <v>3390</v>
      </c>
      <c r="D5056" t="s">
        <v>1810</v>
      </c>
    </row>
    <row r="5057" spans="1:4" x14ac:dyDescent="0.2">
      <c r="A5057" t="s">
        <v>6732</v>
      </c>
      <c r="B5057" s="2">
        <v>43213</v>
      </c>
      <c r="C5057" t="s">
        <v>1863</v>
      </c>
      <c r="D5057" t="s">
        <v>1804</v>
      </c>
    </row>
    <row r="5058" spans="1:4" x14ac:dyDescent="0.2">
      <c r="A5058" t="s">
        <v>6733</v>
      </c>
      <c r="B5058" s="2">
        <v>43018</v>
      </c>
      <c r="C5058" t="s">
        <v>3515</v>
      </c>
      <c r="D5058" t="s">
        <v>1804</v>
      </c>
    </row>
    <row r="5059" spans="1:4" x14ac:dyDescent="0.2">
      <c r="A5059" t="s">
        <v>6734</v>
      </c>
      <c r="B5059" s="2">
        <v>43244</v>
      </c>
      <c r="C5059" t="s">
        <v>1836</v>
      </c>
      <c r="D5059" t="s">
        <v>1031</v>
      </c>
    </row>
    <row r="5060" spans="1:4" x14ac:dyDescent="0.2">
      <c r="A5060" t="s">
        <v>6735</v>
      </c>
      <c r="B5060" s="2">
        <v>43136</v>
      </c>
      <c r="C5060" t="s">
        <v>1867</v>
      </c>
      <c r="D5060" t="s">
        <v>1031</v>
      </c>
    </row>
    <row r="5061" spans="1:4" x14ac:dyDescent="0.2">
      <c r="A5061" t="s">
        <v>6736</v>
      </c>
      <c r="B5061" s="2">
        <v>42948</v>
      </c>
      <c r="C5061" t="s">
        <v>1836</v>
      </c>
      <c r="D5061" t="s">
        <v>1031</v>
      </c>
    </row>
    <row r="5062" spans="1:4" x14ac:dyDescent="0.2">
      <c r="A5062" t="s">
        <v>6737</v>
      </c>
      <c r="B5062" s="2">
        <v>43227</v>
      </c>
      <c r="C5062" t="s">
        <v>1863</v>
      </c>
      <c r="D5062" t="s">
        <v>1804</v>
      </c>
    </row>
    <row r="5063" spans="1:4" x14ac:dyDescent="0.2">
      <c r="A5063" t="s">
        <v>6738</v>
      </c>
      <c r="B5063" s="2">
        <v>43203</v>
      </c>
      <c r="C5063" t="s">
        <v>1863</v>
      </c>
      <c r="D5063" t="s">
        <v>1804</v>
      </c>
    </row>
    <row r="5064" spans="1:4" x14ac:dyDescent="0.2">
      <c r="A5064" t="s">
        <v>6739</v>
      </c>
      <c r="B5064" s="2">
        <v>43129</v>
      </c>
      <c r="C5064" t="s">
        <v>1812</v>
      </c>
      <c r="D5064" t="s">
        <v>1813</v>
      </c>
    </row>
    <row r="5065" spans="1:4" x14ac:dyDescent="0.2">
      <c r="A5065" t="s">
        <v>6740</v>
      </c>
      <c r="B5065" s="2">
        <v>43014</v>
      </c>
      <c r="C5065" t="s">
        <v>1836</v>
      </c>
      <c r="D5065" t="s">
        <v>1031</v>
      </c>
    </row>
    <row r="5066" spans="1:4" x14ac:dyDescent="0.2">
      <c r="A5066" t="s">
        <v>6741</v>
      </c>
      <c r="B5066" s="2">
        <v>43033</v>
      </c>
      <c r="C5066" t="s">
        <v>2965</v>
      </c>
      <c r="D5066" t="s">
        <v>1813</v>
      </c>
    </row>
    <row r="5067" spans="1:4" x14ac:dyDescent="0.2">
      <c r="A5067" t="s">
        <v>6742</v>
      </c>
      <c r="B5067" s="2">
        <v>43017</v>
      </c>
      <c r="C5067" t="s">
        <v>2182</v>
      </c>
      <c r="D5067" t="s">
        <v>1804</v>
      </c>
    </row>
    <row r="5068" spans="1:4" x14ac:dyDescent="0.2">
      <c r="A5068" t="s">
        <v>6743</v>
      </c>
      <c r="B5068" s="2">
        <v>43210</v>
      </c>
      <c r="C5068" t="s">
        <v>6744</v>
      </c>
      <c r="D5068" t="s">
        <v>1810</v>
      </c>
    </row>
    <row r="5069" spans="1:4" x14ac:dyDescent="0.2">
      <c r="A5069" t="s">
        <v>6745</v>
      </c>
      <c r="B5069" s="2">
        <v>42970</v>
      </c>
      <c r="C5069" t="s">
        <v>2074</v>
      </c>
      <c r="D5069" t="s">
        <v>1810</v>
      </c>
    </row>
    <row r="5070" spans="1:4" x14ac:dyDescent="0.2">
      <c r="A5070" t="s">
        <v>6746</v>
      </c>
      <c r="B5070" s="2">
        <v>43237</v>
      </c>
      <c r="C5070" t="s">
        <v>1905</v>
      </c>
      <c r="D5070" t="s">
        <v>1804</v>
      </c>
    </row>
    <row r="5071" spans="1:4" x14ac:dyDescent="0.2">
      <c r="A5071" t="s">
        <v>6747</v>
      </c>
      <c r="B5071" s="2">
        <v>43113</v>
      </c>
      <c r="C5071" t="s">
        <v>1816</v>
      </c>
      <c r="D5071" t="s">
        <v>1810</v>
      </c>
    </row>
    <row r="5072" spans="1:4" x14ac:dyDescent="0.2">
      <c r="A5072" t="s">
        <v>6748</v>
      </c>
      <c r="B5072" s="2">
        <v>42983</v>
      </c>
      <c r="C5072" t="s">
        <v>1894</v>
      </c>
      <c r="D5072" t="s">
        <v>1804</v>
      </c>
    </row>
    <row r="5073" spans="1:4" x14ac:dyDescent="0.2">
      <c r="A5073" t="s">
        <v>6749</v>
      </c>
      <c r="B5073" s="2">
        <v>43046</v>
      </c>
      <c r="C5073" t="s">
        <v>1939</v>
      </c>
      <c r="D5073" t="s">
        <v>1813</v>
      </c>
    </row>
    <row r="5074" spans="1:4" x14ac:dyDescent="0.2">
      <c r="A5074" t="s">
        <v>6750</v>
      </c>
      <c r="B5074" s="2">
        <v>42991</v>
      </c>
      <c r="C5074" t="s">
        <v>1894</v>
      </c>
      <c r="D5074" t="s">
        <v>1804</v>
      </c>
    </row>
    <row r="5075" spans="1:4" x14ac:dyDescent="0.2">
      <c r="A5075" t="s">
        <v>6751</v>
      </c>
      <c r="B5075" s="2">
        <v>43159</v>
      </c>
      <c r="C5075" t="s">
        <v>2216</v>
      </c>
      <c r="D5075" t="s">
        <v>1807</v>
      </c>
    </row>
    <row r="5076" spans="1:4" x14ac:dyDescent="0.2">
      <c r="A5076" t="s">
        <v>6752</v>
      </c>
      <c r="B5076" s="2">
        <v>43065</v>
      </c>
      <c r="C5076" t="s">
        <v>6753</v>
      </c>
      <c r="D5076" t="s">
        <v>1804</v>
      </c>
    </row>
    <row r="5077" spans="1:4" x14ac:dyDescent="0.2">
      <c r="A5077" t="s">
        <v>6754</v>
      </c>
      <c r="B5077" s="2">
        <v>43187</v>
      </c>
      <c r="C5077" t="s">
        <v>2910</v>
      </c>
      <c r="D5077" t="s">
        <v>1810</v>
      </c>
    </row>
    <row r="5078" spans="1:4" x14ac:dyDescent="0.2">
      <c r="A5078" t="s">
        <v>6755</v>
      </c>
      <c r="B5078" s="2">
        <v>43111</v>
      </c>
      <c r="C5078" t="s">
        <v>1867</v>
      </c>
      <c r="D5078" t="s">
        <v>1810</v>
      </c>
    </row>
    <row r="5079" spans="1:4" x14ac:dyDescent="0.2">
      <c r="A5079" t="s">
        <v>6756</v>
      </c>
      <c r="B5079" s="2">
        <v>43109</v>
      </c>
      <c r="C5079" t="s">
        <v>1930</v>
      </c>
      <c r="D5079" t="s">
        <v>1031</v>
      </c>
    </row>
    <row r="5080" spans="1:4" x14ac:dyDescent="0.2">
      <c r="A5080" t="s">
        <v>6757</v>
      </c>
      <c r="B5080" s="2">
        <v>43230</v>
      </c>
      <c r="C5080" t="s">
        <v>1863</v>
      </c>
      <c r="D5080" t="s">
        <v>1804</v>
      </c>
    </row>
    <row r="5081" spans="1:4" x14ac:dyDescent="0.2">
      <c r="A5081" t="s">
        <v>6758</v>
      </c>
      <c r="B5081" s="2">
        <v>43251</v>
      </c>
      <c r="C5081" t="s">
        <v>2133</v>
      </c>
      <c r="D5081" t="s">
        <v>1807</v>
      </c>
    </row>
    <row r="5082" spans="1:4" x14ac:dyDescent="0.2">
      <c r="A5082" t="s">
        <v>6759</v>
      </c>
      <c r="B5082" s="2">
        <v>43200</v>
      </c>
      <c r="C5082" t="s">
        <v>1905</v>
      </c>
      <c r="D5082" t="s">
        <v>1810</v>
      </c>
    </row>
    <row r="5083" spans="1:4" x14ac:dyDescent="0.2">
      <c r="A5083" t="s">
        <v>6760</v>
      </c>
      <c r="B5083" s="2">
        <v>43137</v>
      </c>
      <c r="C5083" t="s">
        <v>1803</v>
      </c>
      <c r="D5083" t="s">
        <v>1804</v>
      </c>
    </row>
    <row r="5084" spans="1:4" x14ac:dyDescent="0.2">
      <c r="A5084" t="s">
        <v>6761</v>
      </c>
      <c r="B5084" s="2">
        <v>43067</v>
      </c>
      <c r="C5084" t="s">
        <v>1803</v>
      </c>
      <c r="D5084" t="s">
        <v>1804</v>
      </c>
    </row>
    <row r="5085" spans="1:4" x14ac:dyDescent="0.2">
      <c r="A5085" t="s">
        <v>6762</v>
      </c>
      <c r="B5085" s="2">
        <v>43157</v>
      </c>
      <c r="C5085" t="s">
        <v>2291</v>
      </c>
      <c r="D5085" t="s">
        <v>1031</v>
      </c>
    </row>
    <row r="5086" spans="1:4" x14ac:dyDescent="0.2">
      <c r="A5086" t="s">
        <v>1153</v>
      </c>
      <c r="B5086" s="2">
        <v>43180</v>
      </c>
      <c r="C5086" t="s">
        <v>2291</v>
      </c>
      <c r="D5086" t="s">
        <v>1840</v>
      </c>
    </row>
    <row r="5087" spans="1:4" x14ac:dyDescent="0.2">
      <c r="A5087" t="s">
        <v>6763</v>
      </c>
      <c r="B5087" s="2">
        <v>43153</v>
      </c>
      <c r="C5087" t="s">
        <v>2249</v>
      </c>
      <c r="D5087" t="s">
        <v>1807</v>
      </c>
    </row>
    <row r="5088" spans="1:4" x14ac:dyDescent="0.2">
      <c r="A5088" t="s">
        <v>6764</v>
      </c>
      <c r="B5088" s="2">
        <v>43136</v>
      </c>
      <c r="C5088" t="s">
        <v>1803</v>
      </c>
      <c r="D5088" t="s">
        <v>1807</v>
      </c>
    </row>
    <row r="5089" spans="1:4" x14ac:dyDescent="0.2">
      <c r="A5089" t="s">
        <v>6765</v>
      </c>
      <c r="B5089" s="2">
        <v>43235</v>
      </c>
      <c r="C5089" t="s">
        <v>6766</v>
      </c>
      <c r="D5089" t="s">
        <v>1031</v>
      </c>
    </row>
    <row r="5090" spans="1:4" x14ac:dyDescent="0.2">
      <c r="A5090" t="s">
        <v>6767</v>
      </c>
      <c r="B5090" s="2">
        <v>43061</v>
      </c>
      <c r="C5090" t="s">
        <v>2650</v>
      </c>
      <c r="D5090" t="s">
        <v>1807</v>
      </c>
    </row>
    <row r="5091" spans="1:4" x14ac:dyDescent="0.2">
      <c r="A5091" t="s">
        <v>6768</v>
      </c>
      <c r="B5091" s="2">
        <v>42991</v>
      </c>
      <c r="C5091" t="s">
        <v>2276</v>
      </c>
      <c r="D5091" t="s">
        <v>1813</v>
      </c>
    </row>
    <row r="5092" spans="1:4" x14ac:dyDescent="0.2">
      <c r="A5092" t="s">
        <v>6769</v>
      </c>
      <c r="B5092" s="2">
        <v>43207</v>
      </c>
      <c r="C5092" t="s">
        <v>1827</v>
      </c>
      <c r="D5092" t="s">
        <v>1829</v>
      </c>
    </row>
    <row r="5093" spans="1:4" x14ac:dyDescent="0.2">
      <c r="A5093" t="s">
        <v>6770</v>
      </c>
      <c r="B5093" s="2">
        <v>43164</v>
      </c>
      <c r="C5093" t="s">
        <v>1803</v>
      </c>
      <c r="D5093" t="s">
        <v>1804</v>
      </c>
    </row>
    <row r="5094" spans="1:4" x14ac:dyDescent="0.2">
      <c r="A5094" t="s">
        <v>6771</v>
      </c>
      <c r="B5094" s="2">
        <v>43026</v>
      </c>
      <c r="C5094" t="s">
        <v>1825</v>
      </c>
      <c r="D5094" t="s">
        <v>1810</v>
      </c>
    </row>
    <row r="5095" spans="1:4" x14ac:dyDescent="0.2">
      <c r="A5095" t="s">
        <v>6772</v>
      </c>
      <c r="B5095" s="2">
        <v>43136</v>
      </c>
      <c r="C5095" t="s">
        <v>1859</v>
      </c>
      <c r="D5095" t="s">
        <v>1810</v>
      </c>
    </row>
    <row r="5096" spans="1:4" x14ac:dyDescent="0.2">
      <c r="A5096" t="s">
        <v>6773</v>
      </c>
      <c r="B5096" s="2">
        <v>43206</v>
      </c>
      <c r="C5096" t="s">
        <v>1831</v>
      </c>
      <c r="D5096" t="s">
        <v>160</v>
      </c>
    </row>
    <row r="5097" spans="1:4" x14ac:dyDescent="0.2">
      <c r="A5097" t="s">
        <v>6774</v>
      </c>
      <c r="B5097" s="2">
        <v>43117</v>
      </c>
      <c r="C5097" t="s">
        <v>1836</v>
      </c>
      <c r="D5097" t="s">
        <v>1031</v>
      </c>
    </row>
    <row r="5098" spans="1:4" x14ac:dyDescent="0.2">
      <c r="A5098" t="s">
        <v>6775</v>
      </c>
      <c r="B5098" s="2">
        <v>43068</v>
      </c>
      <c r="C5098" t="s">
        <v>1803</v>
      </c>
      <c r="D5098" t="s">
        <v>1804</v>
      </c>
    </row>
    <row r="5099" spans="1:4" x14ac:dyDescent="0.2">
      <c r="A5099" t="s">
        <v>1155</v>
      </c>
      <c r="B5099" s="2">
        <v>43130</v>
      </c>
      <c r="C5099" t="s">
        <v>1905</v>
      </c>
      <c r="D5099" t="s">
        <v>1810</v>
      </c>
    </row>
    <row r="5100" spans="1:4" x14ac:dyDescent="0.2">
      <c r="A5100" t="s">
        <v>1157</v>
      </c>
      <c r="B5100" s="2">
        <v>43108</v>
      </c>
      <c r="C5100" t="s">
        <v>1816</v>
      </c>
      <c r="D5100" t="s">
        <v>1810</v>
      </c>
    </row>
    <row r="5101" spans="1:4" x14ac:dyDescent="0.2">
      <c r="A5101" t="s">
        <v>6776</v>
      </c>
      <c r="B5101" s="2">
        <v>43120</v>
      </c>
      <c r="C5101" t="s">
        <v>1803</v>
      </c>
      <c r="D5101" t="s">
        <v>1804</v>
      </c>
    </row>
    <row r="5102" spans="1:4" x14ac:dyDescent="0.2">
      <c r="A5102" t="s">
        <v>6777</v>
      </c>
      <c r="B5102" s="2">
        <v>43215</v>
      </c>
      <c r="C5102" t="s">
        <v>1816</v>
      </c>
      <c r="D5102" t="s">
        <v>1810</v>
      </c>
    </row>
    <row r="5103" spans="1:4" x14ac:dyDescent="0.2">
      <c r="A5103" t="s">
        <v>6778</v>
      </c>
      <c r="B5103" s="2">
        <v>43034</v>
      </c>
      <c r="C5103" t="s">
        <v>1806</v>
      </c>
      <c r="D5103" t="s">
        <v>1810</v>
      </c>
    </row>
    <row r="5104" spans="1:4" x14ac:dyDescent="0.2">
      <c r="A5104" t="s">
        <v>6779</v>
      </c>
      <c r="B5104" s="2">
        <v>43161</v>
      </c>
      <c r="C5104" t="s">
        <v>1907</v>
      </c>
      <c r="D5104" t="s">
        <v>1810</v>
      </c>
    </row>
    <row r="5105" spans="1:4" x14ac:dyDescent="0.2">
      <c r="A5105" t="s">
        <v>6780</v>
      </c>
      <c r="B5105" s="2">
        <v>43125</v>
      </c>
      <c r="C5105" t="s">
        <v>1993</v>
      </c>
      <c r="D5105" t="s">
        <v>1031</v>
      </c>
    </row>
    <row r="5106" spans="1:4" x14ac:dyDescent="0.2">
      <c r="A5106" t="s">
        <v>6781</v>
      </c>
      <c r="B5106" s="2">
        <v>43147</v>
      </c>
      <c r="C5106" t="s">
        <v>1836</v>
      </c>
      <c r="D5106" t="s">
        <v>1031</v>
      </c>
    </row>
    <row r="5107" spans="1:4" x14ac:dyDescent="0.2">
      <c r="A5107" t="s">
        <v>6782</v>
      </c>
      <c r="B5107" s="2">
        <v>43098</v>
      </c>
      <c r="C5107" t="s">
        <v>1836</v>
      </c>
      <c r="D5107" t="s">
        <v>1031</v>
      </c>
    </row>
    <row r="5108" spans="1:4" x14ac:dyDescent="0.2">
      <c r="A5108" t="s">
        <v>6783</v>
      </c>
      <c r="B5108" s="2">
        <v>43228</v>
      </c>
      <c r="C5108" t="s">
        <v>3699</v>
      </c>
      <c r="D5108" t="s">
        <v>1840</v>
      </c>
    </row>
    <row r="5109" spans="1:4" x14ac:dyDescent="0.2">
      <c r="A5109" t="s">
        <v>6784</v>
      </c>
      <c r="B5109" s="2">
        <v>43066</v>
      </c>
      <c r="C5109" t="s">
        <v>1930</v>
      </c>
      <c r="D5109" t="s">
        <v>1807</v>
      </c>
    </row>
    <row r="5110" spans="1:4" x14ac:dyDescent="0.2">
      <c r="A5110" t="s">
        <v>6785</v>
      </c>
      <c r="B5110" s="2">
        <v>43157</v>
      </c>
      <c r="C5110" t="s">
        <v>1905</v>
      </c>
      <c r="D5110" t="s">
        <v>1804</v>
      </c>
    </row>
    <row r="5111" spans="1:4" x14ac:dyDescent="0.2">
      <c r="A5111" t="s">
        <v>1159</v>
      </c>
      <c r="B5111" s="2">
        <v>43208</v>
      </c>
      <c r="C5111" t="s">
        <v>1825</v>
      </c>
      <c r="D5111" t="s">
        <v>1810</v>
      </c>
    </row>
    <row r="5112" spans="1:4" x14ac:dyDescent="0.2">
      <c r="A5112" t="s">
        <v>6786</v>
      </c>
      <c r="B5112" s="2">
        <v>43066</v>
      </c>
      <c r="C5112" t="s">
        <v>1825</v>
      </c>
      <c r="D5112" t="s">
        <v>1810</v>
      </c>
    </row>
    <row r="5113" spans="1:4" x14ac:dyDescent="0.2">
      <c r="A5113" t="s">
        <v>1161</v>
      </c>
      <c r="B5113" s="2">
        <v>43034</v>
      </c>
      <c r="C5113" t="s">
        <v>2054</v>
      </c>
      <c r="D5113" t="s">
        <v>1807</v>
      </c>
    </row>
    <row r="5114" spans="1:4" x14ac:dyDescent="0.2">
      <c r="A5114" t="s">
        <v>6787</v>
      </c>
      <c r="B5114" s="2">
        <v>43189</v>
      </c>
      <c r="C5114" t="s">
        <v>1836</v>
      </c>
      <c r="D5114" t="s">
        <v>1840</v>
      </c>
    </row>
    <row r="5115" spans="1:4" x14ac:dyDescent="0.2">
      <c r="A5115" t="s">
        <v>6788</v>
      </c>
      <c r="B5115" s="2">
        <v>43166</v>
      </c>
      <c r="C5115" t="s">
        <v>2591</v>
      </c>
      <c r="D5115" t="s">
        <v>1849</v>
      </c>
    </row>
    <row r="5116" spans="1:4" x14ac:dyDescent="0.2">
      <c r="A5116" t="s">
        <v>6789</v>
      </c>
      <c r="B5116" s="2">
        <v>43060</v>
      </c>
      <c r="C5116" t="s">
        <v>1930</v>
      </c>
      <c r="D5116" t="s">
        <v>1810</v>
      </c>
    </row>
    <row r="5117" spans="1:4" x14ac:dyDescent="0.2">
      <c r="A5117" t="s">
        <v>6790</v>
      </c>
      <c r="B5117" s="2">
        <v>43099</v>
      </c>
      <c r="C5117" t="s">
        <v>1816</v>
      </c>
      <c r="D5117" t="s">
        <v>1807</v>
      </c>
    </row>
    <row r="5118" spans="1:4" x14ac:dyDescent="0.2">
      <c r="A5118" t="s">
        <v>6791</v>
      </c>
      <c r="B5118" s="2">
        <v>43182</v>
      </c>
      <c r="C5118" t="s">
        <v>1863</v>
      </c>
      <c r="D5118" t="s">
        <v>1840</v>
      </c>
    </row>
    <row r="5119" spans="1:4" x14ac:dyDescent="0.2">
      <c r="A5119" t="s">
        <v>6792</v>
      </c>
      <c r="B5119" s="2">
        <v>43052</v>
      </c>
      <c r="C5119" t="s">
        <v>1867</v>
      </c>
      <c r="D5119" t="s">
        <v>1810</v>
      </c>
    </row>
    <row r="5120" spans="1:4" x14ac:dyDescent="0.2">
      <c r="A5120" t="s">
        <v>6793</v>
      </c>
      <c r="B5120" s="2">
        <v>42940</v>
      </c>
      <c r="C5120" t="s">
        <v>1806</v>
      </c>
      <c r="D5120" t="s">
        <v>1031</v>
      </c>
    </row>
    <row r="5121" spans="1:4" x14ac:dyDescent="0.2">
      <c r="A5121" t="s">
        <v>6794</v>
      </c>
      <c r="B5121" s="2">
        <v>43164</v>
      </c>
      <c r="C5121" t="s">
        <v>1816</v>
      </c>
      <c r="D5121" t="s">
        <v>1810</v>
      </c>
    </row>
    <row r="5122" spans="1:4" x14ac:dyDescent="0.2">
      <c r="A5122" t="s">
        <v>6795</v>
      </c>
      <c r="B5122" s="2">
        <v>43084</v>
      </c>
      <c r="C5122" t="s">
        <v>1816</v>
      </c>
      <c r="D5122" t="s">
        <v>1810</v>
      </c>
    </row>
    <row r="5123" spans="1:4" x14ac:dyDescent="0.2">
      <c r="A5123" t="s">
        <v>1163</v>
      </c>
      <c r="B5123" s="2">
        <v>43120</v>
      </c>
      <c r="C5123" t="s">
        <v>1816</v>
      </c>
      <c r="D5123" t="s">
        <v>1810</v>
      </c>
    </row>
    <row r="5124" spans="1:4" x14ac:dyDescent="0.2">
      <c r="A5124" t="s">
        <v>6796</v>
      </c>
      <c r="B5124" s="2">
        <v>43157</v>
      </c>
      <c r="C5124" t="s">
        <v>1836</v>
      </c>
      <c r="D5124" t="s">
        <v>1031</v>
      </c>
    </row>
    <row r="5125" spans="1:4" x14ac:dyDescent="0.2">
      <c r="A5125" t="s">
        <v>6797</v>
      </c>
      <c r="B5125" s="2">
        <v>43187</v>
      </c>
      <c r="C5125" t="s">
        <v>1993</v>
      </c>
      <c r="D5125" t="s">
        <v>1813</v>
      </c>
    </row>
    <row r="5126" spans="1:4" x14ac:dyDescent="0.2">
      <c r="A5126" t="s">
        <v>6798</v>
      </c>
      <c r="B5126" s="2">
        <v>43017</v>
      </c>
      <c r="C5126" t="s">
        <v>1900</v>
      </c>
      <c r="D5126" t="s">
        <v>1810</v>
      </c>
    </row>
    <row r="5127" spans="1:4" x14ac:dyDescent="0.2">
      <c r="A5127" t="s">
        <v>1165</v>
      </c>
      <c r="B5127" s="2">
        <v>43168</v>
      </c>
      <c r="C5127" t="s">
        <v>6799</v>
      </c>
      <c r="D5127" t="s">
        <v>1810</v>
      </c>
    </row>
    <row r="5128" spans="1:4" x14ac:dyDescent="0.2">
      <c r="A5128" t="s">
        <v>6800</v>
      </c>
      <c r="B5128" s="2">
        <v>42978</v>
      </c>
      <c r="C5128" t="s">
        <v>1816</v>
      </c>
      <c r="D5128" t="s">
        <v>1804</v>
      </c>
    </row>
    <row r="5129" spans="1:4" x14ac:dyDescent="0.2">
      <c r="A5129" t="s">
        <v>6801</v>
      </c>
      <c r="B5129" s="2">
        <v>43220</v>
      </c>
      <c r="C5129" t="s">
        <v>1863</v>
      </c>
      <c r="D5129" t="s">
        <v>1804</v>
      </c>
    </row>
    <row r="5130" spans="1:4" x14ac:dyDescent="0.2">
      <c r="A5130" t="s">
        <v>1167</v>
      </c>
      <c r="B5130" s="2">
        <v>43182</v>
      </c>
      <c r="C5130" t="s">
        <v>1867</v>
      </c>
      <c r="D5130" t="s">
        <v>1813</v>
      </c>
    </row>
    <row r="5131" spans="1:4" x14ac:dyDescent="0.2">
      <c r="A5131" t="s">
        <v>6802</v>
      </c>
      <c r="B5131" s="2">
        <v>43069</v>
      </c>
      <c r="C5131" t="s">
        <v>1939</v>
      </c>
      <c r="D5131" t="s">
        <v>1810</v>
      </c>
    </row>
    <row r="5132" spans="1:4" x14ac:dyDescent="0.2">
      <c r="A5132" t="s">
        <v>6803</v>
      </c>
      <c r="B5132" s="2">
        <v>43146</v>
      </c>
      <c r="C5132" t="s">
        <v>1809</v>
      </c>
      <c r="D5132" t="s">
        <v>1829</v>
      </c>
    </row>
    <row r="5133" spans="1:4" x14ac:dyDescent="0.2">
      <c r="A5133" t="s">
        <v>1169</v>
      </c>
      <c r="B5133" s="2">
        <v>43056</v>
      </c>
      <c r="C5133" t="s">
        <v>1836</v>
      </c>
      <c r="D5133" t="s">
        <v>1031</v>
      </c>
    </row>
    <row r="5134" spans="1:4" x14ac:dyDescent="0.2">
      <c r="A5134" t="s">
        <v>1171</v>
      </c>
      <c r="B5134" s="2">
        <v>43119</v>
      </c>
      <c r="C5134" t="s">
        <v>1905</v>
      </c>
      <c r="D5134" t="s">
        <v>1840</v>
      </c>
    </row>
    <row r="5135" spans="1:4" x14ac:dyDescent="0.2">
      <c r="A5135" t="s">
        <v>6804</v>
      </c>
      <c r="B5135" s="2">
        <v>43222</v>
      </c>
      <c r="C5135" t="s">
        <v>2070</v>
      </c>
      <c r="D5135" t="s">
        <v>1813</v>
      </c>
    </row>
    <row r="5136" spans="1:4" x14ac:dyDescent="0.2">
      <c r="A5136" t="s">
        <v>1173</v>
      </c>
      <c r="B5136" s="2">
        <v>43175</v>
      </c>
      <c r="C5136" t="s">
        <v>2187</v>
      </c>
      <c r="D5136" t="s">
        <v>1810</v>
      </c>
    </row>
    <row r="5137" spans="1:4" x14ac:dyDescent="0.2">
      <c r="A5137" t="s">
        <v>6805</v>
      </c>
      <c r="B5137" s="2">
        <v>42990</v>
      </c>
      <c r="C5137" t="s">
        <v>2054</v>
      </c>
      <c r="D5137" t="s">
        <v>1807</v>
      </c>
    </row>
    <row r="5138" spans="1:4" x14ac:dyDescent="0.2">
      <c r="A5138" t="s">
        <v>6806</v>
      </c>
      <c r="B5138" s="2">
        <v>43136</v>
      </c>
      <c r="C5138" t="s">
        <v>2048</v>
      </c>
      <c r="D5138" t="s">
        <v>1804</v>
      </c>
    </row>
    <row r="5139" spans="1:4" x14ac:dyDescent="0.2">
      <c r="A5139" t="s">
        <v>6807</v>
      </c>
      <c r="B5139" s="2">
        <v>43046</v>
      </c>
      <c r="C5139" t="s">
        <v>2115</v>
      </c>
      <c r="D5139" t="s">
        <v>1804</v>
      </c>
    </row>
    <row r="5140" spans="1:4" x14ac:dyDescent="0.2">
      <c r="A5140" t="s">
        <v>6808</v>
      </c>
      <c r="B5140" s="2">
        <v>43190</v>
      </c>
      <c r="C5140" t="s">
        <v>1863</v>
      </c>
      <c r="D5140" t="s">
        <v>1829</v>
      </c>
    </row>
    <row r="5141" spans="1:4" x14ac:dyDescent="0.2">
      <c r="A5141" t="s">
        <v>6809</v>
      </c>
      <c r="B5141" s="2">
        <v>42992</v>
      </c>
      <c r="C5141" t="s">
        <v>1816</v>
      </c>
      <c r="D5141" t="s">
        <v>1804</v>
      </c>
    </row>
    <row r="5142" spans="1:4" x14ac:dyDescent="0.2">
      <c r="A5142" t="s">
        <v>6810</v>
      </c>
      <c r="B5142" s="2">
        <v>43096</v>
      </c>
      <c r="C5142" t="s">
        <v>1905</v>
      </c>
      <c r="D5142" t="s">
        <v>1810</v>
      </c>
    </row>
    <row r="5143" spans="1:4" x14ac:dyDescent="0.2">
      <c r="A5143" t="s">
        <v>6811</v>
      </c>
      <c r="B5143" s="2">
        <v>43126</v>
      </c>
      <c r="C5143" t="s">
        <v>1867</v>
      </c>
      <c r="D5143" t="s">
        <v>1813</v>
      </c>
    </row>
    <row r="5144" spans="1:4" x14ac:dyDescent="0.2">
      <c r="A5144" t="s">
        <v>6812</v>
      </c>
      <c r="B5144" s="2">
        <v>43180</v>
      </c>
      <c r="C5144" t="s">
        <v>6813</v>
      </c>
      <c r="D5144" t="s">
        <v>160</v>
      </c>
    </row>
    <row r="5145" spans="1:4" x14ac:dyDescent="0.2">
      <c r="A5145" t="s">
        <v>6814</v>
      </c>
      <c r="B5145" s="2">
        <v>42947</v>
      </c>
      <c r="C5145" t="s">
        <v>1939</v>
      </c>
      <c r="D5145" t="s">
        <v>1804</v>
      </c>
    </row>
    <row r="5146" spans="1:4" x14ac:dyDescent="0.2">
      <c r="A5146" t="s">
        <v>6815</v>
      </c>
      <c r="B5146" s="2">
        <v>43053</v>
      </c>
      <c r="C5146" t="s">
        <v>2559</v>
      </c>
      <c r="D5146" t="s">
        <v>1810</v>
      </c>
    </row>
    <row r="5147" spans="1:4" x14ac:dyDescent="0.2">
      <c r="A5147" t="s">
        <v>6816</v>
      </c>
      <c r="B5147" s="2">
        <v>43115</v>
      </c>
      <c r="C5147" t="s">
        <v>1880</v>
      </c>
      <c r="D5147" t="s">
        <v>1810</v>
      </c>
    </row>
    <row r="5148" spans="1:4" x14ac:dyDescent="0.2">
      <c r="A5148" t="s">
        <v>6817</v>
      </c>
      <c r="B5148" s="2">
        <v>43117</v>
      </c>
      <c r="C5148" t="s">
        <v>1825</v>
      </c>
      <c r="D5148" t="s">
        <v>1810</v>
      </c>
    </row>
    <row r="5149" spans="1:4" x14ac:dyDescent="0.2">
      <c r="A5149" t="s">
        <v>6818</v>
      </c>
      <c r="B5149" s="2">
        <v>43245</v>
      </c>
      <c r="C5149" t="s">
        <v>1816</v>
      </c>
      <c r="D5149" t="s">
        <v>1807</v>
      </c>
    </row>
    <row r="5150" spans="1:4" x14ac:dyDescent="0.2">
      <c r="A5150" t="s">
        <v>6819</v>
      </c>
      <c r="B5150" s="2">
        <v>43230</v>
      </c>
      <c r="C5150" t="s">
        <v>1832</v>
      </c>
      <c r="D5150" t="s">
        <v>1807</v>
      </c>
    </row>
    <row r="5151" spans="1:4" x14ac:dyDescent="0.2">
      <c r="A5151" t="s">
        <v>6820</v>
      </c>
      <c r="B5151" s="2">
        <v>43105</v>
      </c>
      <c r="C5151" t="s">
        <v>6821</v>
      </c>
      <c r="D5151" t="s">
        <v>1807</v>
      </c>
    </row>
    <row r="5152" spans="1:4" x14ac:dyDescent="0.2">
      <c r="A5152" t="s">
        <v>1175</v>
      </c>
      <c r="B5152" s="2">
        <v>43109</v>
      </c>
      <c r="C5152" t="s">
        <v>1803</v>
      </c>
      <c r="D5152" t="s">
        <v>1804</v>
      </c>
    </row>
    <row r="5153" spans="1:4" x14ac:dyDescent="0.2">
      <c r="A5153" t="s">
        <v>6822</v>
      </c>
      <c r="B5153" s="2">
        <v>43106</v>
      </c>
      <c r="C5153" t="s">
        <v>1930</v>
      </c>
      <c r="D5153" t="s">
        <v>1807</v>
      </c>
    </row>
    <row r="5154" spans="1:4" x14ac:dyDescent="0.2">
      <c r="A5154" t="s">
        <v>1177</v>
      </c>
      <c r="B5154" s="2">
        <v>43174</v>
      </c>
      <c r="C5154" t="s">
        <v>1816</v>
      </c>
      <c r="D5154" t="s">
        <v>1810</v>
      </c>
    </row>
    <row r="5155" spans="1:4" x14ac:dyDescent="0.2">
      <c r="A5155" t="s">
        <v>1179</v>
      </c>
      <c r="B5155" s="2">
        <v>43246</v>
      </c>
      <c r="C5155" t="s">
        <v>1854</v>
      </c>
      <c r="D5155" t="s">
        <v>1807</v>
      </c>
    </row>
    <row r="5156" spans="1:4" x14ac:dyDescent="0.2">
      <c r="A5156" t="s">
        <v>1181</v>
      </c>
      <c r="B5156" s="2">
        <v>43135</v>
      </c>
      <c r="C5156" t="s">
        <v>1803</v>
      </c>
      <c r="D5156" t="s">
        <v>1804</v>
      </c>
    </row>
    <row r="5157" spans="1:4" x14ac:dyDescent="0.2">
      <c r="A5157" t="s">
        <v>6823</v>
      </c>
      <c r="B5157" s="2">
        <v>42999</v>
      </c>
      <c r="C5157" t="s">
        <v>1825</v>
      </c>
      <c r="D5157" t="s">
        <v>1829</v>
      </c>
    </row>
    <row r="5158" spans="1:4" x14ac:dyDescent="0.2">
      <c r="A5158" t="s">
        <v>6824</v>
      </c>
      <c r="B5158" s="2">
        <v>43193</v>
      </c>
      <c r="C5158" t="s">
        <v>1832</v>
      </c>
      <c r="D5158" t="s">
        <v>1807</v>
      </c>
    </row>
    <row r="5159" spans="1:4" x14ac:dyDescent="0.2">
      <c r="A5159" t="s">
        <v>6825</v>
      </c>
      <c r="B5159" s="2">
        <v>43237</v>
      </c>
      <c r="C5159" t="s">
        <v>1825</v>
      </c>
      <c r="D5159" t="s">
        <v>1810</v>
      </c>
    </row>
    <row r="5160" spans="1:4" x14ac:dyDescent="0.2">
      <c r="A5160" t="s">
        <v>6826</v>
      </c>
      <c r="B5160" s="2">
        <v>43249</v>
      </c>
      <c r="C5160" t="s">
        <v>1863</v>
      </c>
      <c r="D5160" t="s">
        <v>1804</v>
      </c>
    </row>
    <row r="5161" spans="1:4" x14ac:dyDescent="0.2">
      <c r="A5161" t="s">
        <v>6827</v>
      </c>
      <c r="B5161" s="2">
        <v>43182</v>
      </c>
      <c r="C5161" t="s">
        <v>2033</v>
      </c>
      <c r="D5161" t="s">
        <v>1807</v>
      </c>
    </row>
    <row r="5162" spans="1:4" x14ac:dyDescent="0.2">
      <c r="A5162" t="s">
        <v>6828</v>
      </c>
      <c r="B5162" s="2">
        <v>43178</v>
      </c>
      <c r="C5162" t="s">
        <v>1987</v>
      </c>
      <c r="D5162" t="s">
        <v>1807</v>
      </c>
    </row>
    <row r="5163" spans="1:4" x14ac:dyDescent="0.2">
      <c r="A5163" t="s">
        <v>6829</v>
      </c>
      <c r="B5163" s="2">
        <v>43128</v>
      </c>
      <c r="C5163" t="s">
        <v>1825</v>
      </c>
      <c r="D5163" t="s">
        <v>1849</v>
      </c>
    </row>
    <row r="5164" spans="1:4" x14ac:dyDescent="0.2">
      <c r="A5164" t="s">
        <v>6830</v>
      </c>
      <c r="B5164" s="2">
        <v>43185</v>
      </c>
      <c r="C5164" t="s">
        <v>6831</v>
      </c>
      <c r="D5164" t="s">
        <v>1807</v>
      </c>
    </row>
    <row r="5165" spans="1:4" x14ac:dyDescent="0.2">
      <c r="A5165" t="s">
        <v>6832</v>
      </c>
      <c r="B5165" s="2">
        <v>43206</v>
      </c>
      <c r="C5165" t="s">
        <v>1816</v>
      </c>
      <c r="D5165" t="s">
        <v>1810</v>
      </c>
    </row>
    <row r="5166" spans="1:4" x14ac:dyDescent="0.2">
      <c r="A5166" t="s">
        <v>6833</v>
      </c>
      <c r="B5166" s="2">
        <v>43217</v>
      </c>
      <c r="C5166" t="s">
        <v>1905</v>
      </c>
      <c r="D5166" t="s">
        <v>1810</v>
      </c>
    </row>
    <row r="5167" spans="1:4" x14ac:dyDescent="0.2">
      <c r="A5167" t="s">
        <v>6834</v>
      </c>
      <c r="B5167" s="2">
        <v>43215</v>
      </c>
      <c r="C5167" t="s">
        <v>2831</v>
      </c>
      <c r="D5167" t="s">
        <v>1829</v>
      </c>
    </row>
    <row r="5168" spans="1:4" x14ac:dyDescent="0.2">
      <c r="A5168" t="s">
        <v>6835</v>
      </c>
      <c r="B5168" s="2">
        <v>43154</v>
      </c>
      <c r="C5168" t="s">
        <v>2249</v>
      </c>
      <c r="D5168" t="s">
        <v>1031</v>
      </c>
    </row>
    <row r="5169" spans="1:4" x14ac:dyDescent="0.2">
      <c r="A5169" t="s">
        <v>6836</v>
      </c>
      <c r="B5169" s="2">
        <v>42953</v>
      </c>
      <c r="C5169" t="s">
        <v>1894</v>
      </c>
      <c r="D5169" t="s">
        <v>1910</v>
      </c>
    </row>
    <row r="5170" spans="1:4" x14ac:dyDescent="0.2">
      <c r="A5170" t="s">
        <v>6837</v>
      </c>
      <c r="B5170" s="2">
        <v>43210</v>
      </c>
      <c r="C5170" t="s">
        <v>3078</v>
      </c>
      <c r="D5170" t="s">
        <v>1804</v>
      </c>
    </row>
    <row r="5171" spans="1:4" x14ac:dyDescent="0.2">
      <c r="A5171" t="s">
        <v>6838</v>
      </c>
      <c r="B5171" s="2">
        <v>43117</v>
      </c>
      <c r="C5171" t="s">
        <v>5117</v>
      </c>
      <c r="D5171" t="s">
        <v>160</v>
      </c>
    </row>
    <row r="5172" spans="1:4" x14ac:dyDescent="0.2">
      <c r="A5172" t="s">
        <v>6839</v>
      </c>
      <c r="B5172" s="2">
        <v>43221</v>
      </c>
      <c r="C5172" t="s">
        <v>1863</v>
      </c>
      <c r="D5172" t="s">
        <v>1804</v>
      </c>
    </row>
    <row r="5173" spans="1:4" x14ac:dyDescent="0.2">
      <c r="A5173" t="s">
        <v>1183</v>
      </c>
      <c r="B5173" s="2">
        <v>43137</v>
      </c>
      <c r="C5173" t="s">
        <v>1836</v>
      </c>
      <c r="D5173" t="s">
        <v>1031</v>
      </c>
    </row>
    <row r="5174" spans="1:4" x14ac:dyDescent="0.2">
      <c r="A5174" t="s">
        <v>6840</v>
      </c>
      <c r="B5174" s="2">
        <v>43182</v>
      </c>
      <c r="C5174" t="s">
        <v>1905</v>
      </c>
      <c r="D5174" t="s">
        <v>1840</v>
      </c>
    </row>
    <row r="5175" spans="1:4" x14ac:dyDescent="0.2">
      <c r="A5175" t="s">
        <v>6841</v>
      </c>
      <c r="B5175" s="2">
        <v>43179</v>
      </c>
      <c r="C5175" t="s">
        <v>1987</v>
      </c>
      <c r="D5175" t="s">
        <v>1807</v>
      </c>
    </row>
    <row r="5176" spans="1:4" x14ac:dyDescent="0.2">
      <c r="A5176" t="s">
        <v>6842</v>
      </c>
      <c r="B5176" s="2">
        <v>43139</v>
      </c>
      <c r="C5176" t="s">
        <v>1930</v>
      </c>
      <c r="D5176" t="s">
        <v>1807</v>
      </c>
    </row>
    <row r="5177" spans="1:4" x14ac:dyDescent="0.2">
      <c r="A5177" t="s">
        <v>6843</v>
      </c>
      <c r="B5177" s="2">
        <v>43122</v>
      </c>
      <c r="C5177" t="s">
        <v>1867</v>
      </c>
      <c r="D5177" t="s">
        <v>1807</v>
      </c>
    </row>
    <row r="5178" spans="1:4" x14ac:dyDescent="0.2">
      <c r="A5178" t="s">
        <v>6844</v>
      </c>
      <c r="B5178" s="2">
        <v>43152</v>
      </c>
      <c r="C5178" t="s">
        <v>1836</v>
      </c>
      <c r="D5178" t="s">
        <v>1031</v>
      </c>
    </row>
    <row r="5179" spans="1:4" x14ac:dyDescent="0.2">
      <c r="A5179" t="s">
        <v>6845</v>
      </c>
      <c r="B5179" s="2">
        <v>43050</v>
      </c>
      <c r="C5179" t="s">
        <v>1889</v>
      </c>
      <c r="D5179" t="s">
        <v>1810</v>
      </c>
    </row>
    <row r="5180" spans="1:4" x14ac:dyDescent="0.2">
      <c r="A5180" t="s">
        <v>6846</v>
      </c>
      <c r="B5180" s="2">
        <v>43164</v>
      </c>
      <c r="C5180" t="s">
        <v>1809</v>
      </c>
      <c r="D5180" t="s">
        <v>1810</v>
      </c>
    </row>
    <row r="5181" spans="1:4" x14ac:dyDescent="0.2">
      <c r="A5181" t="s">
        <v>6847</v>
      </c>
      <c r="B5181" s="2">
        <v>43208</v>
      </c>
      <c r="C5181" t="s">
        <v>1816</v>
      </c>
      <c r="D5181" t="s">
        <v>1810</v>
      </c>
    </row>
    <row r="5182" spans="1:4" x14ac:dyDescent="0.2">
      <c r="A5182" t="s">
        <v>6848</v>
      </c>
      <c r="B5182" s="2">
        <v>43044</v>
      </c>
      <c r="C5182" t="s">
        <v>2829</v>
      </c>
      <c r="D5182" t="s">
        <v>1829</v>
      </c>
    </row>
    <row r="5183" spans="1:4" x14ac:dyDescent="0.2">
      <c r="A5183" t="s">
        <v>6849</v>
      </c>
      <c r="B5183" s="2">
        <v>43228</v>
      </c>
      <c r="C5183" t="s">
        <v>1836</v>
      </c>
      <c r="D5183" t="s">
        <v>1807</v>
      </c>
    </row>
    <row r="5184" spans="1:4" x14ac:dyDescent="0.2">
      <c r="A5184" t="s">
        <v>6850</v>
      </c>
      <c r="B5184" s="2">
        <v>43164</v>
      </c>
      <c r="C5184" t="s">
        <v>1803</v>
      </c>
      <c r="D5184" t="s">
        <v>1804</v>
      </c>
    </row>
    <row r="5185" spans="1:4" x14ac:dyDescent="0.2">
      <c r="A5185" t="s">
        <v>6851</v>
      </c>
      <c r="B5185" s="2">
        <v>42961</v>
      </c>
      <c r="C5185" t="s">
        <v>1825</v>
      </c>
      <c r="D5185" t="s">
        <v>1829</v>
      </c>
    </row>
    <row r="5186" spans="1:4" x14ac:dyDescent="0.2">
      <c r="A5186" t="s">
        <v>6852</v>
      </c>
      <c r="B5186" s="2">
        <v>43107</v>
      </c>
      <c r="C5186" t="s">
        <v>1836</v>
      </c>
      <c r="D5186" t="s">
        <v>1031</v>
      </c>
    </row>
    <row r="5187" spans="1:4" x14ac:dyDescent="0.2">
      <c r="A5187" t="s">
        <v>6853</v>
      </c>
      <c r="B5187" s="2">
        <v>43172</v>
      </c>
      <c r="C5187" t="s">
        <v>1921</v>
      </c>
      <c r="D5187" t="s">
        <v>1840</v>
      </c>
    </row>
    <row r="5188" spans="1:4" x14ac:dyDescent="0.2">
      <c r="A5188" t="s">
        <v>6854</v>
      </c>
      <c r="B5188" s="2">
        <v>43123</v>
      </c>
      <c r="C5188" t="s">
        <v>1812</v>
      </c>
      <c r="D5188" t="s">
        <v>1813</v>
      </c>
    </row>
    <row r="5189" spans="1:4" x14ac:dyDescent="0.2">
      <c r="A5189" t="s">
        <v>6855</v>
      </c>
      <c r="B5189" s="2">
        <v>43116</v>
      </c>
      <c r="C5189" t="s">
        <v>1831</v>
      </c>
      <c r="D5189" t="s">
        <v>1810</v>
      </c>
    </row>
    <row r="5190" spans="1:4" x14ac:dyDescent="0.2">
      <c r="A5190" t="s">
        <v>6856</v>
      </c>
      <c r="B5190" s="2">
        <v>43137</v>
      </c>
      <c r="C5190" t="s">
        <v>1905</v>
      </c>
      <c r="D5190" t="s">
        <v>1810</v>
      </c>
    </row>
    <row r="5191" spans="1:4" x14ac:dyDescent="0.2">
      <c r="A5191" t="s">
        <v>6857</v>
      </c>
      <c r="B5191" s="2">
        <v>43237</v>
      </c>
      <c r="C5191" t="s">
        <v>2048</v>
      </c>
      <c r="D5191" t="s">
        <v>1810</v>
      </c>
    </row>
    <row r="5192" spans="1:4" x14ac:dyDescent="0.2">
      <c r="A5192" t="s">
        <v>6858</v>
      </c>
      <c r="B5192" s="2">
        <v>43188</v>
      </c>
      <c r="C5192" t="s">
        <v>1809</v>
      </c>
      <c r="D5192" t="s">
        <v>1840</v>
      </c>
    </row>
    <row r="5193" spans="1:4" x14ac:dyDescent="0.2">
      <c r="A5193" t="s">
        <v>6859</v>
      </c>
      <c r="B5193" s="2">
        <v>42999</v>
      </c>
      <c r="C5193" t="s">
        <v>1885</v>
      </c>
      <c r="D5193" t="s">
        <v>1807</v>
      </c>
    </row>
    <row r="5194" spans="1:4" x14ac:dyDescent="0.2">
      <c r="A5194" t="s">
        <v>1185</v>
      </c>
      <c r="B5194" s="2">
        <v>43153</v>
      </c>
      <c r="C5194" t="s">
        <v>1803</v>
      </c>
      <c r="D5194" t="s">
        <v>1804</v>
      </c>
    </row>
    <row r="5195" spans="1:4" x14ac:dyDescent="0.2">
      <c r="A5195" t="s">
        <v>6860</v>
      </c>
      <c r="B5195" s="2">
        <v>43139</v>
      </c>
      <c r="C5195" t="s">
        <v>1836</v>
      </c>
      <c r="D5195" t="s">
        <v>1031</v>
      </c>
    </row>
    <row r="5196" spans="1:4" x14ac:dyDescent="0.2">
      <c r="A5196" t="s">
        <v>6861</v>
      </c>
      <c r="B5196" s="2">
        <v>42954</v>
      </c>
      <c r="C5196" t="s">
        <v>1907</v>
      </c>
      <c r="D5196" t="s">
        <v>1807</v>
      </c>
    </row>
    <row r="5197" spans="1:4" x14ac:dyDescent="0.2">
      <c r="A5197" t="s">
        <v>6862</v>
      </c>
      <c r="B5197" s="2">
        <v>43227</v>
      </c>
      <c r="C5197" t="s">
        <v>1863</v>
      </c>
      <c r="D5197" t="s">
        <v>1804</v>
      </c>
    </row>
    <row r="5198" spans="1:4" x14ac:dyDescent="0.2">
      <c r="A5198" t="s">
        <v>6863</v>
      </c>
      <c r="B5198" s="2">
        <v>43126</v>
      </c>
      <c r="C5198" t="s">
        <v>1987</v>
      </c>
      <c r="D5198" t="s">
        <v>1807</v>
      </c>
    </row>
    <row r="5199" spans="1:4" x14ac:dyDescent="0.2">
      <c r="A5199" t="s">
        <v>6864</v>
      </c>
      <c r="B5199" s="2">
        <v>43228</v>
      </c>
      <c r="C5199" t="s">
        <v>1909</v>
      </c>
      <c r="D5199" t="s">
        <v>1840</v>
      </c>
    </row>
    <row r="5200" spans="1:4" x14ac:dyDescent="0.2">
      <c r="A5200" t="s">
        <v>6865</v>
      </c>
      <c r="B5200" s="2">
        <v>43068</v>
      </c>
      <c r="C5200" t="s">
        <v>1867</v>
      </c>
      <c r="D5200" t="s">
        <v>1813</v>
      </c>
    </row>
    <row r="5201" spans="1:4" x14ac:dyDescent="0.2">
      <c r="A5201" t="s">
        <v>6866</v>
      </c>
      <c r="B5201" s="2">
        <v>43118</v>
      </c>
      <c r="C5201" t="s">
        <v>1836</v>
      </c>
      <c r="D5201" t="s">
        <v>1810</v>
      </c>
    </row>
    <row r="5202" spans="1:4" x14ac:dyDescent="0.2">
      <c r="A5202" t="s">
        <v>6867</v>
      </c>
      <c r="B5202" s="2">
        <v>43160</v>
      </c>
      <c r="C5202" t="s">
        <v>2056</v>
      </c>
      <c r="D5202" t="s">
        <v>1813</v>
      </c>
    </row>
    <row r="5203" spans="1:4" x14ac:dyDescent="0.2">
      <c r="A5203" t="s">
        <v>6868</v>
      </c>
      <c r="B5203" s="2">
        <v>43188</v>
      </c>
      <c r="C5203" t="s">
        <v>1905</v>
      </c>
      <c r="D5203" t="s">
        <v>1804</v>
      </c>
    </row>
    <row r="5204" spans="1:4" x14ac:dyDescent="0.2">
      <c r="A5204" t="s">
        <v>1187</v>
      </c>
      <c r="B5204" s="2">
        <v>43138</v>
      </c>
      <c r="C5204" t="s">
        <v>1930</v>
      </c>
      <c r="D5204" t="s">
        <v>1807</v>
      </c>
    </row>
    <row r="5205" spans="1:4" x14ac:dyDescent="0.2">
      <c r="A5205" t="s">
        <v>6869</v>
      </c>
      <c r="B5205" s="2">
        <v>42998</v>
      </c>
      <c r="C5205" t="s">
        <v>1905</v>
      </c>
      <c r="D5205" t="s">
        <v>1807</v>
      </c>
    </row>
    <row r="5206" spans="1:4" x14ac:dyDescent="0.2">
      <c r="A5206" t="s">
        <v>6870</v>
      </c>
      <c r="B5206" s="2">
        <v>43235</v>
      </c>
      <c r="C5206" t="s">
        <v>1863</v>
      </c>
      <c r="D5206" t="s">
        <v>1804</v>
      </c>
    </row>
    <row r="5207" spans="1:4" x14ac:dyDescent="0.2">
      <c r="A5207" t="s">
        <v>6871</v>
      </c>
      <c r="B5207" s="2">
        <v>43063</v>
      </c>
      <c r="C5207" t="s">
        <v>1905</v>
      </c>
      <c r="D5207" t="s">
        <v>1813</v>
      </c>
    </row>
    <row r="5208" spans="1:4" x14ac:dyDescent="0.2">
      <c r="A5208" t="s">
        <v>6872</v>
      </c>
      <c r="B5208" s="2">
        <v>43164</v>
      </c>
      <c r="C5208" t="s">
        <v>1836</v>
      </c>
      <c r="D5208" t="s">
        <v>1031</v>
      </c>
    </row>
    <row r="5209" spans="1:4" x14ac:dyDescent="0.2">
      <c r="A5209" t="s">
        <v>6873</v>
      </c>
      <c r="B5209" s="2">
        <v>43206</v>
      </c>
      <c r="C5209" t="s">
        <v>2324</v>
      </c>
      <c r="D5209" t="s">
        <v>1829</v>
      </c>
    </row>
    <row r="5210" spans="1:4" x14ac:dyDescent="0.2">
      <c r="A5210" t="s">
        <v>6874</v>
      </c>
      <c r="B5210" s="2">
        <v>43039</v>
      </c>
      <c r="C5210" t="s">
        <v>1806</v>
      </c>
      <c r="D5210" t="s">
        <v>1810</v>
      </c>
    </row>
    <row r="5211" spans="1:4" x14ac:dyDescent="0.2">
      <c r="A5211" t="s">
        <v>6875</v>
      </c>
      <c r="B5211" s="2">
        <v>43241</v>
      </c>
      <c r="C5211" t="s">
        <v>1859</v>
      </c>
      <c r="D5211" t="s">
        <v>1840</v>
      </c>
    </row>
    <row r="5212" spans="1:4" x14ac:dyDescent="0.2">
      <c r="A5212" t="s">
        <v>6876</v>
      </c>
      <c r="B5212" s="2">
        <v>43215</v>
      </c>
      <c r="C5212" t="s">
        <v>1909</v>
      </c>
      <c r="D5212" t="s">
        <v>1810</v>
      </c>
    </row>
    <row r="5213" spans="1:4" x14ac:dyDescent="0.2">
      <c r="A5213" t="s">
        <v>6877</v>
      </c>
      <c r="B5213" s="2">
        <v>43230</v>
      </c>
      <c r="C5213" t="s">
        <v>1998</v>
      </c>
      <c r="D5213" t="s">
        <v>1807</v>
      </c>
    </row>
    <row r="5214" spans="1:4" x14ac:dyDescent="0.2">
      <c r="A5214" t="s">
        <v>6878</v>
      </c>
      <c r="B5214" s="2">
        <v>43122</v>
      </c>
      <c r="C5214" t="s">
        <v>1836</v>
      </c>
      <c r="D5214" t="s">
        <v>1031</v>
      </c>
    </row>
    <row r="5215" spans="1:4" x14ac:dyDescent="0.2">
      <c r="A5215" t="s">
        <v>6879</v>
      </c>
      <c r="B5215" s="2">
        <v>43019</v>
      </c>
      <c r="C5215" t="s">
        <v>1825</v>
      </c>
      <c r="D5215" t="s">
        <v>1910</v>
      </c>
    </row>
    <row r="5216" spans="1:4" x14ac:dyDescent="0.2">
      <c r="A5216" t="s">
        <v>6880</v>
      </c>
      <c r="B5216" s="2">
        <v>43241</v>
      </c>
      <c r="C5216" t="s">
        <v>1816</v>
      </c>
      <c r="D5216" t="s">
        <v>1810</v>
      </c>
    </row>
    <row r="5217" spans="1:4" x14ac:dyDescent="0.2">
      <c r="A5217" t="s">
        <v>6881</v>
      </c>
      <c r="B5217" s="2">
        <v>43227</v>
      </c>
      <c r="C5217" t="s">
        <v>1828</v>
      </c>
      <c r="D5217" t="s">
        <v>1840</v>
      </c>
    </row>
    <row r="5218" spans="1:4" x14ac:dyDescent="0.2">
      <c r="A5218" t="s">
        <v>1189</v>
      </c>
      <c r="B5218" s="2">
        <v>43200</v>
      </c>
      <c r="C5218" t="s">
        <v>1836</v>
      </c>
      <c r="D5218" t="s">
        <v>1031</v>
      </c>
    </row>
    <row r="5219" spans="1:4" x14ac:dyDescent="0.2">
      <c r="A5219" t="s">
        <v>6882</v>
      </c>
      <c r="B5219" s="2">
        <v>42940</v>
      </c>
      <c r="C5219" t="s">
        <v>4896</v>
      </c>
      <c r="D5219" t="s">
        <v>1807</v>
      </c>
    </row>
    <row r="5220" spans="1:4" x14ac:dyDescent="0.2">
      <c r="A5220" t="s">
        <v>6883</v>
      </c>
      <c r="B5220" s="2">
        <v>43026</v>
      </c>
      <c r="C5220" t="s">
        <v>1816</v>
      </c>
      <c r="D5220" t="s">
        <v>1810</v>
      </c>
    </row>
    <row r="5221" spans="1:4" x14ac:dyDescent="0.2">
      <c r="A5221" t="s">
        <v>6884</v>
      </c>
      <c r="B5221" s="2">
        <v>43207</v>
      </c>
      <c r="C5221" t="s">
        <v>1865</v>
      </c>
      <c r="D5221" t="s">
        <v>1849</v>
      </c>
    </row>
    <row r="5222" spans="1:4" x14ac:dyDescent="0.2">
      <c r="A5222" t="s">
        <v>6885</v>
      </c>
      <c r="B5222" s="2">
        <v>43137</v>
      </c>
      <c r="C5222" t="s">
        <v>1803</v>
      </c>
      <c r="D5222" t="s">
        <v>1804</v>
      </c>
    </row>
    <row r="5223" spans="1:4" x14ac:dyDescent="0.2">
      <c r="A5223" t="s">
        <v>6886</v>
      </c>
      <c r="B5223" s="2">
        <v>42997</v>
      </c>
      <c r="C5223" t="s">
        <v>1816</v>
      </c>
      <c r="D5223" t="s">
        <v>1807</v>
      </c>
    </row>
    <row r="5224" spans="1:4" x14ac:dyDescent="0.2">
      <c r="A5224" t="s">
        <v>6887</v>
      </c>
      <c r="B5224" s="2">
        <v>43226</v>
      </c>
      <c r="C5224" t="s">
        <v>6080</v>
      </c>
      <c r="D5224" t="s">
        <v>1807</v>
      </c>
    </row>
    <row r="5225" spans="1:4" x14ac:dyDescent="0.2">
      <c r="A5225" t="s">
        <v>6888</v>
      </c>
      <c r="B5225" s="2">
        <v>43194</v>
      </c>
      <c r="C5225" t="s">
        <v>1836</v>
      </c>
      <c r="D5225" t="s">
        <v>1807</v>
      </c>
    </row>
    <row r="5226" spans="1:4" x14ac:dyDescent="0.2">
      <c r="A5226" t="s">
        <v>6889</v>
      </c>
      <c r="B5226" s="2">
        <v>43226</v>
      </c>
      <c r="C5226" t="s">
        <v>1863</v>
      </c>
      <c r="D5226" t="s">
        <v>1804</v>
      </c>
    </row>
    <row r="5227" spans="1:4" x14ac:dyDescent="0.2">
      <c r="A5227" t="s">
        <v>6890</v>
      </c>
      <c r="B5227" s="2">
        <v>43026</v>
      </c>
      <c r="C5227" t="s">
        <v>3732</v>
      </c>
      <c r="D5227" t="s">
        <v>1840</v>
      </c>
    </row>
    <row r="5228" spans="1:4" x14ac:dyDescent="0.2">
      <c r="A5228" t="s">
        <v>6891</v>
      </c>
      <c r="B5228" s="2">
        <v>43108</v>
      </c>
      <c r="C5228" t="s">
        <v>1836</v>
      </c>
      <c r="D5228" t="s">
        <v>1031</v>
      </c>
    </row>
    <row r="5229" spans="1:4" x14ac:dyDescent="0.2">
      <c r="A5229" t="s">
        <v>6892</v>
      </c>
      <c r="B5229" s="2">
        <v>43209</v>
      </c>
      <c r="C5229" t="s">
        <v>2115</v>
      </c>
      <c r="D5229" t="s">
        <v>1804</v>
      </c>
    </row>
    <row r="5230" spans="1:4" x14ac:dyDescent="0.2">
      <c r="A5230" t="s">
        <v>6893</v>
      </c>
      <c r="B5230" s="2">
        <v>43193</v>
      </c>
      <c r="C5230" t="s">
        <v>1836</v>
      </c>
      <c r="D5230" t="s">
        <v>1031</v>
      </c>
    </row>
    <row r="5231" spans="1:4" x14ac:dyDescent="0.2">
      <c r="A5231" t="s">
        <v>6894</v>
      </c>
      <c r="B5231" s="2">
        <v>43209</v>
      </c>
      <c r="C5231" t="s">
        <v>1863</v>
      </c>
      <c r="D5231" t="s">
        <v>1804</v>
      </c>
    </row>
    <row r="5232" spans="1:4" x14ac:dyDescent="0.2">
      <c r="A5232" t="s">
        <v>6895</v>
      </c>
      <c r="B5232" s="2">
        <v>42948</v>
      </c>
      <c r="C5232" t="s">
        <v>2407</v>
      </c>
      <c r="D5232" t="s">
        <v>1810</v>
      </c>
    </row>
    <row r="5233" spans="1:4" x14ac:dyDescent="0.2">
      <c r="A5233" t="s">
        <v>6896</v>
      </c>
      <c r="B5233" s="2">
        <v>43027</v>
      </c>
      <c r="C5233" t="s">
        <v>2657</v>
      </c>
      <c r="D5233" t="s">
        <v>1910</v>
      </c>
    </row>
    <row r="5234" spans="1:4" x14ac:dyDescent="0.2">
      <c r="A5234" t="s">
        <v>6897</v>
      </c>
      <c r="B5234" s="2">
        <v>42900</v>
      </c>
      <c r="C5234" t="s">
        <v>5134</v>
      </c>
      <c r="D5234" t="s">
        <v>1849</v>
      </c>
    </row>
    <row r="5235" spans="1:4" x14ac:dyDescent="0.2">
      <c r="A5235" t="s">
        <v>6898</v>
      </c>
      <c r="B5235" s="2">
        <v>43187</v>
      </c>
      <c r="C5235" t="s">
        <v>1859</v>
      </c>
      <c r="D5235" t="s">
        <v>1810</v>
      </c>
    </row>
    <row r="5236" spans="1:4" x14ac:dyDescent="0.2">
      <c r="A5236" t="s">
        <v>6899</v>
      </c>
      <c r="B5236" s="2">
        <v>43103</v>
      </c>
      <c r="C5236" t="s">
        <v>1803</v>
      </c>
      <c r="D5236" t="s">
        <v>1804</v>
      </c>
    </row>
    <row r="5237" spans="1:4" x14ac:dyDescent="0.2">
      <c r="A5237" t="s">
        <v>6900</v>
      </c>
      <c r="B5237" s="2">
        <v>42987</v>
      </c>
      <c r="C5237" t="s">
        <v>1806</v>
      </c>
      <c r="D5237" t="s">
        <v>1807</v>
      </c>
    </row>
    <row r="5238" spans="1:4" x14ac:dyDescent="0.2">
      <c r="A5238" t="s">
        <v>6901</v>
      </c>
      <c r="B5238" s="2">
        <v>43173</v>
      </c>
      <c r="C5238" t="s">
        <v>1885</v>
      </c>
      <c r="D5238" t="s">
        <v>1807</v>
      </c>
    </row>
    <row r="5239" spans="1:4" x14ac:dyDescent="0.2">
      <c r="A5239" t="s">
        <v>6902</v>
      </c>
      <c r="B5239" s="2">
        <v>43118</v>
      </c>
      <c r="C5239" t="s">
        <v>1825</v>
      </c>
      <c r="D5239" t="s">
        <v>1810</v>
      </c>
    </row>
    <row r="5240" spans="1:4" x14ac:dyDescent="0.2">
      <c r="A5240" t="s">
        <v>6903</v>
      </c>
      <c r="B5240" s="2">
        <v>43243</v>
      </c>
      <c r="C5240" t="s">
        <v>1928</v>
      </c>
      <c r="D5240" t="s">
        <v>1804</v>
      </c>
    </row>
    <row r="5241" spans="1:4" x14ac:dyDescent="0.2">
      <c r="A5241" t="s">
        <v>1191</v>
      </c>
      <c r="B5241" s="2">
        <v>43143</v>
      </c>
      <c r="C5241" t="s">
        <v>1836</v>
      </c>
      <c r="D5241" t="s">
        <v>1031</v>
      </c>
    </row>
    <row r="5242" spans="1:4" x14ac:dyDescent="0.2">
      <c r="A5242" t="s">
        <v>6904</v>
      </c>
      <c r="B5242" s="2">
        <v>42982</v>
      </c>
      <c r="C5242" t="s">
        <v>1867</v>
      </c>
      <c r="D5242" t="s">
        <v>1031</v>
      </c>
    </row>
    <row r="5243" spans="1:4" x14ac:dyDescent="0.2">
      <c r="A5243" t="s">
        <v>1193</v>
      </c>
      <c r="B5243" s="2">
        <v>43193</v>
      </c>
      <c r="C5243" t="s">
        <v>1836</v>
      </c>
      <c r="D5243" t="s">
        <v>1031</v>
      </c>
    </row>
    <row r="5244" spans="1:4" x14ac:dyDescent="0.2">
      <c r="A5244" t="s">
        <v>6905</v>
      </c>
      <c r="B5244" s="2">
        <v>43193</v>
      </c>
      <c r="C5244" t="s">
        <v>1867</v>
      </c>
      <c r="D5244" t="s">
        <v>160</v>
      </c>
    </row>
    <row r="5245" spans="1:4" x14ac:dyDescent="0.2">
      <c r="A5245" t="s">
        <v>6906</v>
      </c>
      <c r="B5245" s="2">
        <v>43154</v>
      </c>
      <c r="C5245" t="s">
        <v>2249</v>
      </c>
      <c r="D5245" t="s">
        <v>1829</v>
      </c>
    </row>
    <row r="5246" spans="1:4" x14ac:dyDescent="0.2">
      <c r="A5246" t="s">
        <v>6907</v>
      </c>
      <c r="B5246" s="2">
        <v>43223</v>
      </c>
      <c r="C5246" t="s">
        <v>1865</v>
      </c>
      <c r="D5246" t="s">
        <v>1810</v>
      </c>
    </row>
    <row r="5247" spans="1:4" x14ac:dyDescent="0.2">
      <c r="A5247" t="s">
        <v>6908</v>
      </c>
      <c r="B5247" s="2">
        <v>43241</v>
      </c>
      <c r="C5247" t="s">
        <v>1867</v>
      </c>
      <c r="D5247" t="s">
        <v>1810</v>
      </c>
    </row>
    <row r="5248" spans="1:4" x14ac:dyDescent="0.2">
      <c r="A5248" t="s">
        <v>6909</v>
      </c>
      <c r="B5248" s="2">
        <v>43171</v>
      </c>
      <c r="C5248" t="s">
        <v>2291</v>
      </c>
      <c r="D5248" t="s">
        <v>1031</v>
      </c>
    </row>
    <row r="5249" spans="1:4" x14ac:dyDescent="0.2">
      <c r="A5249" t="s">
        <v>6910</v>
      </c>
      <c r="B5249" s="2">
        <v>43126</v>
      </c>
      <c r="C5249" t="s">
        <v>1907</v>
      </c>
      <c r="D5249" t="s">
        <v>1807</v>
      </c>
    </row>
    <row r="5250" spans="1:4" x14ac:dyDescent="0.2">
      <c r="A5250" t="s">
        <v>6911</v>
      </c>
      <c r="B5250" s="2">
        <v>43132</v>
      </c>
      <c r="C5250" t="s">
        <v>1803</v>
      </c>
      <c r="D5250" t="s">
        <v>1804</v>
      </c>
    </row>
    <row r="5251" spans="1:4" x14ac:dyDescent="0.2">
      <c r="A5251" t="s">
        <v>6912</v>
      </c>
      <c r="B5251" s="2">
        <v>43025</v>
      </c>
      <c r="C5251" t="s">
        <v>1905</v>
      </c>
      <c r="D5251" t="s">
        <v>1813</v>
      </c>
    </row>
    <row r="5252" spans="1:4" x14ac:dyDescent="0.2">
      <c r="A5252" t="s">
        <v>6913</v>
      </c>
      <c r="B5252" s="2">
        <v>43136</v>
      </c>
      <c r="C5252" t="s">
        <v>2163</v>
      </c>
      <c r="D5252" t="s">
        <v>1813</v>
      </c>
    </row>
    <row r="5253" spans="1:4" x14ac:dyDescent="0.2">
      <c r="A5253" t="s">
        <v>6914</v>
      </c>
      <c r="B5253" s="2">
        <v>43060</v>
      </c>
      <c r="C5253" t="s">
        <v>1814</v>
      </c>
      <c r="D5253" t="s">
        <v>1810</v>
      </c>
    </row>
    <row r="5254" spans="1:4" x14ac:dyDescent="0.2">
      <c r="A5254" t="s">
        <v>6915</v>
      </c>
      <c r="B5254" s="2">
        <v>43182</v>
      </c>
      <c r="C5254" t="s">
        <v>1836</v>
      </c>
      <c r="D5254" t="s">
        <v>1810</v>
      </c>
    </row>
    <row r="5255" spans="1:4" x14ac:dyDescent="0.2">
      <c r="A5255" t="s">
        <v>6916</v>
      </c>
      <c r="B5255" s="2">
        <v>43233</v>
      </c>
      <c r="C5255" t="s">
        <v>3390</v>
      </c>
      <c r="D5255" t="s">
        <v>1810</v>
      </c>
    </row>
    <row r="5256" spans="1:4" x14ac:dyDescent="0.2">
      <c r="A5256" t="s">
        <v>6917</v>
      </c>
      <c r="B5256" s="2">
        <v>43172</v>
      </c>
      <c r="C5256" t="s">
        <v>1885</v>
      </c>
      <c r="D5256" t="s">
        <v>1807</v>
      </c>
    </row>
    <row r="5257" spans="1:4" x14ac:dyDescent="0.2">
      <c r="A5257" t="s">
        <v>6918</v>
      </c>
      <c r="B5257" s="2">
        <v>43231</v>
      </c>
      <c r="C5257" t="s">
        <v>1832</v>
      </c>
      <c r="D5257" t="s">
        <v>1807</v>
      </c>
    </row>
    <row r="5258" spans="1:4" x14ac:dyDescent="0.2">
      <c r="A5258" t="s">
        <v>1195</v>
      </c>
      <c r="B5258" s="2">
        <v>43210</v>
      </c>
      <c r="C5258" t="s">
        <v>1998</v>
      </c>
      <c r="D5258" t="s">
        <v>1807</v>
      </c>
    </row>
    <row r="5259" spans="1:4" x14ac:dyDescent="0.2">
      <c r="A5259" t="s">
        <v>6919</v>
      </c>
      <c r="B5259" s="2">
        <v>43150</v>
      </c>
      <c r="C5259" t="s">
        <v>1825</v>
      </c>
      <c r="D5259" t="s">
        <v>1829</v>
      </c>
    </row>
    <row r="5260" spans="1:4" x14ac:dyDescent="0.2">
      <c r="A5260" t="s">
        <v>6920</v>
      </c>
      <c r="B5260" s="2">
        <v>43066</v>
      </c>
      <c r="C5260" t="s">
        <v>3515</v>
      </c>
      <c r="D5260" t="s">
        <v>1804</v>
      </c>
    </row>
    <row r="5261" spans="1:4" x14ac:dyDescent="0.2">
      <c r="A5261" t="s">
        <v>6921</v>
      </c>
      <c r="B5261" s="2">
        <v>43233</v>
      </c>
      <c r="C5261" t="s">
        <v>1905</v>
      </c>
      <c r="D5261" t="s">
        <v>1810</v>
      </c>
    </row>
    <row r="5262" spans="1:4" x14ac:dyDescent="0.2">
      <c r="A5262" t="s">
        <v>6922</v>
      </c>
      <c r="B5262" s="2">
        <v>43167</v>
      </c>
      <c r="C5262" t="s">
        <v>1831</v>
      </c>
      <c r="D5262" t="s">
        <v>1804</v>
      </c>
    </row>
    <row r="5263" spans="1:4" x14ac:dyDescent="0.2">
      <c r="A5263" t="s">
        <v>6923</v>
      </c>
      <c r="B5263" s="2">
        <v>43092</v>
      </c>
      <c r="C5263" t="s">
        <v>1803</v>
      </c>
      <c r="D5263" t="s">
        <v>1804</v>
      </c>
    </row>
    <row r="5264" spans="1:4" x14ac:dyDescent="0.2">
      <c r="A5264" t="s">
        <v>6924</v>
      </c>
      <c r="B5264" s="2">
        <v>43045</v>
      </c>
      <c r="C5264" t="s">
        <v>1930</v>
      </c>
      <c r="D5264" t="s">
        <v>1807</v>
      </c>
    </row>
    <row r="5265" spans="1:4" x14ac:dyDescent="0.2">
      <c r="A5265" t="s">
        <v>6925</v>
      </c>
      <c r="B5265" s="2">
        <v>43125</v>
      </c>
      <c r="C5265" t="s">
        <v>1836</v>
      </c>
      <c r="D5265" t="s">
        <v>1031</v>
      </c>
    </row>
    <row r="5266" spans="1:4" x14ac:dyDescent="0.2">
      <c r="A5266" t="s">
        <v>6926</v>
      </c>
      <c r="B5266" s="2">
        <v>43145</v>
      </c>
      <c r="C5266" t="s">
        <v>1836</v>
      </c>
      <c r="D5266" t="s">
        <v>1807</v>
      </c>
    </row>
    <row r="5267" spans="1:4" x14ac:dyDescent="0.2">
      <c r="A5267" t="s">
        <v>6927</v>
      </c>
      <c r="B5267" s="2">
        <v>43200</v>
      </c>
      <c r="C5267" t="s">
        <v>2831</v>
      </c>
      <c r="D5267" t="s">
        <v>1807</v>
      </c>
    </row>
    <row r="5268" spans="1:4" x14ac:dyDescent="0.2">
      <c r="A5268" t="s">
        <v>1197</v>
      </c>
      <c r="B5268" s="2">
        <v>43222</v>
      </c>
      <c r="C5268" t="s">
        <v>1832</v>
      </c>
      <c r="D5268" t="s">
        <v>1807</v>
      </c>
    </row>
    <row r="5269" spans="1:4" x14ac:dyDescent="0.2">
      <c r="A5269" t="s">
        <v>6928</v>
      </c>
      <c r="B5269" s="2">
        <v>43117</v>
      </c>
      <c r="C5269" t="s">
        <v>2163</v>
      </c>
      <c r="D5269" t="s">
        <v>1813</v>
      </c>
    </row>
    <row r="5270" spans="1:4" x14ac:dyDescent="0.2">
      <c r="A5270" t="s">
        <v>6929</v>
      </c>
      <c r="B5270" s="2">
        <v>43192</v>
      </c>
      <c r="C5270" t="s">
        <v>1905</v>
      </c>
      <c r="D5270" t="s">
        <v>1807</v>
      </c>
    </row>
    <row r="5271" spans="1:4" x14ac:dyDescent="0.2">
      <c r="A5271" t="s">
        <v>6930</v>
      </c>
      <c r="B5271" s="2">
        <v>42947</v>
      </c>
      <c r="C5271" t="s">
        <v>1867</v>
      </c>
      <c r="D5271" t="s">
        <v>1031</v>
      </c>
    </row>
    <row r="5272" spans="1:4" x14ac:dyDescent="0.2">
      <c r="A5272" t="s">
        <v>6931</v>
      </c>
      <c r="B5272" s="2">
        <v>42922</v>
      </c>
      <c r="C5272" t="s">
        <v>6932</v>
      </c>
      <c r="D5272" t="s">
        <v>1810</v>
      </c>
    </row>
    <row r="5273" spans="1:4" x14ac:dyDescent="0.2">
      <c r="A5273" t="s">
        <v>6933</v>
      </c>
      <c r="B5273" s="2">
        <v>43150</v>
      </c>
      <c r="C5273" t="s">
        <v>1930</v>
      </c>
      <c r="D5273" t="s">
        <v>1810</v>
      </c>
    </row>
    <row r="5274" spans="1:4" x14ac:dyDescent="0.2">
      <c r="A5274" t="s">
        <v>1199</v>
      </c>
      <c r="B5274" s="2">
        <v>43222</v>
      </c>
      <c r="C5274" t="s">
        <v>1863</v>
      </c>
      <c r="D5274" t="s">
        <v>1804</v>
      </c>
    </row>
    <row r="5275" spans="1:4" x14ac:dyDescent="0.2">
      <c r="A5275" t="s">
        <v>6934</v>
      </c>
      <c r="B5275" s="2">
        <v>43151</v>
      </c>
      <c r="C5275" t="s">
        <v>1803</v>
      </c>
      <c r="D5275" t="s">
        <v>1804</v>
      </c>
    </row>
    <row r="5276" spans="1:4" x14ac:dyDescent="0.2">
      <c r="A5276" t="s">
        <v>6935</v>
      </c>
      <c r="B5276" s="2">
        <v>42963</v>
      </c>
      <c r="C5276" t="s">
        <v>1878</v>
      </c>
      <c r="D5276" t="s">
        <v>1810</v>
      </c>
    </row>
    <row r="5277" spans="1:4" x14ac:dyDescent="0.2">
      <c r="A5277" t="s">
        <v>6936</v>
      </c>
      <c r="B5277" s="2">
        <v>43150</v>
      </c>
      <c r="C5277" t="s">
        <v>1836</v>
      </c>
      <c r="D5277" t="s">
        <v>1031</v>
      </c>
    </row>
    <row r="5278" spans="1:4" x14ac:dyDescent="0.2">
      <c r="A5278" t="s">
        <v>1201</v>
      </c>
      <c r="B5278" s="2">
        <v>43137</v>
      </c>
      <c r="C5278" t="s">
        <v>1930</v>
      </c>
      <c r="D5278" t="s">
        <v>1810</v>
      </c>
    </row>
    <row r="5279" spans="1:4" x14ac:dyDescent="0.2">
      <c r="A5279" t="s">
        <v>1203</v>
      </c>
      <c r="B5279" s="2">
        <v>43116</v>
      </c>
      <c r="C5279" t="s">
        <v>1816</v>
      </c>
      <c r="D5279" t="s">
        <v>1810</v>
      </c>
    </row>
    <row r="5280" spans="1:4" x14ac:dyDescent="0.2">
      <c r="A5280" t="s">
        <v>6937</v>
      </c>
      <c r="B5280" s="2">
        <v>43173</v>
      </c>
      <c r="C5280" t="s">
        <v>1803</v>
      </c>
      <c r="D5280" t="s">
        <v>1804</v>
      </c>
    </row>
    <row r="5281" spans="1:4" x14ac:dyDescent="0.2">
      <c r="A5281" t="s">
        <v>6938</v>
      </c>
      <c r="B5281" s="2">
        <v>43123</v>
      </c>
      <c r="C5281" t="s">
        <v>2108</v>
      </c>
      <c r="D5281" t="s">
        <v>1813</v>
      </c>
    </row>
    <row r="5282" spans="1:4" x14ac:dyDescent="0.2">
      <c r="A5282" t="s">
        <v>6939</v>
      </c>
      <c r="B5282" s="2">
        <v>43117</v>
      </c>
      <c r="C5282" t="s">
        <v>3315</v>
      </c>
      <c r="D5282" t="s">
        <v>1807</v>
      </c>
    </row>
    <row r="5283" spans="1:4" x14ac:dyDescent="0.2">
      <c r="A5283" t="s">
        <v>6940</v>
      </c>
      <c r="B5283" s="2">
        <v>43155</v>
      </c>
      <c r="C5283" t="s">
        <v>1865</v>
      </c>
      <c r="D5283" t="s">
        <v>1810</v>
      </c>
    </row>
    <row r="5284" spans="1:4" x14ac:dyDescent="0.2">
      <c r="A5284" t="s">
        <v>6941</v>
      </c>
      <c r="B5284" s="2">
        <v>43104</v>
      </c>
      <c r="C5284" t="s">
        <v>1809</v>
      </c>
      <c r="D5284" t="s">
        <v>1810</v>
      </c>
    </row>
    <row r="5285" spans="1:4" x14ac:dyDescent="0.2">
      <c r="A5285" t="s">
        <v>6942</v>
      </c>
      <c r="B5285" s="2">
        <v>43239</v>
      </c>
      <c r="C5285" t="s">
        <v>1825</v>
      </c>
      <c r="D5285" t="s">
        <v>1810</v>
      </c>
    </row>
    <row r="5286" spans="1:4" x14ac:dyDescent="0.2">
      <c r="A5286" t="s">
        <v>6943</v>
      </c>
      <c r="B5286" s="2">
        <v>43137</v>
      </c>
      <c r="C5286" t="s">
        <v>1814</v>
      </c>
      <c r="D5286" t="s">
        <v>1829</v>
      </c>
    </row>
    <row r="5287" spans="1:4" x14ac:dyDescent="0.2">
      <c r="A5287" t="s">
        <v>6944</v>
      </c>
      <c r="B5287" s="2">
        <v>43222</v>
      </c>
      <c r="C5287" t="s">
        <v>1930</v>
      </c>
      <c r="D5287" t="s">
        <v>1807</v>
      </c>
    </row>
    <row r="5288" spans="1:4" x14ac:dyDescent="0.2">
      <c r="A5288" t="s">
        <v>6945</v>
      </c>
      <c r="B5288" s="2">
        <v>43097</v>
      </c>
      <c r="C5288" t="s">
        <v>2303</v>
      </c>
      <c r="D5288" t="s">
        <v>1810</v>
      </c>
    </row>
    <row r="5289" spans="1:4" x14ac:dyDescent="0.2">
      <c r="A5289" t="s">
        <v>6946</v>
      </c>
      <c r="B5289" s="2">
        <v>43094</v>
      </c>
      <c r="C5289" t="s">
        <v>2318</v>
      </c>
      <c r="D5289" t="s">
        <v>1810</v>
      </c>
    </row>
    <row r="5290" spans="1:4" x14ac:dyDescent="0.2">
      <c r="A5290" t="s">
        <v>6947</v>
      </c>
      <c r="B5290" s="2">
        <v>42990</v>
      </c>
      <c r="C5290" t="s">
        <v>2242</v>
      </c>
      <c r="D5290" t="s">
        <v>1807</v>
      </c>
    </row>
    <row r="5291" spans="1:4" x14ac:dyDescent="0.2">
      <c r="A5291" t="s">
        <v>6948</v>
      </c>
      <c r="B5291" s="2">
        <v>43238</v>
      </c>
      <c r="C5291" t="s">
        <v>1863</v>
      </c>
      <c r="D5291" t="s">
        <v>1804</v>
      </c>
    </row>
    <row r="5292" spans="1:4" x14ac:dyDescent="0.2">
      <c r="A5292" t="s">
        <v>6949</v>
      </c>
      <c r="B5292" s="2">
        <v>43229</v>
      </c>
      <c r="C5292" t="s">
        <v>1825</v>
      </c>
      <c r="D5292" t="s">
        <v>1804</v>
      </c>
    </row>
    <row r="5293" spans="1:4" x14ac:dyDescent="0.2">
      <c r="A5293" t="s">
        <v>6950</v>
      </c>
      <c r="B5293" s="2">
        <v>43225</v>
      </c>
      <c r="C5293" t="s">
        <v>1863</v>
      </c>
      <c r="D5293" t="s">
        <v>1804</v>
      </c>
    </row>
    <row r="5294" spans="1:4" x14ac:dyDescent="0.2">
      <c r="A5294" t="s">
        <v>6951</v>
      </c>
      <c r="B5294" s="2">
        <v>43157</v>
      </c>
      <c r="C5294" t="s">
        <v>1836</v>
      </c>
      <c r="D5294" t="s">
        <v>1031</v>
      </c>
    </row>
    <row r="5295" spans="1:4" x14ac:dyDescent="0.2">
      <c r="A5295" t="s">
        <v>6952</v>
      </c>
      <c r="B5295" s="2">
        <v>43222</v>
      </c>
      <c r="C5295" t="s">
        <v>2204</v>
      </c>
      <c r="D5295" t="s">
        <v>1031</v>
      </c>
    </row>
    <row r="5296" spans="1:4" x14ac:dyDescent="0.2">
      <c r="A5296" t="s">
        <v>6953</v>
      </c>
      <c r="B5296" s="2">
        <v>43007</v>
      </c>
      <c r="C5296" t="s">
        <v>1892</v>
      </c>
      <c r="D5296" t="s">
        <v>1810</v>
      </c>
    </row>
    <row r="5297" spans="1:4" x14ac:dyDescent="0.2">
      <c r="A5297" t="s">
        <v>6954</v>
      </c>
      <c r="B5297" s="2">
        <v>43241</v>
      </c>
      <c r="C5297" t="s">
        <v>1905</v>
      </c>
      <c r="D5297" t="s">
        <v>1810</v>
      </c>
    </row>
    <row r="5298" spans="1:4" x14ac:dyDescent="0.2">
      <c r="A5298" t="s">
        <v>6955</v>
      </c>
      <c r="B5298" s="2">
        <v>43197</v>
      </c>
      <c r="C5298" t="s">
        <v>1809</v>
      </c>
      <c r="D5298" t="s">
        <v>1829</v>
      </c>
    </row>
    <row r="5299" spans="1:4" x14ac:dyDescent="0.2">
      <c r="A5299" t="s">
        <v>6956</v>
      </c>
      <c r="B5299" s="2">
        <v>43163</v>
      </c>
      <c r="C5299" t="s">
        <v>1803</v>
      </c>
      <c r="D5299" t="s">
        <v>1840</v>
      </c>
    </row>
    <row r="5300" spans="1:4" x14ac:dyDescent="0.2">
      <c r="A5300" t="s">
        <v>1205</v>
      </c>
      <c r="B5300" s="2">
        <v>43140</v>
      </c>
      <c r="C5300" t="s">
        <v>1993</v>
      </c>
      <c r="D5300" t="s">
        <v>1031</v>
      </c>
    </row>
    <row r="5301" spans="1:4" x14ac:dyDescent="0.2">
      <c r="A5301" t="s">
        <v>6957</v>
      </c>
      <c r="B5301" s="2">
        <v>43174</v>
      </c>
      <c r="C5301" t="s">
        <v>1803</v>
      </c>
      <c r="D5301" t="s">
        <v>1807</v>
      </c>
    </row>
    <row r="5302" spans="1:4" x14ac:dyDescent="0.2">
      <c r="A5302" t="s">
        <v>6958</v>
      </c>
      <c r="B5302" s="2">
        <v>43250</v>
      </c>
      <c r="C5302" t="s">
        <v>2108</v>
      </c>
      <c r="D5302" t="s">
        <v>1813</v>
      </c>
    </row>
    <row r="5303" spans="1:4" x14ac:dyDescent="0.2">
      <c r="A5303" t="s">
        <v>6959</v>
      </c>
      <c r="B5303" s="2">
        <v>43141</v>
      </c>
      <c r="C5303" t="s">
        <v>1867</v>
      </c>
      <c r="D5303" t="s">
        <v>1810</v>
      </c>
    </row>
    <row r="5304" spans="1:4" x14ac:dyDescent="0.2">
      <c r="A5304" t="s">
        <v>6960</v>
      </c>
      <c r="B5304" s="2">
        <v>43117</v>
      </c>
      <c r="C5304" t="s">
        <v>2321</v>
      </c>
      <c r="D5304" t="s">
        <v>1810</v>
      </c>
    </row>
    <row r="5305" spans="1:4" x14ac:dyDescent="0.2">
      <c r="A5305" t="s">
        <v>6961</v>
      </c>
      <c r="B5305" s="2">
        <v>43217</v>
      </c>
      <c r="C5305" t="s">
        <v>6962</v>
      </c>
      <c r="D5305" t="s">
        <v>1810</v>
      </c>
    </row>
    <row r="5306" spans="1:4" x14ac:dyDescent="0.2">
      <c r="A5306" t="s">
        <v>6963</v>
      </c>
      <c r="B5306" s="2">
        <v>43151</v>
      </c>
      <c r="C5306" t="s">
        <v>1930</v>
      </c>
      <c r="D5306" t="s">
        <v>1810</v>
      </c>
    </row>
    <row r="5307" spans="1:4" x14ac:dyDescent="0.2">
      <c r="A5307" t="s">
        <v>6964</v>
      </c>
      <c r="B5307" s="2">
        <v>42951</v>
      </c>
      <c r="C5307" t="s">
        <v>1867</v>
      </c>
      <c r="D5307" t="s">
        <v>1810</v>
      </c>
    </row>
    <row r="5308" spans="1:4" x14ac:dyDescent="0.2">
      <c r="A5308" t="s">
        <v>6965</v>
      </c>
      <c r="B5308" s="2">
        <v>43194</v>
      </c>
      <c r="C5308" t="s">
        <v>1836</v>
      </c>
      <c r="D5308" t="s">
        <v>1031</v>
      </c>
    </row>
    <row r="5309" spans="1:4" x14ac:dyDescent="0.2">
      <c r="A5309" t="s">
        <v>6966</v>
      </c>
      <c r="B5309" s="2">
        <v>43139</v>
      </c>
      <c r="C5309" t="s">
        <v>1825</v>
      </c>
      <c r="D5309" t="s">
        <v>1810</v>
      </c>
    </row>
    <row r="5310" spans="1:4" x14ac:dyDescent="0.2">
      <c r="A5310" t="s">
        <v>6967</v>
      </c>
      <c r="B5310" s="2">
        <v>43129</v>
      </c>
      <c r="C5310" t="s">
        <v>1803</v>
      </c>
      <c r="D5310" t="s">
        <v>1804</v>
      </c>
    </row>
    <row r="5311" spans="1:4" x14ac:dyDescent="0.2">
      <c r="A5311" t="s">
        <v>6968</v>
      </c>
      <c r="B5311" s="2">
        <v>43229</v>
      </c>
      <c r="C5311" t="s">
        <v>6969</v>
      </c>
      <c r="D5311" t="s">
        <v>1031</v>
      </c>
    </row>
    <row r="5312" spans="1:4" x14ac:dyDescent="0.2">
      <c r="A5312" t="s">
        <v>1207</v>
      </c>
      <c r="B5312" s="2">
        <v>43230</v>
      </c>
      <c r="C5312" t="s">
        <v>1836</v>
      </c>
      <c r="D5312" t="s">
        <v>1031</v>
      </c>
    </row>
    <row r="5313" spans="1:4" x14ac:dyDescent="0.2">
      <c r="A5313" t="s">
        <v>1209</v>
      </c>
      <c r="B5313" s="2">
        <v>43244</v>
      </c>
      <c r="C5313" t="s">
        <v>1832</v>
      </c>
      <c r="D5313" t="s">
        <v>1807</v>
      </c>
    </row>
    <row r="5314" spans="1:4" x14ac:dyDescent="0.2">
      <c r="A5314" t="s">
        <v>6970</v>
      </c>
      <c r="B5314" s="2">
        <v>43217</v>
      </c>
      <c r="C5314" t="s">
        <v>1867</v>
      </c>
      <c r="D5314" t="s">
        <v>1810</v>
      </c>
    </row>
    <row r="5315" spans="1:4" x14ac:dyDescent="0.2">
      <c r="A5315" t="s">
        <v>6971</v>
      </c>
      <c r="B5315" s="2">
        <v>43214</v>
      </c>
      <c r="C5315" t="s">
        <v>2078</v>
      </c>
      <c r="D5315" t="s">
        <v>1807</v>
      </c>
    </row>
    <row r="5316" spans="1:4" x14ac:dyDescent="0.2">
      <c r="A5316" t="s">
        <v>6972</v>
      </c>
      <c r="B5316" s="2">
        <v>43105</v>
      </c>
      <c r="C5316" t="s">
        <v>1816</v>
      </c>
      <c r="D5316" t="s">
        <v>1810</v>
      </c>
    </row>
    <row r="5317" spans="1:4" x14ac:dyDescent="0.2">
      <c r="A5317" t="s">
        <v>6973</v>
      </c>
      <c r="B5317" s="2">
        <v>42956</v>
      </c>
      <c r="C5317" t="s">
        <v>1843</v>
      </c>
      <c r="D5317" t="s">
        <v>1807</v>
      </c>
    </row>
    <row r="5318" spans="1:4" x14ac:dyDescent="0.2">
      <c r="A5318" t="s">
        <v>6974</v>
      </c>
      <c r="B5318" s="2">
        <v>43029</v>
      </c>
      <c r="C5318" t="s">
        <v>1825</v>
      </c>
      <c r="D5318" t="s">
        <v>1810</v>
      </c>
    </row>
    <row r="5319" spans="1:4" x14ac:dyDescent="0.2">
      <c r="A5319" t="s">
        <v>6975</v>
      </c>
      <c r="B5319" s="2">
        <v>43139</v>
      </c>
      <c r="C5319" t="s">
        <v>1831</v>
      </c>
      <c r="D5319" t="s">
        <v>160</v>
      </c>
    </row>
    <row r="5320" spans="1:4" x14ac:dyDescent="0.2">
      <c r="A5320" t="s">
        <v>6976</v>
      </c>
      <c r="B5320" s="2">
        <v>43188</v>
      </c>
      <c r="C5320" t="s">
        <v>1816</v>
      </c>
      <c r="D5320" t="s">
        <v>1840</v>
      </c>
    </row>
    <row r="5321" spans="1:4" x14ac:dyDescent="0.2">
      <c r="A5321" t="s">
        <v>6977</v>
      </c>
      <c r="B5321" s="2">
        <v>43187</v>
      </c>
      <c r="C5321" t="s">
        <v>1836</v>
      </c>
      <c r="D5321" t="s">
        <v>1031</v>
      </c>
    </row>
    <row r="5322" spans="1:4" x14ac:dyDescent="0.2">
      <c r="A5322" t="s">
        <v>6978</v>
      </c>
      <c r="B5322" s="2">
        <v>43175</v>
      </c>
      <c r="C5322" t="s">
        <v>6979</v>
      </c>
      <c r="D5322" t="s">
        <v>1810</v>
      </c>
    </row>
    <row r="5323" spans="1:4" x14ac:dyDescent="0.2">
      <c r="A5323" t="s">
        <v>6980</v>
      </c>
      <c r="B5323" s="2">
        <v>43052</v>
      </c>
      <c r="C5323" t="s">
        <v>1809</v>
      </c>
      <c r="D5323" t="s">
        <v>1810</v>
      </c>
    </row>
    <row r="5324" spans="1:4" x14ac:dyDescent="0.2">
      <c r="A5324" t="s">
        <v>6981</v>
      </c>
      <c r="B5324" s="2">
        <v>43068</v>
      </c>
      <c r="C5324" t="s">
        <v>1902</v>
      </c>
      <c r="D5324" t="s">
        <v>1840</v>
      </c>
    </row>
    <row r="5325" spans="1:4" x14ac:dyDescent="0.2">
      <c r="A5325" t="s">
        <v>1211</v>
      </c>
      <c r="B5325" s="2">
        <v>43198</v>
      </c>
      <c r="C5325" t="s">
        <v>1863</v>
      </c>
      <c r="D5325" t="s">
        <v>1804</v>
      </c>
    </row>
    <row r="5326" spans="1:4" x14ac:dyDescent="0.2">
      <c r="A5326" t="s">
        <v>6982</v>
      </c>
      <c r="B5326" s="2">
        <v>42955</v>
      </c>
      <c r="C5326" t="s">
        <v>3101</v>
      </c>
      <c r="D5326" t="s">
        <v>160</v>
      </c>
    </row>
    <row r="5327" spans="1:4" x14ac:dyDescent="0.2">
      <c r="A5327" t="s">
        <v>6983</v>
      </c>
      <c r="B5327" s="2">
        <v>43023</v>
      </c>
      <c r="C5327" t="s">
        <v>2303</v>
      </c>
      <c r="D5327" t="s">
        <v>1829</v>
      </c>
    </row>
    <row r="5328" spans="1:4" x14ac:dyDescent="0.2">
      <c r="A5328" t="s">
        <v>6984</v>
      </c>
      <c r="B5328" s="2">
        <v>43159</v>
      </c>
      <c r="C5328" t="s">
        <v>2291</v>
      </c>
      <c r="D5328" t="s">
        <v>1031</v>
      </c>
    </row>
    <row r="5329" spans="1:4" x14ac:dyDescent="0.2">
      <c r="A5329" t="s">
        <v>6985</v>
      </c>
      <c r="B5329" s="2">
        <v>43173</v>
      </c>
      <c r="C5329" t="s">
        <v>1928</v>
      </c>
      <c r="D5329" t="s">
        <v>1829</v>
      </c>
    </row>
    <row r="5330" spans="1:4" x14ac:dyDescent="0.2">
      <c r="A5330" t="s">
        <v>6986</v>
      </c>
      <c r="B5330" s="2">
        <v>43110</v>
      </c>
      <c r="C5330" t="s">
        <v>1836</v>
      </c>
      <c r="D5330" t="s">
        <v>1031</v>
      </c>
    </row>
    <row r="5331" spans="1:4" x14ac:dyDescent="0.2">
      <c r="A5331" t="s">
        <v>6987</v>
      </c>
      <c r="B5331" s="2">
        <v>43061</v>
      </c>
      <c r="C5331" t="s">
        <v>1939</v>
      </c>
      <c r="D5331" t="s">
        <v>1031</v>
      </c>
    </row>
    <row r="5332" spans="1:4" x14ac:dyDescent="0.2">
      <c r="A5332" t="s">
        <v>6988</v>
      </c>
      <c r="B5332" s="2">
        <v>43186</v>
      </c>
      <c r="C5332" t="s">
        <v>6989</v>
      </c>
      <c r="D5332" t="s">
        <v>1807</v>
      </c>
    </row>
    <row r="5333" spans="1:4" x14ac:dyDescent="0.2">
      <c r="A5333" t="s">
        <v>6990</v>
      </c>
      <c r="B5333" s="2">
        <v>43235</v>
      </c>
      <c r="C5333" t="s">
        <v>1930</v>
      </c>
      <c r="D5333" t="s">
        <v>1807</v>
      </c>
    </row>
    <row r="5334" spans="1:4" x14ac:dyDescent="0.2">
      <c r="A5334" t="s">
        <v>6991</v>
      </c>
      <c r="B5334" s="2">
        <v>43219</v>
      </c>
      <c r="C5334" t="s">
        <v>1909</v>
      </c>
      <c r="D5334" t="s">
        <v>1804</v>
      </c>
    </row>
    <row r="5335" spans="1:4" x14ac:dyDescent="0.2">
      <c r="A5335" t="s">
        <v>6992</v>
      </c>
      <c r="B5335" s="2">
        <v>43101</v>
      </c>
      <c r="C5335" t="s">
        <v>6993</v>
      </c>
      <c r="D5335" t="s">
        <v>1813</v>
      </c>
    </row>
    <row r="5336" spans="1:4" x14ac:dyDescent="0.2">
      <c r="A5336" t="s">
        <v>6994</v>
      </c>
      <c r="B5336" s="2">
        <v>43164</v>
      </c>
      <c r="C5336" t="s">
        <v>1803</v>
      </c>
      <c r="D5336" t="s">
        <v>1804</v>
      </c>
    </row>
    <row r="5337" spans="1:4" x14ac:dyDescent="0.2">
      <c r="A5337" t="s">
        <v>6995</v>
      </c>
      <c r="B5337" s="2">
        <v>43223</v>
      </c>
      <c r="C5337" t="s">
        <v>1836</v>
      </c>
      <c r="D5337" t="s">
        <v>1807</v>
      </c>
    </row>
    <row r="5338" spans="1:4" x14ac:dyDescent="0.2">
      <c r="A5338" t="s">
        <v>6996</v>
      </c>
      <c r="B5338" s="2">
        <v>43182</v>
      </c>
      <c r="C5338" t="s">
        <v>2579</v>
      </c>
      <c r="D5338" t="s">
        <v>1813</v>
      </c>
    </row>
    <row r="5339" spans="1:4" x14ac:dyDescent="0.2">
      <c r="A5339" t="s">
        <v>6997</v>
      </c>
      <c r="B5339" s="2">
        <v>43095</v>
      </c>
      <c r="C5339" t="s">
        <v>2216</v>
      </c>
      <c r="D5339" t="s">
        <v>1807</v>
      </c>
    </row>
    <row r="5340" spans="1:4" x14ac:dyDescent="0.2">
      <c r="A5340" t="s">
        <v>6998</v>
      </c>
      <c r="B5340" s="2">
        <v>42992</v>
      </c>
      <c r="C5340" t="s">
        <v>3419</v>
      </c>
      <c r="D5340" t="s">
        <v>1807</v>
      </c>
    </row>
    <row r="5341" spans="1:4" x14ac:dyDescent="0.2">
      <c r="A5341" t="s">
        <v>6999</v>
      </c>
      <c r="B5341" s="2">
        <v>43235</v>
      </c>
      <c r="C5341" t="s">
        <v>1905</v>
      </c>
      <c r="D5341" t="s">
        <v>1810</v>
      </c>
    </row>
    <row r="5342" spans="1:4" x14ac:dyDescent="0.2">
      <c r="A5342" t="s">
        <v>7000</v>
      </c>
      <c r="B5342" s="2">
        <v>43235</v>
      </c>
      <c r="C5342" t="s">
        <v>1818</v>
      </c>
      <c r="D5342" t="s">
        <v>1813</v>
      </c>
    </row>
    <row r="5343" spans="1:4" x14ac:dyDescent="0.2">
      <c r="A5343" t="s">
        <v>7001</v>
      </c>
      <c r="B5343" s="2">
        <v>43196</v>
      </c>
      <c r="C5343" t="s">
        <v>1863</v>
      </c>
      <c r="D5343" t="s">
        <v>1804</v>
      </c>
    </row>
    <row r="5344" spans="1:4" x14ac:dyDescent="0.2">
      <c r="A5344" t="s">
        <v>7002</v>
      </c>
      <c r="B5344" s="2">
        <v>43202</v>
      </c>
      <c r="C5344" t="s">
        <v>1831</v>
      </c>
      <c r="D5344" t="s">
        <v>160</v>
      </c>
    </row>
    <row r="5345" spans="1:4" x14ac:dyDescent="0.2">
      <c r="A5345" t="s">
        <v>7003</v>
      </c>
      <c r="B5345" s="2">
        <v>43131</v>
      </c>
      <c r="C5345" t="s">
        <v>1905</v>
      </c>
      <c r="D5345" t="s">
        <v>1807</v>
      </c>
    </row>
    <row r="5346" spans="1:4" x14ac:dyDescent="0.2">
      <c r="A5346" t="s">
        <v>7004</v>
      </c>
      <c r="B5346" s="2">
        <v>43244</v>
      </c>
      <c r="C5346" t="s">
        <v>1928</v>
      </c>
      <c r="D5346" t="s">
        <v>1810</v>
      </c>
    </row>
    <row r="5347" spans="1:4" x14ac:dyDescent="0.2">
      <c r="A5347" t="s">
        <v>7005</v>
      </c>
      <c r="B5347" s="2">
        <v>43209</v>
      </c>
      <c r="C5347" t="s">
        <v>3181</v>
      </c>
      <c r="D5347" t="s">
        <v>1807</v>
      </c>
    </row>
    <row r="5348" spans="1:4" x14ac:dyDescent="0.2">
      <c r="A5348" t="s">
        <v>7006</v>
      </c>
      <c r="B5348" s="2">
        <v>43193</v>
      </c>
      <c r="C5348" t="s">
        <v>6505</v>
      </c>
      <c r="D5348" t="s">
        <v>1031</v>
      </c>
    </row>
    <row r="5349" spans="1:4" x14ac:dyDescent="0.2">
      <c r="A5349" t="s">
        <v>7007</v>
      </c>
      <c r="B5349" s="2">
        <v>43002</v>
      </c>
      <c r="C5349" t="s">
        <v>1816</v>
      </c>
      <c r="D5349" t="s">
        <v>1829</v>
      </c>
    </row>
    <row r="5350" spans="1:4" x14ac:dyDescent="0.2">
      <c r="A5350" t="s">
        <v>7008</v>
      </c>
      <c r="B5350" s="2">
        <v>43021</v>
      </c>
      <c r="C5350" t="s">
        <v>1939</v>
      </c>
      <c r="D5350" t="s">
        <v>1031</v>
      </c>
    </row>
    <row r="5351" spans="1:4" x14ac:dyDescent="0.2">
      <c r="A5351" t="s">
        <v>7009</v>
      </c>
      <c r="B5351" s="2">
        <v>43230</v>
      </c>
      <c r="C5351" t="s">
        <v>2690</v>
      </c>
      <c r="D5351" t="s">
        <v>160</v>
      </c>
    </row>
    <row r="5352" spans="1:4" x14ac:dyDescent="0.2">
      <c r="A5352" t="s">
        <v>7010</v>
      </c>
      <c r="B5352" s="2">
        <v>43222</v>
      </c>
      <c r="C5352" t="s">
        <v>1863</v>
      </c>
      <c r="D5352" t="s">
        <v>1804</v>
      </c>
    </row>
    <row r="5353" spans="1:4" x14ac:dyDescent="0.2">
      <c r="A5353" t="s">
        <v>7011</v>
      </c>
      <c r="B5353" s="2">
        <v>43246</v>
      </c>
      <c r="C5353" t="s">
        <v>1863</v>
      </c>
      <c r="D5353" t="s">
        <v>1804</v>
      </c>
    </row>
    <row r="5354" spans="1:4" x14ac:dyDescent="0.2">
      <c r="A5354" t="s">
        <v>7012</v>
      </c>
      <c r="B5354" s="2">
        <v>43110</v>
      </c>
      <c r="C5354" t="s">
        <v>1836</v>
      </c>
      <c r="D5354" t="s">
        <v>1031</v>
      </c>
    </row>
    <row r="5355" spans="1:4" x14ac:dyDescent="0.2">
      <c r="A5355" t="s">
        <v>7013</v>
      </c>
      <c r="B5355" s="2">
        <v>43153</v>
      </c>
      <c r="C5355" t="s">
        <v>1836</v>
      </c>
      <c r="D5355" t="s">
        <v>1031</v>
      </c>
    </row>
    <row r="5356" spans="1:4" x14ac:dyDescent="0.2">
      <c r="A5356" t="s">
        <v>7014</v>
      </c>
      <c r="B5356" s="2">
        <v>43223</v>
      </c>
      <c r="C5356" t="s">
        <v>1863</v>
      </c>
      <c r="D5356" t="s">
        <v>1804</v>
      </c>
    </row>
    <row r="5357" spans="1:4" x14ac:dyDescent="0.2">
      <c r="A5357" t="s">
        <v>7015</v>
      </c>
      <c r="B5357" s="2">
        <v>43112</v>
      </c>
      <c r="C5357" t="s">
        <v>1816</v>
      </c>
      <c r="D5357" t="s">
        <v>1829</v>
      </c>
    </row>
    <row r="5358" spans="1:4" x14ac:dyDescent="0.2">
      <c r="A5358" t="s">
        <v>7016</v>
      </c>
      <c r="B5358" s="2">
        <v>43004</v>
      </c>
      <c r="C5358" t="s">
        <v>2535</v>
      </c>
      <c r="D5358" t="s">
        <v>1807</v>
      </c>
    </row>
    <row r="5359" spans="1:4" x14ac:dyDescent="0.2">
      <c r="A5359" t="s">
        <v>7017</v>
      </c>
      <c r="B5359" s="2">
        <v>43156</v>
      </c>
      <c r="C5359" t="s">
        <v>2503</v>
      </c>
      <c r="D5359" t="s">
        <v>1810</v>
      </c>
    </row>
    <row r="5360" spans="1:4" x14ac:dyDescent="0.2">
      <c r="A5360" t="s">
        <v>7018</v>
      </c>
      <c r="B5360" s="2">
        <v>42902</v>
      </c>
      <c r="C5360" t="s">
        <v>5134</v>
      </c>
      <c r="D5360" t="s">
        <v>1031</v>
      </c>
    </row>
    <row r="5361" spans="1:4" x14ac:dyDescent="0.2">
      <c r="A5361" t="s">
        <v>7019</v>
      </c>
      <c r="B5361" s="2">
        <v>43166</v>
      </c>
      <c r="C5361" t="s">
        <v>1993</v>
      </c>
      <c r="D5361" t="s">
        <v>1840</v>
      </c>
    </row>
    <row r="5362" spans="1:4" x14ac:dyDescent="0.2">
      <c r="A5362" t="s">
        <v>7020</v>
      </c>
      <c r="B5362" s="2">
        <v>42964</v>
      </c>
      <c r="C5362" t="s">
        <v>2569</v>
      </c>
      <c r="D5362" t="s">
        <v>1813</v>
      </c>
    </row>
    <row r="5363" spans="1:4" x14ac:dyDescent="0.2">
      <c r="A5363" t="s">
        <v>7021</v>
      </c>
      <c r="B5363" s="2">
        <v>43222</v>
      </c>
      <c r="C5363" t="s">
        <v>1836</v>
      </c>
      <c r="D5363" t="s">
        <v>1031</v>
      </c>
    </row>
    <row r="5364" spans="1:4" x14ac:dyDescent="0.2">
      <c r="A5364" t="s">
        <v>7022</v>
      </c>
      <c r="B5364" s="2">
        <v>43171</v>
      </c>
      <c r="C5364" t="s">
        <v>1859</v>
      </c>
      <c r="D5364" t="s">
        <v>1810</v>
      </c>
    </row>
    <row r="5365" spans="1:4" x14ac:dyDescent="0.2">
      <c r="A5365" t="s">
        <v>7023</v>
      </c>
      <c r="B5365" s="2">
        <v>43145</v>
      </c>
      <c r="C5365" t="s">
        <v>1836</v>
      </c>
      <c r="D5365" t="s">
        <v>1031</v>
      </c>
    </row>
    <row r="5366" spans="1:4" x14ac:dyDescent="0.2">
      <c r="A5366" t="s">
        <v>7024</v>
      </c>
      <c r="B5366" s="2">
        <v>43104</v>
      </c>
      <c r="C5366" t="s">
        <v>1803</v>
      </c>
      <c r="D5366" t="s">
        <v>1804</v>
      </c>
    </row>
    <row r="5367" spans="1:4" x14ac:dyDescent="0.2">
      <c r="A5367" t="s">
        <v>7025</v>
      </c>
      <c r="B5367" s="2">
        <v>42966</v>
      </c>
      <c r="C5367" t="s">
        <v>1867</v>
      </c>
      <c r="D5367" t="s">
        <v>1813</v>
      </c>
    </row>
    <row r="5368" spans="1:4" x14ac:dyDescent="0.2">
      <c r="A5368" t="s">
        <v>7026</v>
      </c>
      <c r="B5368" s="2">
        <v>43216</v>
      </c>
      <c r="C5368" t="s">
        <v>1863</v>
      </c>
      <c r="D5368" t="s">
        <v>1804</v>
      </c>
    </row>
    <row r="5369" spans="1:4" x14ac:dyDescent="0.2">
      <c r="A5369" t="s">
        <v>7027</v>
      </c>
      <c r="B5369" s="2">
        <v>43235</v>
      </c>
      <c r="C5369" t="s">
        <v>3090</v>
      </c>
      <c r="D5369" t="s">
        <v>1031</v>
      </c>
    </row>
    <row r="5370" spans="1:4" x14ac:dyDescent="0.2">
      <c r="A5370" t="s">
        <v>7028</v>
      </c>
      <c r="B5370" s="2">
        <v>43147</v>
      </c>
      <c r="C5370" t="s">
        <v>1816</v>
      </c>
      <c r="D5370" t="s">
        <v>1840</v>
      </c>
    </row>
    <row r="5371" spans="1:4" x14ac:dyDescent="0.2">
      <c r="A5371" t="s">
        <v>7029</v>
      </c>
      <c r="B5371" s="2">
        <v>43114</v>
      </c>
      <c r="C5371" t="s">
        <v>1880</v>
      </c>
      <c r="D5371" t="s">
        <v>1810</v>
      </c>
    </row>
    <row r="5372" spans="1:4" x14ac:dyDescent="0.2">
      <c r="A5372" t="s">
        <v>7030</v>
      </c>
      <c r="B5372" s="2">
        <v>43195</v>
      </c>
      <c r="C5372" t="s">
        <v>1875</v>
      </c>
      <c r="D5372" t="s">
        <v>1840</v>
      </c>
    </row>
    <row r="5373" spans="1:4" x14ac:dyDescent="0.2">
      <c r="A5373" t="s">
        <v>7031</v>
      </c>
      <c r="B5373" s="2">
        <v>43180</v>
      </c>
      <c r="C5373" t="s">
        <v>5555</v>
      </c>
      <c r="D5373" t="s">
        <v>1810</v>
      </c>
    </row>
    <row r="5374" spans="1:4" x14ac:dyDescent="0.2">
      <c r="A5374" t="s">
        <v>7032</v>
      </c>
      <c r="B5374" s="2">
        <v>43230</v>
      </c>
      <c r="C5374" t="s">
        <v>2500</v>
      </c>
      <c r="D5374" t="s">
        <v>1813</v>
      </c>
    </row>
    <row r="5375" spans="1:4" x14ac:dyDescent="0.2">
      <c r="A5375" t="s">
        <v>7033</v>
      </c>
      <c r="B5375" s="2">
        <v>43139</v>
      </c>
      <c r="C5375" t="s">
        <v>1816</v>
      </c>
      <c r="D5375" t="s">
        <v>1807</v>
      </c>
    </row>
    <row r="5376" spans="1:4" x14ac:dyDescent="0.2">
      <c r="A5376" t="s">
        <v>7034</v>
      </c>
      <c r="B5376" s="2">
        <v>43245</v>
      </c>
      <c r="C5376" t="s">
        <v>7035</v>
      </c>
      <c r="D5376" t="s">
        <v>1796</v>
      </c>
    </row>
    <row r="5377" spans="1:4" x14ac:dyDescent="0.2">
      <c r="A5377" t="s">
        <v>7036</v>
      </c>
      <c r="B5377" s="2">
        <v>43145</v>
      </c>
      <c r="C5377" t="s">
        <v>1907</v>
      </c>
      <c r="D5377" t="s">
        <v>1810</v>
      </c>
    </row>
    <row r="5378" spans="1:4" x14ac:dyDescent="0.2">
      <c r="A5378" t="s">
        <v>7037</v>
      </c>
      <c r="B5378" s="2">
        <v>43147</v>
      </c>
      <c r="C5378" t="s">
        <v>2048</v>
      </c>
      <c r="D5378" t="s">
        <v>1829</v>
      </c>
    </row>
    <row r="5379" spans="1:4" x14ac:dyDescent="0.2">
      <c r="A5379" t="s">
        <v>7038</v>
      </c>
      <c r="B5379" s="2">
        <v>42934</v>
      </c>
      <c r="C5379" t="s">
        <v>3019</v>
      </c>
      <c r="D5379" t="s">
        <v>1807</v>
      </c>
    </row>
    <row r="5380" spans="1:4" x14ac:dyDescent="0.2">
      <c r="A5380" t="s">
        <v>7039</v>
      </c>
      <c r="B5380" s="2">
        <v>43208</v>
      </c>
      <c r="C5380" t="s">
        <v>4290</v>
      </c>
      <c r="D5380" t="s">
        <v>1807</v>
      </c>
    </row>
    <row r="5381" spans="1:4" x14ac:dyDescent="0.2">
      <c r="A5381" t="s">
        <v>7040</v>
      </c>
      <c r="B5381" s="2">
        <v>43091</v>
      </c>
      <c r="C5381" t="s">
        <v>1825</v>
      </c>
      <c r="D5381" t="s">
        <v>1031</v>
      </c>
    </row>
    <row r="5382" spans="1:4" x14ac:dyDescent="0.2">
      <c r="A5382" t="s">
        <v>7041</v>
      </c>
      <c r="B5382" s="2">
        <v>43103</v>
      </c>
      <c r="C5382" t="s">
        <v>1930</v>
      </c>
      <c r="D5382" t="s">
        <v>1810</v>
      </c>
    </row>
    <row r="5383" spans="1:4" x14ac:dyDescent="0.2">
      <c r="A5383" t="s">
        <v>7042</v>
      </c>
      <c r="B5383" s="2">
        <v>43137</v>
      </c>
      <c r="C5383" t="s">
        <v>3827</v>
      </c>
      <c r="D5383" t="s">
        <v>1813</v>
      </c>
    </row>
    <row r="5384" spans="1:4" x14ac:dyDescent="0.2">
      <c r="A5384" t="s">
        <v>1213</v>
      </c>
      <c r="B5384" s="2">
        <v>43111</v>
      </c>
      <c r="C5384" t="s">
        <v>1809</v>
      </c>
      <c r="D5384" t="s">
        <v>1810</v>
      </c>
    </row>
    <row r="5385" spans="1:4" x14ac:dyDescent="0.2">
      <c r="A5385" t="s">
        <v>7043</v>
      </c>
      <c r="B5385" s="2">
        <v>43173</v>
      </c>
      <c r="C5385" t="s">
        <v>1836</v>
      </c>
      <c r="D5385" t="s">
        <v>1031</v>
      </c>
    </row>
    <row r="5386" spans="1:4" x14ac:dyDescent="0.2">
      <c r="A5386" t="s">
        <v>7044</v>
      </c>
      <c r="B5386" s="2">
        <v>43112</v>
      </c>
      <c r="C5386" t="s">
        <v>2062</v>
      </c>
      <c r="D5386" t="s">
        <v>1813</v>
      </c>
    </row>
    <row r="5387" spans="1:4" x14ac:dyDescent="0.2">
      <c r="A5387" t="s">
        <v>7045</v>
      </c>
      <c r="B5387" s="2">
        <v>43123</v>
      </c>
      <c r="C5387" t="s">
        <v>1812</v>
      </c>
      <c r="D5387" t="s">
        <v>1813</v>
      </c>
    </row>
    <row r="5388" spans="1:4" x14ac:dyDescent="0.2">
      <c r="A5388" t="s">
        <v>7046</v>
      </c>
      <c r="B5388" s="2">
        <v>43243</v>
      </c>
      <c r="C5388" t="s">
        <v>1863</v>
      </c>
      <c r="D5388" t="s">
        <v>1804</v>
      </c>
    </row>
    <row r="5389" spans="1:4" x14ac:dyDescent="0.2">
      <c r="A5389" t="s">
        <v>7047</v>
      </c>
      <c r="B5389" s="2">
        <v>43193</v>
      </c>
      <c r="C5389" t="s">
        <v>2146</v>
      </c>
      <c r="D5389" t="s">
        <v>1031</v>
      </c>
    </row>
    <row r="5390" spans="1:4" x14ac:dyDescent="0.2">
      <c r="A5390" t="s">
        <v>7048</v>
      </c>
      <c r="B5390" s="2">
        <v>43030</v>
      </c>
      <c r="C5390" t="s">
        <v>1816</v>
      </c>
      <c r="D5390" t="s">
        <v>1840</v>
      </c>
    </row>
    <row r="5391" spans="1:4" x14ac:dyDescent="0.2">
      <c r="A5391" t="s">
        <v>1215</v>
      </c>
      <c r="B5391" s="2">
        <v>43150</v>
      </c>
      <c r="C5391" t="s">
        <v>1825</v>
      </c>
      <c r="D5391" t="s">
        <v>1031</v>
      </c>
    </row>
    <row r="5392" spans="1:4" x14ac:dyDescent="0.2">
      <c r="A5392" t="s">
        <v>7049</v>
      </c>
      <c r="B5392" s="2">
        <v>43136</v>
      </c>
      <c r="C5392" t="s">
        <v>2058</v>
      </c>
      <c r="D5392" t="s">
        <v>1807</v>
      </c>
    </row>
    <row r="5393" spans="1:4" x14ac:dyDescent="0.2">
      <c r="A5393" t="s">
        <v>7050</v>
      </c>
      <c r="B5393" s="2">
        <v>42992</v>
      </c>
      <c r="C5393" t="s">
        <v>1892</v>
      </c>
      <c r="D5393" t="s">
        <v>1810</v>
      </c>
    </row>
    <row r="5394" spans="1:4" x14ac:dyDescent="0.2">
      <c r="A5394" t="s">
        <v>7051</v>
      </c>
      <c r="B5394" s="2">
        <v>43241</v>
      </c>
      <c r="C5394" t="s">
        <v>1816</v>
      </c>
      <c r="D5394" t="s">
        <v>1796</v>
      </c>
    </row>
    <row r="5395" spans="1:4" x14ac:dyDescent="0.2">
      <c r="A5395" t="s">
        <v>7052</v>
      </c>
      <c r="B5395" s="2">
        <v>42971</v>
      </c>
      <c r="C5395" t="s">
        <v>1964</v>
      </c>
      <c r="D5395" t="s">
        <v>1813</v>
      </c>
    </row>
    <row r="5396" spans="1:4" x14ac:dyDescent="0.2">
      <c r="A5396" t="s">
        <v>7053</v>
      </c>
      <c r="B5396" s="2">
        <v>43222</v>
      </c>
      <c r="C5396" t="s">
        <v>1909</v>
      </c>
      <c r="D5396" t="s">
        <v>1810</v>
      </c>
    </row>
    <row r="5397" spans="1:4" x14ac:dyDescent="0.2">
      <c r="A5397" t="s">
        <v>7054</v>
      </c>
      <c r="B5397" s="2">
        <v>43216</v>
      </c>
      <c r="C5397" t="s">
        <v>1863</v>
      </c>
      <c r="D5397" t="s">
        <v>1804</v>
      </c>
    </row>
    <row r="5398" spans="1:4" x14ac:dyDescent="0.2">
      <c r="A5398" t="s">
        <v>7055</v>
      </c>
      <c r="B5398" s="2">
        <v>43147</v>
      </c>
      <c r="C5398" t="s">
        <v>1836</v>
      </c>
      <c r="D5398" t="s">
        <v>1810</v>
      </c>
    </row>
    <row r="5399" spans="1:4" x14ac:dyDescent="0.2">
      <c r="A5399" t="s">
        <v>7056</v>
      </c>
      <c r="B5399" s="2">
        <v>42992</v>
      </c>
      <c r="C5399" t="s">
        <v>1894</v>
      </c>
      <c r="D5399" t="s">
        <v>1804</v>
      </c>
    </row>
    <row r="5400" spans="1:4" x14ac:dyDescent="0.2">
      <c r="A5400" t="s">
        <v>7057</v>
      </c>
      <c r="B5400" s="2">
        <v>43178</v>
      </c>
      <c r="C5400" t="s">
        <v>1825</v>
      </c>
      <c r="D5400" t="s">
        <v>1810</v>
      </c>
    </row>
    <row r="5401" spans="1:4" x14ac:dyDescent="0.2">
      <c r="A5401" t="s">
        <v>7058</v>
      </c>
      <c r="B5401" s="2">
        <v>43019</v>
      </c>
      <c r="C5401" t="s">
        <v>1803</v>
      </c>
      <c r="D5401" t="s">
        <v>1910</v>
      </c>
    </row>
    <row r="5402" spans="1:4" x14ac:dyDescent="0.2">
      <c r="A5402" t="s">
        <v>1217</v>
      </c>
      <c r="B5402" s="2">
        <v>43193</v>
      </c>
      <c r="C5402" t="s">
        <v>1816</v>
      </c>
      <c r="D5402" t="s">
        <v>1810</v>
      </c>
    </row>
    <row r="5403" spans="1:4" x14ac:dyDescent="0.2">
      <c r="A5403" t="s">
        <v>7059</v>
      </c>
      <c r="B5403" s="2">
        <v>43249</v>
      </c>
      <c r="C5403" t="s">
        <v>1863</v>
      </c>
      <c r="D5403" t="s">
        <v>1804</v>
      </c>
    </row>
    <row r="5404" spans="1:4" x14ac:dyDescent="0.2">
      <c r="A5404" t="s">
        <v>7060</v>
      </c>
      <c r="B5404" s="2">
        <v>43052</v>
      </c>
      <c r="C5404" t="s">
        <v>2006</v>
      </c>
      <c r="D5404" t="s">
        <v>1829</v>
      </c>
    </row>
    <row r="5405" spans="1:4" x14ac:dyDescent="0.2">
      <c r="A5405" t="s">
        <v>7061</v>
      </c>
      <c r="B5405" s="2">
        <v>43175</v>
      </c>
      <c r="C5405" t="s">
        <v>1836</v>
      </c>
      <c r="D5405" t="s">
        <v>1031</v>
      </c>
    </row>
    <row r="5406" spans="1:4" x14ac:dyDescent="0.2">
      <c r="A5406" t="s">
        <v>1219</v>
      </c>
      <c r="B5406" s="2">
        <v>43185</v>
      </c>
      <c r="C5406" t="s">
        <v>2901</v>
      </c>
      <c r="D5406" t="s">
        <v>1807</v>
      </c>
    </row>
    <row r="5407" spans="1:4" x14ac:dyDescent="0.2">
      <c r="A5407" t="s">
        <v>7062</v>
      </c>
      <c r="B5407" s="2">
        <v>43161</v>
      </c>
      <c r="C5407" t="s">
        <v>2216</v>
      </c>
      <c r="D5407" t="s">
        <v>1810</v>
      </c>
    </row>
    <row r="5408" spans="1:4" x14ac:dyDescent="0.2">
      <c r="A5408" t="s">
        <v>7063</v>
      </c>
      <c r="B5408" s="2">
        <v>43182</v>
      </c>
      <c r="C5408" t="s">
        <v>1816</v>
      </c>
      <c r="D5408" t="s">
        <v>1807</v>
      </c>
    </row>
    <row r="5409" spans="1:4" x14ac:dyDescent="0.2">
      <c r="A5409" t="s">
        <v>7064</v>
      </c>
      <c r="B5409" s="2">
        <v>43129</v>
      </c>
      <c r="C5409" t="s">
        <v>1905</v>
      </c>
      <c r="D5409" t="s">
        <v>1810</v>
      </c>
    </row>
    <row r="5410" spans="1:4" x14ac:dyDescent="0.2">
      <c r="A5410" t="s">
        <v>7065</v>
      </c>
      <c r="B5410" s="2">
        <v>43242</v>
      </c>
      <c r="C5410" t="s">
        <v>1928</v>
      </c>
      <c r="D5410" t="s">
        <v>1813</v>
      </c>
    </row>
    <row r="5411" spans="1:4" x14ac:dyDescent="0.2">
      <c r="A5411" t="s">
        <v>7066</v>
      </c>
      <c r="B5411" s="2">
        <v>43124</v>
      </c>
      <c r="C5411" t="s">
        <v>1825</v>
      </c>
      <c r="D5411" t="s">
        <v>1829</v>
      </c>
    </row>
    <row r="5412" spans="1:4" x14ac:dyDescent="0.2">
      <c r="A5412" t="s">
        <v>7067</v>
      </c>
      <c r="B5412" s="2">
        <v>43000</v>
      </c>
      <c r="C5412" t="s">
        <v>1905</v>
      </c>
      <c r="D5412" t="s">
        <v>1031</v>
      </c>
    </row>
    <row r="5413" spans="1:4" x14ac:dyDescent="0.2">
      <c r="A5413" t="s">
        <v>7068</v>
      </c>
      <c r="B5413" s="2">
        <v>43069</v>
      </c>
      <c r="C5413" t="s">
        <v>1939</v>
      </c>
      <c r="D5413" t="s">
        <v>1031</v>
      </c>
    </row>
    <row r="5414" spans="1:4" x14ac:dyDescent="0.2">
      <c r="A5414" t="s">
        <v>1221</v>
      </c>
      <c r="B5414" s="2">
        <v>43217</v>
      </c>
      <c r="C5414" t="s">
        <v>1816</v>
      </c>
      <c r="D5414" t="s">
        <v>1807</v>
      </c>
    </row>
    <row r="5415" spans="1:4" x14ac:dyDescent="0.2">
      <c r="A5415" t="s">
        <v>7069</v>
      </c>
      <c r="B5415" s="2">
        <v>43236</v>
      </c>
      <c r="C5415" t="s">
        <v>1863</v>
      </c>
      <c r="D5415" t="s">
        <v>1804</v>
      </c>
    </row>
    <row r="5416" spans="1:4" x14ac:dyDescent="0.2">
      <c r="A5416" t="s">
        <v>7070</v>
      </c>
      <c r="B5416" s="2">
        <v>43068</v>
      </c>
      <c r="C5416" t="s">
        <v>2324</v>
      </c>
      <c r="D5416" t="s">
        <v>1813</v>
      </c>
    </row>
    <row r="5417" spans="1:4" x14ac:dyDescent="0.2">
      <c r="A5417" t="s">
        <v>1223</v>
      </c>
      <c r="B5417" s="2">
        <v>43228</v>
      </c>
      <c r="C5417" t="s">
        <v>3390</v>
      </c>
      <c r="D5417" t="s">
        <v>1810</v>
      </c>
    </row>
    <row r="5418" spans="1:4" x14ac:dyDescent="0.2">
      <c r="A5418" t="s">
        <v>7071</v>
      </c>
      <c r="B5418" s="2">
        <v>43181</v>
      </c>
      <c r="C5418" t="s">
        <v>1836</v>
      </c>
      <c r="D5418" t="s">
        <v>1031</v>
      </c>
    </row>
    <row r="5419" spans="1:4" x14ac:dyDescent="0.2">
      <c r="A5419" t="s">
        <v>7072</v>
      </c>
      <c r="B5419" s="2">
        <v>43229</v>
      </c>
      <c r="C5419" t="s">
        <v>1836</v>
      </c>
      <c r="D5419" t="s">
        <v>1031</v>
      </c>
    </row>
    <row r="5420" spans="1:4" x14ac:dyDescent="0.2">
      <c r="A5420" t="s">
        <v>7073</v>
      </c>
      <c r="B5420" s="2">
        <v>43110</v>
      </c>
      <c r="C5420" t="s">
        <v>1803</v>
      </c>
      <c r="D5420" t="s">
        <v>1804</v>
      </c>
    </row>
    <row r="5421" spans="1:4" x14ac:dyDescent="0.2">
      <c r="A5421" t="s">
        <v>7074</v>
      </c>
      <c r="B5421" s="2">
        <v>42981</v>
      </c>
      <c r="C5421" t="s">
        <v>2187</v>
      </c>
      <c r="D5421" t="s">
        <v>1807</v>
      </c>
    </row>
    <row r="5422" spans="1:4" x14ac:dyDescent="0.2">
      <c r="A5422" t="s">
        <v>7075</v>
      </c>
      <c r="B5422" s="2">
        <v>43138</v>
      </c>
      <c r="C5422" t="s">
        <v>1885</v>
      </c>
      <c r="D5422" t="s">
        <v>1807</v>
      </c>
    </row>
    <row r="5423" spans="1:4" x14ac:dyDescent="0.2">
      <c r="A5423" t="s">
        <v>7076</v>
      </c>
      <c r="B5423" s="2">
        <v>43222</v>
      </c>
      <c r="C5423" t="s">
        <v>2066</v>
      </c>
      <c r="D5423" t="s">
        <v>1813</v>
      </c>
    </row>
    <row r="5424" spans="1:4" x14ac:dyDescent="0.2">
      <c r="A5424" t="s">
        <v>7077</v>
      </c>
      <c r="B5424" s="2">
        <v>43110</v>
      </c>
      <c r="C5424" t="s">
        <v>1825</v>
      </c>
      <c r="D5424" t="s">
        <v>1810</v>
      </c>
    </row>
    <row r="5425" spans="1:4" x14ac:dyDescent="0.2">
      <c r="A5425" t="s">
        <v>7078</v>
      </c>
      <c r="B5425" s="2">
        <v>43242</v>
      </c>
      <c r="C5425" t="s">
        <v>1836</v>
      </c>
      <c r="D5425" t="s">
        <v>1031</v>
      </c>
    </row>
    <row r="5426" spans="1:4" x14ac:dyDescent="0.2">
      <c r="A5426" t="s">
        <v>7079</v>
      </c>
      <c r="B5426" s="2">
        <v>43157</v>
      </c>
      <c r="C5426" t="s">
        <v>1816</v>
      </c>
      <c r="D5426" t="s">
        <v>1810</v>
      </c>
    </row>
    <row r="5427" spans="1:4" x14ac:dyDescent="0.2">
      <c r="A5427" t="s">
        <v>1225</v>
      </c>
      <c r="B5427" s="2">
        <v>43153</v>
      </c>
      <c r="C5427" t="s">
        <v>1836</v>
      </c>
      <c r="D5427" t="s">
        <v>1810</v>
      </c>
    </row>
    <row r="5428" spans="1:4" x14ac:dyDescent="0.2">
      <c r="A5428" t="s">
        <v>7080</v>
      </c>
      <c r="B5428" s="2">
        <v>43164</v>
      </c>
      <c r="C5428" t="s">
        <v>2115</v>
      </c>
      <c r="D5428" t="s">
        <v>1804</v>
      </c>
    </row>
    <row r="5429" spans="1:4" x14ac:dyDescent="0.2">
      <c r="A5429" t="s">
        <v>7081</v>
      </c>
      <c r="B5429" s="2">
        <v>43204</v>
      </c>
      <c r="C5429" t="s">
        <v>2115</v>
      </c>
      <c r="D5429" t="s">
        <v>1810</v>
      </c>
    </row>
    <row r="5430" spans="1:4" x14ac:dyDescent="0.2">
      <c r="A5430" t="s">
        <v>7082</v>
      </c>
      <c r="B5430" s="2">
        <v>43228</v>
      </c>
      <c r="C5430" t="s">
        <v>1816</v>
      </c>
      <c r="D5430" t="s">
        <v>1810</v>
      </c>
    </row>
    <row r="5431" spans="1:4" x14ac:dyDescent="0.2">
      <c r="A5431" t="s">
        <v>7083</v>
      </c>
      <c r="B5431" s="2">
        <v>43114</v>
      </c>
      <c r="C5431" t="s">
        <v>1816</v>
      </c>
      <c r="D5431" t="s">
        <v>1804</v>
      </c>
    </row>
    <row r="5432" spans="1:4" x14ac:dyDescent="0.2">
      <c r="A5432" t="s">
        <v>1227</v>
      </c>
      <c r="B5432" s="2">
        <v>43111</v>
      </c>
      <c r="C5432" t="s">
        <v>1905</v>
      </c>
      <c r="D5432" t="s">
        <v>1807</v>
      </c>
    </row>
    <row r="5433" spans="1:4" x14ac:dyDescent="0.2">
      <c r="A5433" t="s">
        <v>7084</v>
      </c>
      <c r="B5433" s="2">
        <v>43228</v>
      </c>
      <c r="C5433" t="s">
        <v>2342</v>
      </c>
      <c r="D5433" t="s">
        <v>1810</v>
      </c>
    </row>
    <row r="5434" spans="1:4" x14ac:dyDescent="0.2">
      <c r="A5434" t="s">
        <v>7085</v>
      </c>
      <c r="B5434" s="2">
        <v>43226</v>
      </c>
      <c r="C5434" t="s">
        <v>1863</v>
      </c>
      <c r="D5434" t="s">
        <v>1804</v>
      </c>
    </row>
    <row r="5435" spans="1:4" x14ac:dyDescent="0.2">
      <c r="A5435" t="s">
        <v>7086</v>
      </c>
      <c r="B5435" s="2">
        <v>43144</v>
      </c>
      <c r="C5435" t="s">
        <v>1816</v>
      </c>
      <c r="D5435" t="s">
        <v>1810</v>
      </c>
    </row>
    <row r="5436" spans="1:4" x14ac:dyDescent="0.2">
      <c r="A5436" t="s">
        <v>7087</v>
      </c>
      <c r="B5436" s="2">
        <v>43146</v>
      </c>
      <c r="C5436" t="s">
        <v>1867</v>
      </c>
      <c r="D5436" t="s">
        <v>1810</v>
      </c>
    </row>
    <row r="5437" spans="1:4" x14ac:dyDescent="0.2">
      <c r="A5437" t="s">
        <v>7088</v>
      </c>
      <c r="B5437" s="2">
        <v>43222</v>
      </c>
      <c r="C5437" t="s">
        <v>2066</v>
      </c>
      <c r="D5437" t="s">
        <v>1813</v>
      </c>
    </row>
    <row r="5438" spans="1:4" x14ac:dyDescent="0.2">
      <c r="A5438" t="s">
        <v>1229</v>
      </c>
      <c r="B5438" s="2">
        <v>43135</v>
      </c>
      <c r="C5438" t="s">
        <v>1854</v>
      </c>
      <c r="D5438" t="s">
        <v>1807</v>
      </c>
    </row>
    <row r="5439" spans="1:4" x14ac:dyDescent="0.2">
      <c r="A5439" t="s">
        <v>7089</v>
      </c>
      <c r="B5439" s="2">
        <v>43153</v>
      </c>
      <c r="C5439" t="s">
        <v>1803</v>
      </c>
      <c r="D5439" t="s">
        <v>1804</v>
      </c>
    </row>
    <row r="5440" spans="1:4" x14ac:dyDescent="0.2">
      <c r="A5440" t="s">
        <v>7090</v>
      </c>
      <c r="B5440" s="2">
        <v>43028</v>
      </c>
      <c r="C5440" t="s">
        <v>1907</v>
      </c>
      <c r="D5440" t="s">
        <v>1807</v>
      </c>
    </row>
    <row r="5441" spans="1:4" x14ac:dyDescent="0.2">
      <c r="A5441" t="s">
        <v>7091</v>
      </c>
      <c r="B5441" s="2">
        <v>43124</v>
      </c>
      <c r="C5441" t="s">
        <v>1825</v>
      </c>
      <c r="D5441" t="s">
        <v>1810</v>
      </c>
    </row>
    <row r="5442" spans="1:4" x14ac:dyDescent="0.2">
      <c r="A5442" t="s">
        <v>7092</v>
      </c>
      <c r="B5442" s="2">
        <v>43095</v>
      </c>
      <c r="C5442" t="s">
        <v>1907</v>
      </c>
      <c r="D5442" t="s">
        <v>1807</v>
      </c>
    </row>
    <row r="5443" spans="1:4" x14ac:dyDescent="0.2">
      <c r="A5443" t="s">
        <v>7093</v>
      </c>
      <c r="B5443" s="2">
        <v>43179</v>
      </c>
      <c r="C5443" t="s">
        <v>1836</v>
      </c>
      <c r="D5443" t="s">
        <v>1840</v>
      </c>
    </row>
    <row r="5444" spans="1:4" x14ac:dyDescent="0.2">
      <c r="A5444" t="s">
        <v>7094</v>
      </c>
      <c r="B5444" s="2">
        <v>42991</v>
      </c>
      <c r="C5444" t="s">
        <v>2276</v>
      </c>
      <c r="D5444" t="s">
        <v>1813</v>
      </c>
    </row>
    <row r="5445" spans="1:4" x14ac:dyDescent="0.2">
      <c r="A5445" t="s">
        <v>7095</v>
      </c>
      <c r="B5445" s="2">
        <v>43241</v>
      </c>
      <c r="C5445" t="s">
        <v>1930</v>
      </c>
      <c r="D5445" t="s">
        <v>1807</v>
      </c>
    </row>
    <row r="5446" spans="1:4" x14ac:dyDescent="0.2">
      <c r="A5446" t="s">
        <v>7096</v>
      </c>
      <c r="B5446" s="2">
        <v>43215</v>
      </c>
      <c r="C5446" t="s">
        <v>1865</v>
      </c>
      <c r="D5446" t="s">
        <v>1807</v>
      </c>
    </row>
    <row r="5447" spans="1:4" x14ac:dyDescent="0.2">
      <c r="A5447" t="s">
        <v>7097</v>
      </c>
      <c r="B5447" s="2">
        <v>43136</v>
      </c>
      <c r="C5447" t="s">
        <v>1836</v>
      </c>
      <c r="D5447" t="s">
        <v>1910</v>
      </c>
    </row>
    <row r="5448" spans="1:4" x14ac:dyDescent="0.2">
      <c r="A5448" t="s">
        <v>7098</v>
      </c>
      <c r="B5448" s="2">
        <v>43036</v>
      </c>
      <c r="C5448" t="s">
        <v>1825</v>
      </c>
      <c r="D5448" t="s">
        <v>1810</v>
      </c>
    </row>
    <row r="5449" spans="1:4" x14ac:dyDescent="0.2">
      <c r="A5449" t="s">
        <v>7099</v>
      </c>
      <c r="B5449" s="2">
        <v>43195</v>
      </c>
      <c r="C5449" t="s">
        <v>1836</v>
      </c>
      <c r="D5449" t="s">
        <v>1031</v>
      </c>
    </row>
    <row r="5450" spans="1:4" x14ac:dyDescent="0.2">
      <c r="A5450" t="s">
        <v>7100</v>
      </c>
      <c r="B5450" s="2">
        <v>42961</v>
      </c>
      <c r="C5450" t="s">
        <v>1939</v>
      </c>
      <c r="D5450" t="s">
        <v>1810</v>
      </c>
    </row>
    <row r="5451" spans="1:4" x14ac:dyDescent="0.2">
      <c r="A5451" t="s">
        <v>7101</v>
      </c>
      <c r="B5451" s="2">
        <v>43180</v>
      </c>
      <c r="C5451" t="s">
        <v>1836</v>
      </c>
      <c r="D5451" t="s">
        <v>1031</v>
      </c>
    </row>
    <row r="5452" spans="1:4" x14ac:dyDescent="0.2">
      <c r="A5452" t="s">
        <v>7102</v>
      </c>
      <c r="B5452" s="2">
        <v>43248</v>
      </c>
      <c r="C5452" t="s">
        <v>1928</v>
      </c>
      <c r="D5452" t="s">
        <v>1813</v>
      </c>
    </row>
    <row r="5453" spans="1:4" x14ac:dyDescent="0.2">
      <c r="A5453" t="s">
        <v>7103</v>
      </c>
      <c r="B5453" s="2">
        <v>43108</v>
      </c>
      <c r="C5453" t="s">
        <v>1803</v>
      </c>
      <c r="D5453" t="s">
        <v>1804</v>
      </c>
    </row>
    <row r="5454" spans="1:4" x14ac:dyDescent="0.2">
      <c r="A5454" t="s">
        <v>1231</v>
      </c>
      <c r="B5454" s="2">
        <v>43201</v>
      </c>
      <c r="C5454" t="s">
        <v>1905</v>
      </c>
      <c r="D5454" t="s">
        <v>1810</v>
      </c>
    </row>
    <row r="5455" spans="1:4" x14ac:dyDescent="0.2">
      <c r="A5455" t="s">
        <v>7104</v>
      </c>
      <c r="B5455" s="2">
        <v>42982</v>
      </c>
      <c r="C5455" t="s">
        <v>1867</v>
      </c>
      <c r="D5455" t="s">
        <v>1807</v>
      </c>
    </row>
    <row r="5456" spans="1:4" x14ac:dyDescent="0.2">
      <c r="A5456" t="s">
        <v>7105</v>
      </c>
      <c r="B5456" s="2">
        <v>43199</v>
      </c>
      <c r="C5456" t="s">
        <v>1863</v>
      </c>
      <c r="D5456" t="s">
        <v>1804</v>
      </c>
    </row>
    <row r="5457" spans="1:4" x14ac:dyDescent="0.2">
      <c r="A5457" t="s">
        <v>7106</v>
      </c>
      <c r="B5457" s="2">
        <v>43171</v>
      </c>
      <c r="C5457" t="s">
        <v>2535</v>
      </c>
      <c r="D5457" t="s">
        <v>1810</v>
      </c>
    </row>
    <row r="5458" spans="1:4" x14ac:dyDescent="0.2">
      <c r="A5458" t="s">
        <v>7107</v>
      </c>
      <c r="B5458" s="2">
        <v>43109</v>
      </c>
      <c r="C5458" t="s">
        <v>1831</v>
      </c>
      <c r="D5458" t="s">
        <v>160</v>
      </c>
    </row>
    <row r="5459" spans="1:4" x14ac:dyDescent="0.2">
      <c r="A5459" t="s">
        <v>7108</v>
      </c>
      <c r="B5459" s="2">
        <v>43220</v>
      </c>
      <c r="C5459" t="s">
        <v>1857</v>
      </c>
      <c r="D5459" t="s">
        <v>1810</v>
      </c>
    </row>
    <row r="5460" spans="1:4" x14ac:dyDescent="0.2">
      <c r="A5460" t="s">
        <v>7109</v>
      </c>
      <c r="B5460" s="2">
        <v>43208</v>
      </c>
      <c r="C5460" t="s">
        <v>1867</v>
      </c>
      <c r="D5460" t="s">
        <v>160</v>
      </c>
    </row>
    <row r="5461" spans="1:4" x14ac:dyDescent="0.2">
      <c r="A5461" t="s">
        <v>7110</v>
      </c>
      <c r="B5461" s="2">
        <v>43145</v>
      </c>
      <c r="C5461" t="s">
        <v>1803</v>
      </c>
      <c r="D5461" t="s">
        <v>1804</v>
      </c>
    </row>
    <row r="5462" spans="1:4" x14ac:dyDescent="0.2">
      <c r="A5462" t="s">
        <v>7111</v>
      </c>
      <c r="B5462" s="2">
        <v>43235</v>
      </c>
      <c r="C5462" t="s">
        <v>2291</v>
      </c>
      <c r="D5462" t="s">
        <v>1810</v>
      </c>
    </row>
    <row r="5463" spans="1:4" x14ac:dyDescent="0.2">
      <c r="A5463" t="s">
        <v>7112</v>
      </c>
      <c r="B5463" s="2">
        <v>43153</v>
      </c>
      <c r="C5463" t="s">
        <v>1836</v>
      </c>
      <c r="D5463" t="s">
        <v>1031</v>
      </c>
    </row>
    <row r="5464" spans="1:4" x14ac:dyDescent="0.2">
      <c r="A5464" t="s">
        <v>7113</v>
      </c>
      <c r="B5464" s="2">
        <v>42960</v>
      </c>
      <c r="C5464" t="s">
        <v>2515</v>
      </c>
      <c r="D5464" t="s">
        <v>1810</v>
      </c>
    </row>
    <row r="5465" spans="1:4" x14ac:dyDescent="0.2">
      <c r="A5465" t="s">
        <v>7114</v>
      </c>
      <c r="B5465" s="2">
        <v>42921</v>
      </c>
      <c r="C5465" t="s">
        <v>1919</v>
      </c>
      <c r="D5465" t="s">
        <v>160</v>
      </c>
    </row>
    <row r="5466" spans="1:4" x14ac:dyDescent="0.2">
      <c r="A5466" t="s">
        <v>7115</v>
      </c>
      <c r="B5466" s="2">
        <v>43217</v>
      </c>
      <c r="C5466" t="s">
        <v>1831</v>
      </c>
      <c r="D5466" t="s">
        <v>160</v>
      </c>
    </row>
    <row r="5467" spans="1:4" x14ac:dyDescent="0.2">
      <c r="A5467" t="s">
        <v>7116</v>
      </c>
      <c r="B5467" s="2">
        <v>43232</v>
      </c>
      <c r="C5467" t="s">
        <v>1863</v>
      </c>
      <c r="D5467" t="s">
        <v>1804</v>
      </c>
    </row>
    <row r="5468" spans="1:4" x14ac:dyDescent="0.2">
      <c r="A5468" t="s">
        <v>7117</v>
      </c>
      <c r="B5468" s="2">
        <v>43228</v>
      </c>
      <c r="C5468" t="s">
        <v>1816</v>
      </c>
      <c r="D5468" t="s">
        <v>1810</v>
      </c>
    </row>
    <row r="5469" spans="1:4" x14ac:dyDescent="0.2">
      <c r="A5469" t="s">
        <v>7118</v>
      </c>
      <c r="B5469" s="2">
        <v>43193</v>
      </c>
      <c r="C5469" t="s">
        <v>2066</v>
      </c>
      <c r="D5469" t="s">
        <v>1813</v>
      </c>
    </row>
    <row r="5470" spans="1:4" x14ac:dyDescent="0.2">
      <c r="A5470" t="s">
        <v>7119</v>
      </c>
      <c r="B5470" s="2">
        <v>42950</v>
      </c>
      <c r="C5470" t="s">
        <v>2163</v>
      </c>
      <c r="D5470" t="s">
        <v>1810</v>
      </c>
    </row>
    <row r="5471" spans="1:4" x14ac:dyDescent="0.2">
      <c r="A5471" t="s">
        <v>7120</v>
      </c>
      <c r="B5471" s="2">
        <v>43023</v>
      </c>
      <c r="C5471" t="s">
        <v>1939</v>
      </c>
      <c r="D5471" t="s">
        <v>1810</v>
      </c>
    </row>
    <row r="5472" spans="1:4" x14ac:dyDescent="0.2">
      <c r="A5472" t="s">
        <v>7121</v>
      </c>
      <c r="B5472" s="2">
        <v>43195</v>
      </c>
      <c r="C5472" t="s">
        <v>2242</v>
      </c>
      <c r="D5472" t="s">
        <v>1807</v>
      </c>
    </row>
    <row r="5473" spans="1:4" x14ac:dyDescent="0.2">
      <c r="A5473" t="s">
        <v>7122</v>
      </c>
      <c r="B5473" s="2">
        <v>43233</v>
      </c>
      <c r="C5473" t="s">
        <v>1809</v>
      </c>
      <c r="D5473" t="s">
        <v>1813</v>
      </c>
    </row>
    <row r="5474" spans="1:4" x14ac:dyDescent="0.2">
      <c r="A5474" t="s">
        <v>7123</v>
      </c>
      <c r="B5474" s="2">
        <v>43181</v>
      </c>
      <c r="C5474" t="s">
        <v>1836</v>
      </c>
      <c r="D5474" t="s">
        <v>1031</v>
      </c>
    </row>
    <row r="5475" spans="1:4" x14ac:dyDescent="0.2">
      <c r="A5475" t="s">
        <v>7124</v>
      </c>
      <c r="B5475" s="2">
        <v>42970</v>
      </c>
      <c r="C5475" t="s">
        <v>1806</v>
      </c>
      <c r="D5475" t="s">
        <v>1807</v>
      </c>
    </row>
    <row r="5476" spans="1:4" x14ac:dyDescent="0.2">
      <c r="A5476" t="s">
        <v>1233</v>
      </c>
      <c r="B5476" s="2">
        <v>43109</v>
      </c>
      <c r="C5476" t="s">
        <v>1921</v>
      </c>
      <c r="D5476" t="s">
        <v>1840</v>
      </c>
    </row>
    <row r="5477" spans="1:4" x14ac:dyDescent="0.2">
      <c r="A5477" t="s">
        <v>7125</v>
      </c>
      <c r="B5477" s="2">
        <v>43108</v>
      </c>
      <c r="C5477" t="s">
        <v>1831</v>
      </c>
      <c r="D5477" t="s">
        <v>1031</v>
      </c>
    </row>
    <row r="5478" spans="1:4" x14ac:dyDescent="0.2">
      <c r="A5478" t="s">
        <v>7126</v>
      </c>
      <c r="B5478" s="2">
        <v>43195</v>
      </c>
      <c r="C5478" t="s">
        <v>1816</v>
      </c>
      <c r="D5478" t="s">
        <v>1810</v>
      </c>
    </row>
    <row r="5479" spans="1:4" x14ac:dyDescent="0.2">
      <c r="A5479" t="s">
        <v>7127</v>
      </c>
      <c r="B5479" s="2">
        <v>43229</v>
      </c>
      <c r="C5479" t="s">
        <v>1816</v>
      </c>
      <c r="D5479" t="s">
        <v>1810</v>
      </c>
    </row>
    <row r="5480" spans="1:4" x14ac:dyDescent="0.2">
      <c r="A5480" t="s">
        <v>7128</v>
      </c>
      <c r="B5480" s="2">
        <v>43228</v>
      </c>
      <c r="C5480" t="s">
        <v>1857</v>
      </c>
      <c r="D5480" t="s">
        <v>1804</v>
      </c>
    </row>
    <row r="5481" spans="1:4" x14ac:dyDescent="0.2">
      <c r="A5481" t="s">
        <v>7129</v>
      </c>
      <c r="B5481" s="2">
        <v>43154</v>
      </c>
      <c r="C5481" t="s">
        <v>1809</v>
      </c>
      <c r="D5481" t="s">
        <v>1849</v>
      </c>
    </row>
    <row r="5482" spans="1:4" x14ac:dyDescent="0.2">
      <c r="A5482" t="s">
        <v>7130</v>
      </c>
      <c r="B5482" s="2">
        <v>43172</v>
      </c>
      <c r="C5482" t="s">
        <v>1907</v>
      </c>
      <c r="D5482" t="s">
        <v>1807</v>
      </c>
    </row>
    <row r="5483" spans="1:4" x14ac:dyDescent="0.2">
      <c r="A5483" t="s">
        <v>7131</v>
      </c>
      <c r="B5483" s="2">
        <v>43113</v>
      </c>
      <c r="C5483" t="s">
        <v>1905</v>
      </c>
      <c r="D5483" t="s">
        <v>1810</v>
      </c>
    </row>
    <row r="5484" spans="1:4" x14ac:dyDescent="0.2">
      <c r="A5484" t="s">
        <v>7132</v>
      </c>
      <c r="B5484" s="2">
        <v>43047</v>
      </c>
      <c r="C5484" t="s">
        <v>1867</v>
      </c>
      <c r="D5484" t="s">
        <v>1810</v>
      </c>
    </row>
    <row r="5485" spans="1:4" x14ac:dyDescent="0.2">
      <c r="A5485" t="s">
        <v>1235</v>
      </c>
      <c r="B5485" s="2">
        <v>43161</v>
      </c>
      <c r="C5485" t="s">
        <v>7133</v>
      </c>
      <c r="D5485" t="s">
        <v>1031</v>
      </c>
    </row>
    <row r="5486" spans="1:4" x14ac:dyDescent="0.2">
      <c r="A5486" t="s">
        <v>1237</v>
      </c>
      <c r="B5486" s="2">
        <v>43224</v>
      </c>
      <c r="C5486" t="s">
        <v>2342</v>
      </c>
      <c r="D5486" t="s">
        <v>1807</v>
      </c>
    </row>
    <row r="5487" spans="1:4" x14ac:dyDescent="0.2">
      <c r="A5487" t="s">
        <v>7134</v>
      </c>
      <c r="B5487" s="2">
        <v>42956</v>
      </c>
      <c r="C5487" t="s">
        <v>1814</v>
      </c>
      <c r="D5487" t="s">
        <v>1807</v>
      </c>
    </row>
    <row r="5488" spans="1:4" x14ac:dyDescent="0.2">
      <c r="A5488" t="s">
        <v>1239</v>
      </c>
      <c r="B5488" s="2">
        <v>43153</v>
      </c>
      <c r="C5488" t="s">
        <v>1836</v>
      </c>
      <c r="D5488" t="s">
        <v>1031</v>
      </c>
    </row>
    <row r="5489" spans="1:4" x14ac:dyDescent="0.2">
      <c r="A5489" t="s">
        <v>7135</v>
      </c>
      <c r="B5489" s="2">
        <v>43175</v>
      </c>
      <c r="C5489" t="s">
        <v>7136</v>
      </c>
      <c r="D5489" t="s">
        <v>1031</v>
      </c>
    </row>
    <row r="5490" spans="1:4" x14ac:dyDescent="0.2">
      <c r="A5490" t="s">
        <v>7137</v>
      </c>
      <c r="B5490" s="2">
        <v>43231</v>
      </c>
      <c r="C5490" t="s">
        <v>2291</v>
      </c>
      <c r="D5490" t="s">
        <v>1807</v>
      </c>
    </row>
    <row r="5491" spans="1:4" x14ac:dyDescent="0.2">
      <c r="A5491" t="s">
        <v>7138</v>
      </c>
      <c r="B5491" s="2">
        <v>43137</v>
      </c>
      <c r="C5491" t="s">
        <v>1803</v>
      </c>
      <c r="D5491" t="s">
        <v>1804</v>
      </c>
    </row>
    <row r="5492" spans="1:4" x14ac:dyDescent="0.2">
      <c r="A5492" t="s">
        <v>1241</v>
      </c>
      <c r="B5492" s="2">
        <v>43141</v>
      </c>
      <c r="C5492" t="s">
        <v>1930</v>
      </c>
      <c r="D5492" t="s">
        <v>1807</v>
      </c>
    </row>
    <row r="5493" spans="1:4" x14ac:dyDescent="0.2">
      <c r="A5493" t="s">
        <v>7139</v>
      </c>
      <c r="B5493" s="2">
        <v>42986</v>
      </c>
      <c r="C5493" t="s">
        <v>1836</v>
      </c>
      <c r="D5493" t="s">
        <v>1031</v>
      </c>
    </row>
    <row r="5494" spans="1:4" x14ac:dyDescent="0.2">
      <c r="A5494" t="s">
        <v>7140</v>
      </c>
      <c r="B5494" s="2">
        <v>43183</v>
      </c>
      <c r="C5494" t="s">
        <v>1863</v>
      </c>
      <c r="D5494" t="s">
        <v>1804</v>
      </c>
    </row>
    <row r="5495" spans="1:4" x14ac:dyDescent="0.2">
      <c r="A5495" t="s">
        <v>7141</v>
      </c>
      <c r="B5495" s="2">
        <v>43185</v>
      </c>
      <c r="C5495" t="s">
        <v>1885</v>
      </c>
      <c r="D5495" t="s">
        <v>1807</v>
      </c>
    </row>
    <row r="5496" spans="1:4" x14ac:dyDescent="0.2">
      <c r="A5496" t="s">
        <v>7142</v>
      </c>
      <c r="B5496" s="2">
        <v>42943</v>
      </c>
      <c r="C5496" t="s">
        <v>1907</v>
      </c>
      <c r="D5496" t="s">
        <v>1810</v>
      </c>
    </row>
    <row r="5497" spans="1:4" x14ac:dyDescent="0.2">
      <c r="A5497" t="s">
        <v>1243</v>
      </c>
      <c r="B5497" s="2">
        <v>43195</v>
      </c>
      <c r="C5497" t="s">
        <v>7143</v>
      </c>
      <c r="D5497" t="s">
        <v>1031</v>
      </c>
    </row>
    <row r="5498" spans="1:4" x14ac:dyDescent="0.2">
      <c r="A5498" t="s">
        <v>7144</v>
      </c>
      <c r="B5498" s="2">
        <v>43234</v>
      </c>
      <c r="C5498" t="s">
        <v>1836</v>
      </c>
      <c r="D5498" t="s">
        <v>1810</v>
      </c>
    </row>
    <row r="5499" spans="1:4" x14ac:dyDescent="0.2">
      <c r="A5499" t="s">
        <v>7145</v>
      </c>
      <c r="B5499" s="2">
        <v>43121</v>
      </c>
      <c r="C5499" t="s">
        <v>1803</v>
      </c>
      <c r="D5499" t="s">
        <v>1804</v>
      </c>
    </row>
    <row r="5500" spans="1:4" x14ac:dyDescent="0.2">
      <c r="A5500" t="s">
        <v>7146</v>
      </c>
      <c r="B5500" s="2">
        <v>43153</v>
      </c>
      <c r="C5500" t="s">
        <v>1836</v>
      </c>
      <c r="D5500" t="s">
        <v>1031</v>
      </c>
    </row>
    <row r="5501" spans="1:4" x14ac:dyDescent="0.2">
      <c r="A5501" t="s">
        <v>7147</v>
      </c>
      <c r="B5501" s="2">
        <v>43033</v>
      </c>
      <c r="C5501" t="s">
        <v>2318</v>
      </c>
      <c r="D5501" t="s">
        <v>1807</v>
      </c>
    </row>
    <row r="5502" spans="1:4" x14ac:dyDescent="0.2">
      <c r="A5502" t="s">
        <v>7148</v>
      </c>
      <c r="B5502" s="2">
        <v>43002</v>
      </c>
      <c r="C5502" t="s">
        <v>1894</v>
      </c>
      <c r="D5502" t="s">
        <v>1804</v>
      </c>
    </row>
    <row r="5503" spans="1:4" x14ac:dyDescent="0.2">
      <c r="A5503" t="s">
        <v>7149</v>
      </c>
      <c r="B5503" s="2">
        <v>43116</v>
      </c>
      <c r="C5503" t="s">
        <v>1803</v>
      </c>
      <c r="D5503" t="s">
        <v>1804</v>
      </c>
    </row>
    <row r="5504" spans="1:4" x14ac:dyDescent="0.2">
      <c r="A5504" t="s">
        <v>1245</v>
      </c>
      <c r="B5504" s="2">
        <v>43220</v>
      </c>
      <c r="C5504" t="s">
        <v>7150</v>
      </c>
      <c r="D5504" t="s">
        <v>1031</v>
      </c>
    </row>
    <row r="5505" spans="1:4" x14ac:dyDescent="0.2">
      <c r="A5505" t="s">
        <v>7151</v>
      </c>
      <c r="B5505" s="2">
        <v>43236</v>
      </c>
      <c r="C5505" t="s">
        <v>2242</v>
      </c>
      <c r="D5505" t="s">
        <v>1807</v>
      </c>
    </row>
    <row r="5506" spans="1:4" x14ac:dyDescent="0.2">
      <c r="A5506" t="s">
        <v>7152</v>
      </c>
      <c r="B5506" s="2">
        <v>43065</v>
      </c>
      <c r="C5506" t="s">
        <v>2242</v>
      </c>
      <c r="D5506" t="s">
        <v>1031</v>
      </c>
    </row>
    <row r="5507" spans="1:4" x14ac:dyDescent="0.2">
      <c r="A5507" t="s">
        <v>7153</v>
      </c>
      <c r="B5507" s="2">
        <v>43167</v>
      </c>
      <c r="C5507" t="s">
        <v>1930</v>
      </c>
      <c r="D5507" t="s">
        <v>1807</v>
      </c>
    </row>
    <row r="5508" spans="1:4" x14ac:dyDescent="0.2">
      <c r="A5508" t="s">
        <v>7154</v>
      </c>
      <c r="B5508" s="2">
        <v>43152</v>
      </c>
      <c r="C5508" t="s">
        <v>1930</v>
      </c>
      <c r="D5508" t="s">
        <v>1807</v>
      </c>
    </row>
    <row r="5509" spans="1:4" x14ac:dyDescent="0.2">
      <c r="A5509" t="s">
        <v>7155</v>
      </c>
      <c r="B5509" s="2">
        <v>43034</v>
      </c>
      <c r="C5509" t="s">
        <v>2576</v>
      </c>
      <c r="D5509" t="s">
        <v>1810</v>
      </c>
    </row>
    <row r="5510" spans="1:4" x14ac:dyDescent="0.2">
      <c r="A5510" t="s">
        <v>7156</v>
      </c>
      <c r="B5510" s="2">
        <v>43062</v>
      </c>
      <c r="C5510" t="s">
        <v>1867</v>
      </c>
      <c r="D5510" t="s">
        <v>1810</v>
      </c>
    </row>
    <row r="5511" spans="1:4" x14ac:dyDescent="0.2">
      <c r="A5511" t="s">
        <v>7157</v>
      </c>
      <c r="B5511" s="2">
        <v>43204</v>
      </c>
      <c r="C5511" t="s">
        <v>2115</v>
      </c>
      <c r="D5511" t="s">
        <v>1804</v>
      </c>
    </row>
    <row r="5512" spans="1:4" x14ac:dyDescent="0.2">
      <c r="A5512" t="s">
        <v>1247</v>
      </c>
      <c r="B5512" s="2">
        <v>43246</v>
      </c>
      <c r="C5512" t="s">
        <v>1928</v>
      </c>
      <c r="D5512" t="s">
        <v>1840</v>
      </c>
    </row>
    <row r="5513" spans="1:4" x14ac:dyDescent="0.2">
      <c r="A5513" t="s">
        <v>7158</v>
      </c>
      <c r="B5513" s="2">
        <v>43242</v>
      </c>
      <c r="C5513" t="s">
        <v>1930</v>
      </c>
      <c r="D5513" t="s">
        <v>1807</v>
      </c>
    </row>
    <row r="5514" spans="1:4" x14ac:dyDescent="0.2">
      <c r="A5514" t="s">
        <v>7159</v>
      </c>
      <c r="B5514" s="2">
        <v>42939</v>
      </c>
      <c r="C5514" t="s">
        <v>3561</v>
      </c>
      <c r="D5514" t="s">
        <v>1807</v>
      </c>
    </row>
    <row r="5515" spans="1:4" x14ac:dyDescent="0.2">
      <c r="A5515" t="s">
        <v>7160</v>
      </c>
      <c r="B5515" s="2">
        <v>43108</v>
      </c>
      <c r="C5515" t="s">
        <v>1831</v>
      </c>
      <c r="D5515" t="s">
        <v>160</v>
      </c>
    </row>
    <row r="5516" spans="1:4" x14ac:dyDescent="0.2">
      <c r="A5516" t="s">
        <v>7161</v>
      </c>
      <c r="B5516" s="2">
        <v>43039</v>
      </c>
      <c r="C5516" t="s">
        <v>2131</v>
      </c>
      <c r="D5516" t="s">
        <v>1840</v>
      </c>
    </row>
    <row r="5517" spans="1:4" x14ac:dyDescent="0.2">
      <c r="A5517" t="s">
        <v>7162</v>
      </c>
      <c r="B5517" s="2">
        <v>43038</v>
      </c>
      <c r="C5517" t="s">
        <v>1885</v>
      </c>
      <c r="D5517" t="s">
        <v>1807</v>
      </c>
    </row>
    <row r="5518" spans="1:4" x14ac:dyDescent="0.2">
      <c r="A5518" t="s">
        <v>7163</v>
      </c>
      <c r="B5518" s="2">
        <v>43172</v>
      </c>
      <c r="C5518" t="s">
        <v>1930</v>
      </c>
      <c r="D5518" t="s">
        <v>1810</v>
      </c>
    </row>
    <row r="5519" spans="1:4" x14ac:dyDescent="0.2">
      <c r="A5519" t="s">
        <v>7164</v>
      </c>
      <c r="B5519" s="2">
        <v>43166</v>
      </c>
      <c r="C5519" t="s">
        <v>1987</v>
      </c>
      <c r="D5519" t="s">
        <v>1810</v>
      </c>
    </row>
    <row r="5520" spans="1:4" x14ac:dyDescent="0.2">
      <c r="A5520" t="s">
        <v>7165</v>
      </c>
      <c r="B5520" s="2">
        <v>43088</v>
      </c>
      <c r="C5520" t="s">
        <v>1902</v>
      </c>
      <c r="D5520" t="s">
        <v>1810</v>
      </c>
    </row>
    <row r="5521" spans="1:4" x14ac:dyDescent="0.2">
      <c r="A5521" t="s">
        <v>7166</v>
      </c>
      <c r="B5521" s="2">
        <v>43209</v>
      </c>
      <c r="C5521" t="s">
        <v>1867</v>
      </c>
      <c r="D5521" t="s">
        <v>1849</v>
      </c>
    </row>
    <row r="5522" spans="1:4" x14ac:dyDescent="0.2">
      <c r="A5522" t="s">
        <v>7167</v>
      </c>
      <c r="B5522" s="2">
        <v>42956</v>
      </c>
      <c r="C5522" t="s">
        <v>3101</v>
      </c>
      <c r="D5522" t="s">
        <v>1031</v>
      </c>
    </row>
    <row r="5523" spans="1:4" x14ac:dyDescent="0.2">
      <c r="A5523" t="s">
        <v>7168</v>
      </c>
      <c r="B5523" s="2">
        <v>43146</v>
      </c>
      <c r="C5523" t="s">
        <v>1825</v>
      </c>
      <c r="D5523" t="s">
        <v>1810</v>
      </c>
    </row>
    <row r="5524" spans="1:4" x14ac:dyDescent="0.2">
      <c r="A5524" t="s">
        <v>7169</v>
      </c>
      <c r="B5524" s="2">
        <v>43198</v>
      </c>
      <c r="C5524" t="s">
        <v>2048</v>
      </c>
      <c r="D5524" t="s">
        <v>1810</v>
      </c>
    </row>
    <row r="5525" spans="1:4" x14ac:dyDescent="0.2">
      <c r="A5525" t="s">
        <v>7170</v>
      </c>
      <c r="B5525" s="2">
        <v>42954</v>
      </c>
      <c r="C5525" t="s">
        <v>1907</v>
      </c>
      <c r="D5525" t="s">
        <v>1810</v>
      </c>
    </row>
    <row r="5526" spans="1:4" x14ac:dyDescent="0.2">
      <c r="A5526" t="s">
        <v>1250</v>
      </c>
      <c r="B5526" s="2">
        <v>43069</v>
      </c>
      <c r="C5526" t="s">
        <v>2535</v>
      </c>
      <c r="D5526" t="s">
        <v>1807</v>
      </c>
    </row>
    <row r="5527" spans="1:4" x14ac:dyDescent="0.2">
      <c r="A5527" t="s">
        <v>7171</v>
      </c>
      <c r="B5527" s="2">
        <v>43185</v>
      </c>
      <c r="C5527" t="s">
        <v>1836</v>
      </c>
      <c r="D5527" t="s">
        <v>1031</v>
      </c>
    </row>
    <row r="5528" spans="1:4" x14ac:dyDescent="0.2">
      <c r="A5528" t="s">
        <v>7172</v>
      </c>
      <c r="B5528" s="2">
        <v>43163</v>
      </c>
      <c r="C5528" t="s">
        <v>1885</v>
      </c>
      <c r="D5528" t="s">
        <v>1807</v>
      </c>
    </row>
    <row r="5529" spans="1:4" x14ac:dyDescent="0.2">
      <c r="A5529" t="s">
        <v>7173</v>
      </c>
      <c r="B5529" s="2">
        <v>43108</v>
      </c>
      <c r="C5529" t="s">
        <v>1825</v>
      </c>
      <c r="D5529" t="s">
        <v>1840</v>
      </c>
    </row>
    <row r="5530" spans="1:4" x14ac:dyDescent="0.2">
      <c r="A5530" t="s">
        <v>7174</v>
      </c>
      <c r="B5530" s="2">
        <v>43172</v>
      </c>
      <c r="C5530" t="s">
        <v>2019</v>
      </c>
      <c r="D5530" t="s">
        <v>1813</v>
      </c>
    </row>
    <row r="5531" spans="1:4" x14ac:dyDescent="0.2">
      <c r="A5531" t="s">
        <v>1252</v>
      </c>
      <c r="B5531" s="2">
        <v>43161</v>
      </c>
      <c r="C5531" t="s">
        <v>7175</v>
      </c>
      <c r="D5531" t="s">
        <v>1840</v>
      </c>
    </row>
    <row r="5532" spans="1:4" x14ac:dyDescent="0.2">
      <c r="A5532" t="s">
        <v>7176</v>
      </c>
      <c r="B5532" s="2">
        <v>43095</v>
      </c>
      <c r="C5532" t="s">
        <v>3163</v>
      </c>
      <c r="D5532" t="s">
        <v>1813</v>
      </c>
    </row>
    <row r="5533" spans="1:4" x14ac:dyDescent="0.2">
      <c r="A5533" t="s">
        <v>7177</v>
      </c>
      <c r="B5533" s="2">
        <v>43145</v>
      </c>
      <c r="C5533" t="s">
        <v>1921</v>
      </c>
      <c r="D5533" t="s">
        <v>1810</v>
      </c>
    </row>
    <row r="5534" spans="1:4" x14ac:dyDescent="0.2">
      <c r="A5534" t="s">
        <v>7178</v>
      </c>
      <c r="B5534" s="2">
        <v>43063</v>
      </c>
      <c r="C5534" t="s">
        <v>1905</v>
      </c>
      <c r="D5534" t="s">
        <v>1810</v>
      </c>
    </row>
    <row r="5535" spans="1:4" x14ac:dyDescent="0.2">
      <c r="A5535" t="s">
        <v>7179</v>
      </c>
      <c r="B5535" s="2">
        <v>43224</v>
      </c>
      <c r="C5535" t="s">
        <v>1905</v>
      </c>
      <c r="D5535" t="s">
        <v>1810</v>
      </c>
    </row>
    <row r="5536" spans="1:4" x14ac:dyDescent="0.2">
      <c r="A5536" t="s">
        <v>1254</v>
      </c>
      <c r="B5536" s="2">
        <v>42989</v>
      </c>
      <c r="C5536" t="s">
        <v>1816</v>
      </c>
      <c r="D5536" t="s">
        <v>1810</v>
      </c>
    </row>
    <row r="5537" spans="1:4" x14ac:dyDescent="0.2">
      <c r="A5537" t="s">
        <v>1256</v>
      </c>
      <c r="B5537" s="2">
        <v>43088</v>
      </c>
      <c r="C5537" t="s">
        <v>7180</v>
      </c>
      <c r="D5537" t="s">
        <v>1031</v>
      </c>
    </row>
    <row r="5538" spans="1:4" x14ac:dyDescent="0.2">
      <c r="A5538" t="s">
        <v>1258</v>
      </c>
      <c r="B5538" s="2">
        <v>43200</v>
      </c>
      <c r="C5538" t="s">
        <v>1816</v>
      </c>
      <c r="D5538" t="s">
        <v>1840</v>
      </c>
    </row>
    <row r="5539" spans="1:4" x14ac:dyDescent="0.2">
      <c r="A5539" t="s">
        <v>7181</v>
      </c>
      <c r="B5539" s="2">
        <v>43158</v>
      </c>
      <c r="C5539" t="s">
        <v>1854</v>
      </c>
      <c r="D5539" t="s">
        <v>1840</v>
      </c>
    </row>
    <row r="5540" spans="1:4" x14ac:dyDescent="0.2">
      <c r="A5540" t="s">
        <v>7182</v>
      </c>
      <c r="B5540" s="2">
        <v>43018</v>
      </c>
      <c r="C5540" t="s">
        <v>1889</v>
      </c>
      <c r="D5540" t="s">
        <v>1807</v>
      </c>
    </row>
    <row r="5541" spans="1:4" x14ac:dyDescent="0.2">
      <c r="A5541" t="s">
        <v>1260</v>
      </c>
      <c r="B5541" s="2">
        <v>43185</v>
      </c>
      <c r="C5541" t="s">
        <v>1816</v>
      </c>
      <c r="D5541" t="s">
        <v>1849</v>
      </c>
    </row>
    <row r="5542" spans="1:4" x14ac:dyDescent="0.2">
      <c r="A5542" t="s">
        <v>7183</v>
      </c>
      <c r="B5542" s="2">
        <v>42921</v>
      </c>
      <c r="C5542" t="s">
        <v>4061</v>
      </c>
      <c r="D5542" t="s">
        <v>1807</v>
      </c>
    </row>
    <row r="5543" spans="1:4" x14ac:dyDescent="0.2">
      <c r="A5543" t="s">
        <v>7184</v>
      </c>
      <c r="B5543" s="2">
        <v>43206</v>
      </c>
      <c r="C5543" t="s">
        <v>2048</v>
      </c>
      <c r="D5543" t="s">
        <v>1829</v>
      </c>
    </row>
    <row r="5544" spans="1:4" x14ac:dyDescent="0.2">
      <c r="A5544" t="s">
        <v>7185</v>
      </c>
      <c r="B5544" s="2">
        <v>43179</v>
      </c>
      <c r="C5544" t="s">
        <v>1907</v>
      </c>
      <c r="D5544" t="s">
        <v>1807</v>
      </c>
    </row>
    <row r="5545" spans="1:4" x14ac:dyDescent="0.2">
      <c r="A5545" t="s">
        <v>7186</v>
      </c>
      <c r="B5545" s="2">
        <v>43220</v>
      </c>
      <c r="C5545" t="s">
        <v>7187</v>
      </c>
      <c r="D5545" t="s">
        <v>1840</v>
      </c>
    </row>
    <row r="5546" spans="1:4" x14ac:dyDescent="0.2">
      <c r="A5546" t="s">
        <v>7188</v>
      </c>
      <c r="B5546" s="2">
        <v>42968</v>
      </c>
      <c r="C5546" t="s">
        <v>1892</v>
      </c>
      <c r="D5546" t="s">
        <v>1840</v>
      </c>
    </row>
    <row r="5547" spans="1:4" x14ac:dyDescent="0.2">
      <c r="A5547" t="s">
        <v>7189</v>
      </c>
      <c r="B5547" s="2">
        <v>43193</v>
      </c>
      <c r="C5547" t="s">
        <v>1832</v>
      </c>
      <c r="D5547" t="s">
        <v>1031</v>
      </c>
    </row>
    <row r="5548" spans="1:4" x14ac:dyDescent="0.2">
      <c r="A5548" t="s">
        <v>7190</v>
      </c>
      <c r="B5548" s="2">
        <v>43185</v>
      </c>
      <c r="C5548" t="s">
        <v>1905</v>
      </c>
      <c r="D5548" t="s">
        <v>1840</v>
      </c>
    </row>
    <row r="5549" spans="1:4" x14ac:dyDescent="0.2">
      <c r="A5549" t="s">
        <v>7191</v>
      </c>
      <c r="B5549" s="2">
        <v>43117</v>
      </c>
      <c r="C5549" t="s">
        <v>1816</v>
      </c>
      <c r="D5549" t="s">
        <v>1840</v>
      </c>
    </row>
    <row r="5550" spans="1:4" x14ac:dyDescent="0.2">
      <c r="A5550" t="s">
        <v>1262</v>
      </c>
      <c r="B5550" s="2">
        <v>43185</v>
      </c>
      <c r="C5550" t="s">
        <v>7192</v>
      </c>
      <c r="D5550" t="s">
        <v>1807</v>
      </c>
    </row>
    <row r="5551" spans="1:4" x14ac:dyDescent="0.2">
      <c r="A5551" t="s">
        <v>7193</v>
      </c>
      <c r="B5551" s="2">
        <v>43238</v>
      </c>
      <c r="C5551" t="s">
        <v>1832</v>
      </c>
      <c r="D5551" t="s">
        <v>1807</v>
      </c>
    </row>
    <row r="5552" spans="1:4" x14ac:dyDescent="0.2">
      <c r="A5552" t="s">
        <v>7194</v>
      </c>
      <c r="B5552" s="2">
        <v>43105</v>
      </c>
      <c r="C5552" t="s">
        <v>1836</v>
      </c>
      <c r="D5552" t="s">
        <v>1031</v>
      </c>
    </row>
    <row r="5553" spans="1:4" x14ac:dyDescent="0.2">
      <c r="A5553" t="s">
        <v>1264</v>
      </c>
      <c r="B5553" s="2">
        <v>43172</v>
      </c>
      <c r="C5553" t="s">
        <v>1816</v>
      </c>
      <c r="D5553" t="s">
        <v>1807</v>
      </c>
    </row>
    <row r="5554" spans="1:4" x14ac:dyDescent="0.2">
      <c r="A5554" t="s">
        <v>7195</v>
      </c>
      <c r="B5554" s="2">
        <v>43173</v>
      </c>
      <c r="C5554" t="s">
        <v>1930</v>
      </c>
      <c r="D5554" t="s">
        <v>1807</v>
      </c>
    </row>
    <row r="5555" spans="1:4" x14ac:dyDescent="0.2">
      <c r="A5555" t="s">
        <v>7196</v>
      </c>
      <c r="B5555" s="2">
        <v>43140</v>
      </c>
      <c r="C5555" t="s">
        <v>1831</v>
      </c>
      <c r="D5555" t="s">
        <v>1813</v>
      </c>
    </row>
    <row r="5556" spans="1:4" x14ac:dyDescent="0.2">
      <c r="A5556" t="s">
        <v>7197</v>
      </c>
      <c r="B5556" s="2">
        <v>43173</v>
      </c>
      <c r="C5556" t="s">
        <v>7198</v>
      </c>
      <c r="D5556" t="s">
        <v>1807</v>
      </c>
    </row>
    <row r="5557" spans="1:4" x14ac:dyDescent="0.2">
      <c r="A5557" t="s">
        <v>1266</v>
      </c>
      <c r="B5557" s="2">
        <v>43147</v>
      </c>
      <c r="C5557" t="s">
        <v>1814</v>
      </c>
      <c r="D5557" t="s">
        <v>1810</v>
      </c>
    </row>
    <row r="5558" spans="1:4" x14ac:dyDescent="0.2">
      <c r="A5558" t="s">
        <v>7199</v>
      </c>
      <c r="B5558" s="2">
        <v>43147</v>
      </c>
      <c r="C5558" t="s">
        <v>1809</v>
      </c>
      <c r="D5558" t="s">
        <v>1829</v>
      </c>
    </row>
    <row r="5559" spans="1:4" x14ac:dyDescent="0.2">
      <c r="A5559" t="s">
        <v>7200</v>
      </c>
      <c r="B5559" s="2">
        <v>42989</v>
      </c>
      <c r="C5559" t="s">
        <v>1897</v>
      </c>
      <c r="D5559" t="s">
        <v>1804</v>
      </c>
    </row>
    <row r="5560" spans="1:4" x14ac:dyDescent="0.2">
      <c r="A5560" t="s">
        <v>1268</v>
      </c>
      <c r="B5560" s="2">
        <v>43187</v>
      </c>
      <c r="C5560" t="s">
        <v>1836</v>
      </c>
      <c r="D5560" t="s">
        <v>1810</v>
      </c>
    </row>
    <row r="5561" spans="1:4" x14ac:dyDescent="0.2">
      <c r="A5561" t="s">
        <v>7201</v>
      </c>
      <c r="B5561" s="2">
        <v>43230</v>
      </c>
      <c r="C5561" t="s">
        <v>1930</v>
      </c>
      <c r="D5561" t="s">
        <v>1804</v>
      </c>
    </row>
    <row r="5562" spans="1:4" x14ac:dyDescent="0.2">
      <c r="A5562" t="s">
        <v>7202</v>
      </c>
      <c r="B5562" s="2">
        <v>43140</v>
      </c>
      <c r="C5562" t="s">
        <v>1836</v>
      </c>
      <c r="D5562" t="s">
        <v>1031</v>
      </c>
    </row>
    <row r="5563" spans="1:4" x14ac:dyDescent="0.2">
      <c r="A5563" t="s">
        <v>7203</v>
      </c>
      <c r="B5563" s="2">
        <v>43199</v>
      </c>
      <c r="C5563" t="s">
        <v>1863</v>
      </c>
      <c r="D5563" t="s">
        <v>1804</v>
      </c>
    </row>
    <row r="5564" spans="1:4" x14ac:dyDescent="0.2">
      <c r="A5564" t="s">
        <v>7204</v>
      </c>
      <c r="B5564" s="2">
        <v>43242</v>
      </c>
      <c r="C5564" t="s">
        <v>1928</v>
      </c>
      <c r="D5564" t="s">
        <v>1829</v>
      </c>
    </row>
    <row r="5565" spans="1:4" x14ac:dyDescent="0.2">
      <c r="A5565" t="s">
        <v>7205</v>
      </c>
      <c r="B5565" s="2">
        <v>43143</v>
      </c>
      <c r="C5565" t="s">
        <v>1809</v>
      </c>
      <c r="D5565" t="s">
        <v>1849</v>
      </c>
    </row>
    <row r="5566" spans="1:4" x14ac:dyDescent="0.2">
      <c r="A5566" t="s">
        <v>7206</v>
      </c>
      <c r="B5566" s="2">
        <v>43145</v>
      </c>
      <c r="C5566" t="s">
        <v>1816</v>
      </c>
      <c r="D5566" t="s">
        <v>1840</v>
      </c>
    </row>
    <row r="5567" spans="1:4" x14ac:dyDescent="0.2">
      <c r="A5567" t="s">
        <v>1270</v>
      </c>
      <c r="B5567" s="2">
        <v>43222</v>
      </c>
      <c r="C5567" t="s">
        <v>1836</v>
      </c>
      <c r="D5567" t="s">
        <v>1031</v>
      </c>
    </row>
    <row r="5568" spans="1:4" x14ac:dyDescent="0.2">
      <c r="A5568" t="s">
        <v>7207</v>
      </c>
      <c r="B5568" s="2">
        <v>43122</v>
      </c>
      <c r="C5568" t="s">
        <v>1836</v>
      </c>
      <c r="D5568" t="s">
        <v>1810</v>
      </c>
    </row>
    <row r="5569" spans="1:4" x14ac:dyDescent="0.2">
      <c r="A5569" t="s">
        <v>7208</v>
      </c>
      <c r="B5569" s="2">
        <v>43218</v>
      </c>
      <c r="C5569" t="s">
        <v>2503</v>
      </c>
      <c r="D5569" t="s">
        <v>160</v>
      </c>
    </row>
    <row r="5570" spans="1:4" x14ac:dyDescent="0.2">
      <c r="A5570" t="s">
        <v>7209</v>
      </c>
      <c r="B5570" s="2">
        <v>43132</v>
      </c>
      <c r="C5570" t="s">
        <v>1803</v>
      </c>
      <c r="D5570" t="s">
        <v>1804</v>
      </c>
    </row>
    <row r="5571" spans="1:4" x14ac:dyDescent="0.2">
      <c r="A5571" t="s">
        <v>7210</v>
      </c>
      <c r="B5571" s="2">
        <v>43192</v>
      </c>
      <c r="C5571" t="s">
        <v>1831</v>
      </c>
      <c r="D5571" t="s">
        <v>160</v>
      </c>
    </row>
    <row r="5572" spans="1:4" x14ac:dyDescent="0.2">
      <c r="A5572" t="s">
        <v>7211</v>
      </c>
      <c r="B5572" s="2">
        <v>43136</v>
      </c>
      <c r="C5572" t="s">
        <v>1836</v>
      </c>
      <c r="D5572" t="s">
        <v>1031</v>
      </c>
    </row>
    <row r="5573" spans="1:4" x14ac:dyDescent="0.2">
      <c r="A5573" t="s">
        <v>7212</v>
      </c>
      <c r="B5573" s="2">
        <v>43223</v>
      </c>
      <c r="C5573" t="s">
        <v>1814</v>
      </c>
      <c r="D5573" t="s">
        <v>1810</v>
      </c>
    </row>
    <row r="5574" spans="1:4" x14ac:dyDescent="0.2">
      <c r="A5574" t="s">
        <v>7213</v>
      </c>
      <c r="B5574" s="2">
        <v>43057</v>
      </c>
      <c r="C5574" t="s">
        <v>2679</v>
      </c>
      <c r="D5574" t="s">
        <v>1829</v>
      </c>
    </row>
    <row r="5575" spans="1:4" x14ac:dyDescent="0.2">
      <c r="A5575" t="s">
        <v>7214</v>
      </c>
      <c r="B5575" s="2">
        <v>43189</v>
      </c>
      <c r="C5575" t="s">
        <v>7215</v>
      </c>
      <c r="D5575" t="s">
        <v>1807</v>
      </c>
    </row>
    <row r="5576" spans="1:4" x14ac:dyDescent="0.2">
      <c r="A5576" t="s">
        <v>7216</v>
      </c>
      <c r="B5576" s="2">
        <v>43248</v>
      </c>
      <c r="C5576" t="s">
        <v>1867</v>
      </c>
      <c r="D5576" t="s">
        <v>1810</v>
      </c>
    </row>
    <row r="5577" spans="1:4" x14ac:dyDescent="0.2">
      <c r="A5577" t="s">
        <v>7217</v>
      </c>
      <c r="B5577" s="2">
        <v>43244</v>
      </c>
      <c r="C5577" t="s">
        <v>1863</v>
      </c>
      <c r="D5577" t="s">
        <v>1804</v>
      </c>
    </row>
    <row r="5578" spans="1:4" x14ac:dyDescent="0.2">
      <c r="A5578" t="s">
        <v>1272</v>
      </c>
      <c r="B5578" s="2">
        <v>43206</v>
      </c>
      <c r="C5578" t="s">
        <v>1816</v>
      </c>
      <c r="D5578" t="s">
        <v>1810</v>
      </c>
    </row>
    <row r="5579" spans="1:4" x14ac:dyDescent="0.2">
      <c r="A5579" t="s">
        <v>7218</v>
      </c>
      <c r="B5579" s="2">
        <v>43185</v>
      </c>
      <c r="C5579" t="s">
        <v>2115</v>
      </c>
      <c r="D5579" t="s">
        <v>1804</v>
      </c>
    </row>
    <row r="5580" spans="1:4" x14ac:dyDescent="0.2">
      <c r="A5580" t="s">
        <v>7219</v>
      </c>
      <c r="B5580" s="2">
        <v>43212</v>
      </c>
      <c r="C5580" t="s">
        <v>1930</v>
      </c>
      <c r="D5580" t="s">
        <v>1807</v>
      </c>
    </row>
    <row r="5581" spans="1:4" x14ac:dyDescent="0.2">
      <c r="A5581" t="s">
        <v>7220</v>
      </c>
      <c r="B5581" s="2">
        <v>43188</v>
      </c>
      <c r="C5581" t="s">
        <v>1836</v>
      </c>
      <c r="D5581" t="s">
        <v>1810</v>
      </c>
    </row>
    <row r="5582" spans="1:4" x14ac:dyDescent="0.2">
      <c r="A5582" t="s">
        <v>7221</v>
      </c>
      <c r="B5582" s="2">
        <v>43175</v>
      </c>
      <c r="C5582" t="s">
        <v>1816</v>
      </c>
      <c r="D5582" t="s">
        <v>1807</v>
      </c>
    </row>
    <row r="5583" spans="1:4" x14ac:dyDescent="0.2">
      <c r="A5583" t="s">
        <v>7222</v>
      </c>
      <c r="B5583" s="2">
        <v>43206</v>
      </c>
      <c r="C5583" t="s">
        <v>1905</v>
      </c>
      <c r="D5583" t="s">
        <v>1840</v>
      </c>
    </row>
    <row r="5584" spans="1:4" x14ac:dyDescent="0.2">
      <c r="A5584" t="s">
        <v>1274</v>
      </c>
      <c r="B5584" s="2">
        <v>43189</v>
      </c>
      <c r="C5584" t="s">
        <v>1836</v>
      </c>
      <c r="D5584" t="s">
        <v>1807</v>
      </c>
    </row>
    <row r="5585" spans="1:4" x14ac:dyDescent="0.2">
      <c r="A5585" t="s">
        <v>7223</v>
      </c>
      <c r="B5585" s="2">
        <v>43038</v>
      </c>
      <c r="C5585" t="s">
        <v>1803</v>
      </c>
      <c r="D5585" t="s">
        <v>1804</v>
      </c>
    </row>
    <row r="5586" spans="1:4" x14ac:dyDescent="0.2">
      <c r="A5586" t="s">
        <v>7224</v>
      </c>
      <c r="B5586" s="2">
        <v>42992</v>
      </c>
      <c r="C5586" t="s">
        <v>1892</v>
      </c>
      <c r="D5586" t="s">
        <v>1840</v>
      </c>
    </row>
    <row r="5587" spans="1:4" x14ac:dyDescent="0.2">
      <c r="A5587" t="s">
        <v>7225</v>
      </c>
      <c r="B5587" s="2">
        <v>43199</v>
      </c>
      <c r="C5587" t="s">
        <v>1996</v>
      </c>
      <c r="D5587" t="s">
        <v>1804</v>
      </c>
    </row>
    <row r="5588" spans="1:4" x14ac:dyDescent="0.2">
      <c r="A5588" t="s">
        <v>7226</v>
      </c>
      <c r="B5588" s="2">
        <v>43220</v>
      </c>
      <c r="C5588" t="s">
        <v>7227</v>
      </c>
      <c r="D5588" t="s">
        <v>1031</v>
      </c>
    </row>
    <row r="5589" spans="1:4" x14ac:dyDescent="0.2">
      <c r="A5589" t="s">
        <v>7228</v>
      </c>
      <c r="B5589" s="2">
        <v>43154</v>
      </c>
      <c r="C5589" t="s">
        <v>1816</v>
      </c>
      <c r="D5589" t="s">
        <v>1840</v>
      </c>
    </row>
    <row r="5590" spans="1:4" x14ac:dyDescent="0.2">
      <c r="A5590" t="s">
        <v>7229</v>
      </c>
      <c r="B5590" s="2">
        <v>42970</v>
      </c>
      <c r="C5590" t="s">
        <v>2096</v>
      </c>
      <c r="D5590" t="s">
        <v>1840</v>
      </c>
    </row>
    <row r="5591" spans="1:4" x14ac:dyDescent="0.2">
      <c r="A5591" t="s">
        <v>7230</v>
      </c>
      <c r="B5591" s="2">
        <v>43213</v>
      </c>
      <c r="C5591" t="s">
        <v>2000</v>
      </c>
      <c r="D5591" t="s">
        <v>1810</v>
      </c>
    </row>
    <row r="5592" spans="1:4" x14ac:dyDescent="0.2">
      <c r="A5592" t="s">
        <v>7231</v>
      </c>
      <c r="B5592" s="2">
        <v>43137</v>
      </c>
      <c r="C5592" t="s">
        <v>1812</v>
      </c>
      <c r="D5592" t="s">
        <v>1813</v>
      </c>
    </row>
    <row r="5593" spans="1:4" x14ac:dyDescent="0.2">
      <c r="A5593" t="s">
        <v>7232</v>
      </c>
      <c r="B5593" s="2">
        <v>42937</v>
      </c>
      <c r="C5593" t="s">
        <v>2679</v>
      </c>
      <c r="D5593" t="s">
        <v>1849</v>
      </c>
    </row>
    <row r="5594" spans="1:4" x14ac:dyDescent="0.2">
      <c r="A5594" t="s">
        <v>7233</v>
      </c>
      <c r="B5594" s="2">
        <v>42927</v>
      </c>
      <c r="C5594" t="s">
        <v>1919</v>
      </c>
      <c r="D5594" t="s">
        <v>160</v>
      </c>
    </row>
    <row r="5595" spans="1:4" x14ac:dyDescent="0.2">
      <c r="A5595" t="s">
        <v>7234</v>
      </c>
      <c r="B5595" s="2">
        <v>43243</v>
      </c>
      <c r="C5595" t="s">
        <v>2070</v>
      </c>
      <c r="D5595" t="s">
        <v>1813</v>
      </c>
    </row>
    <row r="5596" spans="1:4" x14ac:dyDescent="0.2">
      <c r="A5596" t="s">
        <v>7235</v>
      </c>
      <c r="B5596" s="2">
        <v>43110</v>
      </c>
      <c r="C5596" t="s">
        <v>1867</v>
      </c>
      <c r="D5596" t="s">
        <v>1804</v>
      </c>
    </row>
    <row r="5597" spans="1:4" x14ac:dyDescent="0.2">
      <c r="A5597" t="s">
        <v>7236</v>
      </c>
      <c r="B5597" s="2">
        <v>43237</v>
      </c>
      <c r="C5597" t="s">
        <v>3210</v>
      </c>
      <c r="D5597" t="s">
        <v>1807</v>
      </c>
    </row>
    <row r="5598" spans="1:4" x14ac:dyDescent="0.2">
      <c r="A5598" t="s">
        <v>7237</v>
      </c>
      <c r="B5598" s="2">
        <v>43069</v>
      </c>
      <c r="C5598" t="s">
        <v>1889</v>
      </c>
      <c r="D5598" t="s">
        <v>1810</v>
      </c>
    </row>
    <row r="5599" spans="1:4" x14ac:dyDescent="0.2">
      <c r="A5599" t="s">
        <v>7238</v>
      </c>
      <c r="B5599" s="2">
        <v>43139</v>
      </c>
      <c r="C5599" t="s">
        <v>1885</v>
      </c>
      <c r="D5599" t="s">
        <v>1807</v>
      </c>
    </row>
    <row r="5600" spans="1:4" x14ac:dyDescent="0.2">
      <c r="A5600" t="s">
        <v>7239</v>
      </c>
      <c r="B5600" s="2">
        <v>43052</v>
      </c>
      <c r="C5600" t="s">
        <v>1836</v>
      </c>
      <c r="D5600" t="s">
        <v>1807</v>
      </c>
    </row>
    <row r="5601" spans="1:4" x14ac:dyDescent="0.2">
      <c r="A5601" t="s">
        <v>1276</v>
      </c>
      <c r="B5601" s="2">
        <v>43234</v>
      </c>
      <c r="C5601" t="s">
        <v>1816</v>
      </c>
      <c r="D5601" t="s">
        <v>1810</v>
      </c>
    </row>
    <row r="5602" spans="1:4" x14ac:dyDescent="0.2">
      <c r="A5602" t="s">
        <v>1278</v>
      </c>
      <c r="B5602" s="2">
        <v>43249</v>
      </c>
      <c r="C5602" t="s">
        <v>2204</v>
      </c>
      <c r="D5602" t="s">
        <v>1807</v>
      </c>
    </row>
    <row r="5603" spans="1:4" x14ac:dyDescent="0.2">
      <c r="A5603" t="s">
        <v>1280</v>
      </c>
      <c r="B5603" s="2">
        <v>43192</v>
      </c>
      <c r="C5603" t="s">
        <v>7240</v>
      </c>
      <c r="D5603" t="s">
        <v>1031</v>
      </c>
    </row>
    <row r="5604" spans="1:4" x14ac:dyDescent="0.2">
      <c r="A5604" t="s">
        <v>7241</v>
      </c>
      <c r="B5604" s="2">
        <v>43119</v>
      </c>
      <c r="C5604" t="s">
        <v>1836</v>
      </c>
      <c r="D5604" t="s">
        <v>1807</v>
      </c>
    </row>
    <row r="5605" spans="1:4" x14ac:dyDescent="0.2">
      <c r="A5605" t="s">
        <v>7242</v>
      </c>
      <c r="B5605" s="2">
        <v>43159</v>
      </c>
      <c r="C5605" t="s">
        <v>1987</v>
      </c>
      <c r="D5605" t="s">
        <v>1807</v>
      </c>
    </row>
    <row r="5606" spans="1:4" x14ac:dyDescent="0.2">
      <c r="A5606" t="s">
        <v>7243</v>
      </c>
      <c r="B5606" s="2">
        <v>43219</v>
      </c>
      <c r="C5606" t="s">
        <v>2254</v>
      </c>
      <c r="D5606" t="s">
        <v>1807</v>
      </c>
    </row>
    <row r="5607" spans="1:4" x14ac:dyDescent="0.2">
      <c r="A5607" t="s">
        <v>7244</v>
      </c>
      <c r="B5607" s="2">
        <v>42993</v>
      </c>
      <c r="C5607" t="s">
        <v>1900</v>
      </c>
      <c r="D5607" t="s">
        <v>1031</v>
      </c>
    </row>
    <row r="5608" spans="1:4" x14ac:dyDescent="0.2">
      <c r="A5608" t="s">
        <v>7245</v>
      </c>
      <c r="B5608" s="2">
        <v>43095</v>
      </c>
      <c r="C5608" t="s">
        <v>1803</v>
      </c>
      <c r="D5608" t="s">
        <v>1804</v>
      </c>
    </row>
    <row r="5609" spans="1:4" x14ac:dyDescent="0.2">
      <c r="A5609" t="s">
        <v>7246</v>
      </c>
      <c r="B5609" s="2">
        <v>43236</v>
      </c>
      <c r="C5609" t="s">
        <v>1863</v>
      </c>
      <c r="D5609" t="s">
        <v>1804</v>
      </c>
    </row>
    <row r="5610" spans="1:4" x14ac:dyDescent="0.2">
      <c r="A5610" t="s">
        <v>7247</v>
      </c>
      <c r="B5610" s="2">
        <v>43203</v>
      </c>
      <c r="C5610" t="s">
        <v>1930</v>
      </c>
      <c r="D5610" t="s">
        <v>1807</v>
      </c>
    </row>
    <row r="5611" spans="1:4" x14ac:dyDescent="0.2">
      <c r="A5611" t="s">
        <v>7248</v>
      </c>
      <c r="B5611" s="2">
        <v>43040</v>
      </c>
      <c r="C5611" t="s">
        <v>1836</v>
      </c>
      <c r="D5611" t="s">
        <v>1031</v>
      </c>
    </row>
    <row r="5612" spans="1:4" x14ac:dyDescent="0.2">
      <c r="A5612" t="s">
        <v>7249</v>
      </c>
      <c r="B5612" s="2">
        <v>43035</v>
      </c>
      <c r="C5612" t="s">
        <v>2407</v>
      </c>
      <c r="D5612" t="s">
        <v>160</v>
      </c>
    </row>
    <row r="5613" spans="1:4" x14ac:dyDescent="0.2">
      <c r="A5613" t="s">
        <v>1283</v>
      </c>
      <c r="B5613" s="2">
        <v>42996</v>
      </c>
      <c r="C5613" t="s">
        <v>1816</v>
      </c>
      <c r="D5613" t="s">
        <v>1810</v>
      </c>
    </row>
    <row r="5614" spans="1:4" x14ac:dyDescent="0.2">
      <c r="A5614" t="s">
        <v>1285</v>
      </c>
      <c r="B5614" s="2">
        <v>43208</v>
      </c>
      <c r="C5614" t="s">
        <v>7250</v>
      </c>
      <c r="D5614" t="s">
        <v>1031</v>
      </c>
    </row>
    <row r="5615" spans="1:4" x14ac:dyDescent="0.2">
      <c r="A5615" t="s">
        <v>7251</v>
      </c>
      <c r="B5615" s="2">
        <v>43201</v>
      </c>
      <c r="C5615" t="s">
        <v>1836</v>
      </c>
      <c r="D5615" t="s">
        <v>1031</v>
      </c>
    </row>
    <row r="5616" spans="1:4" x14ac:dyDescent="0.2">
      <c r="A5616" t="s">
        <v>7252</v>
      </c>
      <c r="B5616" s="2">
        <v>43145</v>
      </c>
      <c r="C5616" t="s">
        <v>1867</v>
      </c>
      <c r="D5616" t="s">
        <v>1829</v>
      </c>
    </row>
    <row r="5617" spans="1:4" x14ac:dyDescent="0.2">
      <c r="A5617" t="s">
        <v>7253</v>
      </c>
      <c r="B5617" s="2">
        <v>43222</v>
      </c>
      <c r="C5617" t="s">
        <v>1836</v>
      </c>
      <c r="D5617" t="s">
        <v>1810</v>
      </c>
    </row>
    <row r="5618" spans="1:4" x14ac:dyDescent="0.2">
      <c r="A5618" t="s">
        <v>7254</v>
      </c>
      <c r="B5618" s="2">
        <v>43102</v>
      </c>
      <c r="C5618" t="s">
        <v>1885</v>
      </c>
      <c r="D5618" t="s">
        <v>1807</v>
      </c>
    </row>
    <row r="5619" spans="1:4" x14ac:dyDescent="0.2">
      <c r="A5619" t="s">
        <v>7255</v>
      </c>
      <c r="B5619" s="2">
        <v>42956</v>
      </c>
      <c r="C5619" t="s">
        <v>1885</v>
      </c>
      <c r="D5619" t="s">
        <v>1031</v>
      </c>
    </row>
    <row r="5620" spans="1:4" x14ac:dyDescent="0.2">
      <c r="A5620" t="s">
        <v>1287</v>
      </c>
      <c r="B5620" s="2">
        <v>43162</v>
      </c>
      <c r="C5620" t="s">
        <v>1825</v>
      </c>
      <c r="D5620" t="s">
        <v>1810</v>
      </c>
    </row>
    <row r="5621" spans="1:4" x14ac:dyDescent="0.2">
      <c r="A5621" t="s">
        <v>7256</v>
      </c>
      <c r="B5621" s="2">
        <v>43248</v>
      </c>
      <c r="C5621" t="s">
        <v>1836</v>
      </c>
      <c r="D5621" t="s">
        <v>1031</v>
      </c>
    </row>
    <row r="5622" spans="1:4" x14ac:dyDescent="0.2">
      <c r="A5622" t="s">
        <v>7257</v>
      </c>
      <c r="B5622" s="2">
        <v>43063</v>
      </c>
      <c r="C5622" t="s">
        <v>1867</v>
      </c>
      <c r="D5622" t="s">
        <v>1840</v>
      </c>
    </row>
    <row r="5623" spans="1:4" x14ac:dyDescent="0.2">
      <c r="A5623" t="s">
        <v>7258</v>
      </c>
      <c r="B5623" s="2">
        <v>43195</v>
      </c>
      <c r="C5623" t="s">
        <v>1816</v>
      </c>
      <c r="D5623" t="s">
        <v>1807</v>
      </c>
    </row>
    <row r="5624" spans="1:4" x14ac:dyDescent="0.2">
      <c r="A5624" t="s">
        <v>7259</v>
      </c>
      <c r="B5624" s="2">
        <v>42984</v>
      </c>
      <c r="C5624" t="s">
        <v>1836</v>
      </c>
      <c r="D5624" t="s">
        <v>1031</v>
      </c>
    </row>
    <row r="5625" spans="1:4" x14ac:dyDescent="0.2">
      <c r="A5625" t="s">
        <v>7260</v>
      </c>
      <c r="B5625" s="2">
        <v>43110</v>
      </c>
      <c r="C5625" t="s">
        <v>1836</v>
      </c>
      <c r="D5625" t="s">
        <v>1031</v>
      </c>
    </row>
    <row r="5626" spans="1:4" x14ac:dyDescent="0.2">
      <c r="A5626" t="s">
        <v>7261</v>
      </c>
      <c r="B5626" s="2">
        <v>43130</v>
      </c>
      <c r="C5626" t="s">
        <v>1885</v>
      </c>
      <c r="D5626" t="s">
        <v>1810</v>
      </c>
    </row>
    <row r="5627" spans="1:4" x14ac:dyDescent="0.2">
      <c r="A5627" t="s">
        <v>1289</v>
      </c>
      <c r="B5627" s="2">
        <v>43209</v>
      </c>
      <c r="C5627" t="s">
        <v>3092</v>
      </c>
      <c r="D5627" t="s">
        <v>1813</v>
      </c>
    </row>
    <row r="5628" spans="1:4" x14ac:dyDescent="0.2">
      <c r="A5628" t="s">
        <v>7262</v>
      </c>
      <c r="B5628" s="2">
        <v>43147</v>
      </c>
      <c r="C5628" t="s">
        <v>1836</v>
      </c>
      <c r="D5628" t="s">
        <v>1031</v>
      </c>
    </row>
    <row r="5629" spans="1:4" x14ac:dyDescent="0.2">
      <c r="A5629" t="s">
        <v>7263</v>
      </c>
      <c r="B5629" s="2">
        <v>43187</v>
      </c>
      <c r="C5629" t="s">
        <v>1816</v>
      </c>
      <c r="D5629" t="s">
        <v>1840</v>
      </c>
    </row>
    <row r="5630" spans="1:4" x14ac:dyDescent="0.2">
      <c r="A5630" t="s">
        <v>7264</v>
      </c>
      <c r="B5630" s="2">
        <v>43193</v>
      </c>
      <c r="C5630" t="s">
        <v>1836</v>
      </c>
      <c r="D5630" t="s">
        <v>1031</v>
      </c>
    </row>
    <row r="5631" spans="1:4" x14ac:dyDescent="0.2">
      <c r="A5631" t="s">
        <v>7265</v>
      </c>
      <c r="B5631" s="2">
        <v>43192</v>
      </c>
      <c r="C5631" t="s">
        <v>3090</v>
      </c>
      <c r="D5631" t="s">
        <v>1807</v>
      </c>
    </row>
    <row r="5632" spans="1:4" x14ac:dyDescent="0.2">
      <c r="A5632" t="s">
        <v>7266</v>
      </c>
      <c r="B5632" s="2">
        <v>42975</v>
      </c>
      <c r="C5632" t="s">
        <v>1825</v>
      </c>
      <c r="D5632" t="s">
        <v>1810</v>
      </c>
    </row>
    <row r="5633" spans="1:4" x14ac:dyDescent="0.2">
      <c r="A5633" t="s">
        <v>7267</v>
      </c>
      <c r="B5633" s="2">
        <v>42957</v>
      </c>
      <c r="C5633" t="s">
        <v>2576</v>
      </c>
      <c r="D5633" t="s">
        <v>1031</v>
      </c>
    </row>
    <row r="5634" spans="1:4" x14ac:dyDescent="0.2">
      <c r="A5634" t="s">
        <v>7268</v>
      </c>
      <c r="B5634" s="2">
        <v>43213</v>
      </c>
      <c r="C5634" t="s">
        <v>1863</v>
      </c>
      <c r="D5634" t="s">
        <v>1804</v>
      </c>
    </row>
    <row r="5635" spans="1:4" x14ac:dyDescent="0.2">
      <c r="A5635" t="s">
        <v>1291</v>
      </c>
      <c r="B5635" s="2">
        <v>43135</v>
      </c>
      <c r="C5635" t="s">
        <v>1865</v>
      </c>
      <c r="D5635" t="s">
        <v>1807</v>
      </c>
    </row>
    <row r="5636" spans="1:4" x14ac:dyDescent="0.2">
      <c r="A5636" t="s">
        <v>1293</v>
      </c>
      <c r="B5636" s="2">
        <v>43130</v>
      </c>
      <c r="C5636" t="s">
        <v>1816</v>
      </c>
      <c r="D5636" t="s">
        <v>1810</v>
      </c>
    </row>
    <row r="5637" spans="1:4" x14ac:dyDescent="0.2">
      <c r="A5637" t="s">
        <v>7269</v>
      </c>
      <c r="B5637" s="2">
        <v>43192</v>
      </c>
      <c r="C5637" t="s">
        <v>1930</v>
      </c>
      <c r="D5637" t="s">
        <v>1810</v>
      </c>
    </row>
    <row r="5638" spans="1:4" x14ac:dyDescent="0.2">
      <c r="A5638" t="s">
        <v>7270</v>
      </c>
      <c r="B5638" s="2">
        <v>43210</v>
      </c>
      <c r="C5638" t="s">
        <v>1825</v>
      </c>
      <c r="D5638" t="s">
        <v>1810</v>
      </c>
    </row>
    <row r="5639" spans="1:4" x14ac:dyDescent="0.2">
      <c r="A5639" t="s">
        <v>7271</v>
      </c>
      <c r="B5639" s="2">
        <v>43160</v>
      </c>
      <c r="C5639" t="s">
        <v>2056</v>
      </c>
      <c r="D5639" t="s">
        <v>1810</v>
      </c>
    </row>
    <row r="5640" spans="1:4" x14ac:dyDescent="0.2">
      <c r="A5640" t="s">
        <v>1295</v>
      </c>
      <c r="B5640" s="2">
        <v>43214</v>
      </c>
      <c r="C5640" t="s">
        <v>2831</v>
      </c>
      <c r="D5640" t="s">
        <v>1807</v>
      </c>
    </row>
    <row r="5641" spans="1:4" x14ac:dyDescent="0.2">
      <c r="A5641" t="s">
        <v>7272</v>
      </c>
      <c r="B5641" s="2">
        <v>43205</v>
      </c>
      <c r="C5641" t="s">
        <v>7273</v>
      </c>
      <c r="D5641" t="s">
        <v>1804</v>
      </c>
    </row>
    <row r="5642" spans="1:4" x14ac:dyDescent="0.2">
      <c r="A5642" t="s">
        <v>7274</v>
      </c>
      <c r="B5642" s="2">
        <v>43098</v>
      </c>
      <c r="C5642" t="s">
        <v>1831</v>
      </c>
      <c r="D5642" t="s">
        <v>160</v>
      </c>
    </row>
    <row r="5643" spans="1:4" x14ac:dyDescent="0.2">
      <c r="A5643" t="s">
        <v>7275</v>
      </c>
      <c r="B5643" s="2">
        <v>43053</v>
      </c>
      <c r="C5643" t="s">
        <v>1939</v>
      </c>
      <c r="D5643" t="s">
        <v>1810</v>
      </c>
    </row>
    <row r="5644" spans="1:4" x14ac:dyDescent="0.2">
      <c r="A5644" t="s">
        <v>7276</v>
      </c>
      <c r="B5644" s="2">
        <v>42965</v>
      </c>
      <c r="C5644" t="s">
        <v>1843</v>
      </c>
      <c r="D5644" t="s">
        <v>1031</v>
      </c>
    </row>
    <row r="5645" spans="1:4" x14ac:dyDescent="0.2">
      <c r="A5645" t="s">
        <v>7277</v>
      </c>
      <c r="B5645" s="2">
        <v>42943</v>
      </c>
      <c r="C5645" t="s">
        <v>1816</v>
      </c>
      <c r="D5645" t="s">
        <v>1840</v>
      </c>
    </row>
    <row r="5646" spans="1:4" x14ac:dyDescent="0.2">
      <c r="A5646" t="s">
        <v>7278</v>
      </c>
      <c r="B5646" s="2">
        <v>43178</v>
      </c>
      <c r="C5646" t="s">
        <v>2048</v>
      </c>
      <c r="D5646" t="s">
        <v>1031</v>
      </c>
    </row>
    <row r="5647" spans="1:4" x14ac:dyDescent="0.2">
      <c r="A5647" t="s">
        <v>7279</v>
      </c>
      <c r="B5647" s="2">
        <v>42974</v>
      </c>
      <c r="C5647" t="s">
        <v>1806</v>
      </c>
      <c r="D5647" t="s">
        <v>1807</v>
      </c>
    </row>
    <row r="5648" spans="1:4" x14ac:dyDescent="0.2">
      <c r="A5648" t="s">
        <v>7280</v>
      </c>
      <c r="B5648" s="2">
        <v>43194</v>
      </c>
      <c r="C5648" t="s">
        <v>2115</v>
      </c>
      <c r="D5648" t="s">
        <v>1804</v>
      </c>
    </row>
    <row r="5649" spans="1:4" x14ac:dyDescent="0.2">
      <c r="A5649" t="s">
        <v>7281</v>
      </c>
      <c r="B5649" s="2">
        <v>43026</v>
      </c>
      <c r="C5649" t="s">
        <v>1939</v>
      </c>
      <c r="D5649" t="s">
        <v>1810</v>
      </c>
    </row>
    <row r="5650" spans="1:4" x14ac:dyDescent="0.2">
      <c r="A5650" t="s">
        <v>7282</v>
      </c>
      <c r="B5650" s="2">
        <v>43069</v>
      </c>
      <c r="C5650" t="s">
        <v>1803</v>
      </c>
      <c r="D5650" t="s">
        <v>1804</v>
      </c>
    </row>
    <row r="5651" spans="1:4" x14ac:dyDescent="0.2">
      <c r="A5651" t="s">
        <v>7283</v>
      </c>
      <c r="B5651" s="2">
        <v>43146</v>
      </c>
      <c r="C5651" t="s">
        <v>4092</v>
      </c>
      <c r="D5651" t="s">
        <v>1813</v>
      </c>
    </row>
    <row r="5652" spans="1:4" x14ac:dyDescent="0.2">
      <c r="A5652" t="s">
        <v>7284</v>
      </c>
      <c r="B5652" s="2">
        <v>43041</v>
      </c>
      <c r="C5652" t="s">
        <v>2576</v>
      </c>
      <c r="D5652" t="s">
        <v>1031</v>
      </c>
    </row>
    <row r="5653" spans="1:4" x14ac:dyDescent="0.2">
      <c r="A5653" t="s">
        <v>1297</v>
      </c>
      <c r="B5653" s="2">
        <v>43175</v>
      </c>
      <c r="C5653" t="s">
        <v>1867</v>
      </c>
      <c r="D5653" t="s">
        <v>1810</v>
      </c>
    </row>
    <row r="5654" spans="1:4" x14ac:dyDescent="0.2">
      <c r="A5654" t="s">
        <v>7285</v>
      </c>
      <c r="B5654" s="2">
        <v>43172</v>
      </c>
      <c r="C5654" t="s">
        <v>2019</v>
      </c>
      <c r="D5654" t="s">
        <v>1813</v>
      </c>
    </row>
    <row r="5655" spans="1:4" x14ac:dyDescent="0.2">
      <c r="A5655" t="s">
        <v>1299</v>
      </c>
      <c r="B5655" s="2">
        <v>43120</v>
      </c>
      <c r="C5655" t="s">
        <v>1880</v>
      </c>
      <c r="D5655" t="s">
        <v>1031</v>
      </c>
    </row>
    <row r="5656" spans="1:4" x14ac:dyDescent="0.2">
      <c r="A5656" t="s">
        <v>7286</v>
      </c>
      <c r="B5656" s="2">
        <v>43011</v>
      </c>
      <c r="C5656" t="s">
        <v>1907</v>
      </c>
      <c r="D5656" t="s">
        <v>1807</v>
      </c>
    </row>
    <row r="5657" spans="1:4" x14ac:dyDescent="0.2">
      <c r="A5657" t="s">
        <v>7287</v>
      </c>
      <c r="B5657" s="2">
        <v>43005</v>
      </c>
      <c r="C5657" t="s">
        <v>1836</v>
      </c>
      <c r="D5657" t="s">
        <v>1810</v>
      </c>
    </row>
    <row r="5658" spans="1:4" x14ac:dyDescent="0.2">
      <c r="A5658" t="s">
        <v>7288</v>
      </c>
      <c r="B5658" s="2">
        <v>43001</v>
      </c>
      <c r="C5658" t="s">
        <v>1816</v>
      </c>
      <c r="D5658" t="s">
        <v>1810</v>
      </c>
    </row>
    <row r="5659" spans="1:4" x14ac:dyDescent="0.2">
      <c r="A5659" t="s">
        <v>7289</v>
      </c>
      <c r="B5659" s="2">
        <v>43182</v>
      </c>
      <c r="C5659" t="s">
        <v>1863</v>
      </c>
      <c r="D5659" t="s">
        <v>1804</v>
      </c>
    </row>
    <row r="5660" spans="1:4" x14ac:dyDescent="0.2">
      <c r="A5660" t="s">
        <v>7290</v>
      </c>
      <c r="B5660" s="2">
        <v>43142</v>
      </c>
      <c r="C5660" t="s">
        <v>1834</v>
      </c>
      <c r="D5660" t="s">
        <v>1810</v>
      </c>
    </row>
    <row r="5661" spans="1:4" x14ac:dyDescent="0.2">
      <c r="A5661" t="s">
        <v>7291</v>
      </c>
      <c r="B5661" s="2">
        <v>43236</v>
      </c>
      <c r="C5661" t="s">
        <v>1998</v>
      </c>
      <c r="D5661" t="s">
        <v>1807</v>
      </c>
    </row>
    <row r="5662" spans="1:4" x14ac:dyDescent="0.2">
      <c r="A5662" t="s">
        <v>7292</v>
      </c>
      <c r="B5662" s="2">
        <v>43159</v>
      </c>
      <c r="C5662" t="s">
        <v>1836</v>
      </c>
      <c r="D5662" t="s">
        <v>1807</v>
      </c>
    </row>
    <row r="5663" spans="1:4" x14ac:dyDescent="0.2">
      <c r="A5663" t="s">
        <v>7293</v>
      </c>
      <c r="B5663" s="2">
        <v>43164</v>
      </c>
      <c r="C5663" t="s">
        <v>1867</v>
      </c>
      <c r="D5663" t="s">
        <v>1829</v>
      </c>
    </row>
    <row r="5664" spans="1:4" x14ac:dyDescent="0.2">
      <c r="A5664" t="s">
        <v>7294</v>
      </c>
      <c r="B5664" s="2">
        <v>42962</v>
      </c>
      <c r="C5664" t="s">
        <v>7295</v>
      </c>
      <c r="D5664" t="s">
        <v>1829</v>
      </c>
    </row>
    <row r="5665" spans="1:4" x14ac:dyDescent="0.2">
      <c r="A5665" t="s">
        <v>7296</v>
      </c>
      <c r="B5665" s="2">
        <v>43223</v>
      </c>
      <c r="C5665" t="s">
        <v>7297</v>
      </c>
      <c r="D5665" t="s">
        <v>1810</v>
      </c>
    </row>
    <row r="5666" spans="1:4" x14ac:dyDescent="0.2">
      <c r="A5666" t="s">
        <v>7298</v>
      </c>
      <c r="B5666" s="2">
        <v>43245</v>
      </c>
      <c r="C5666" t="s">
        <v>1836</v>
      </c>
      <c r="D5666" t="s">
        <v>1031</v>
      </c>
    </row>
    <row r="5667" spans="1:4" x14ac:dyDescent="0.2">
      <c r="A5667" t="s">
        <v>7299</v>
      </c>
      <c r="B5667" s="2">
        <v>43139</v>
      </c>
      <c r="C5667" t="s">
        <v>1836</v>
      </c>
      <c r="D5667" t="s">
        <v>1031</v>
      </c>
    </row>
    <row r="5668" spans="1:4" x14ac:dyDescent="0.2">
      <c r="A5668" t="s">
        <v>7300</v>
      </c>
      <c r="B5668" s="2">
        <v>42970</v>
      </c>
      <c r="C5668" t="s">
        <v>1894</v>
      </c>
      <c r="D5668" t="s">
        <v>1804</v>
      </c>
    </row>
    <row r="5669" spans="1:4" x14ac:dyDescent="0.2">
      <c r="A5669" t="s">
        <v>7301</v>
      </c>
      <c r="B5669" s="2">
        <v>43095</v>
      </c>
      <c r="C5669" t="s">
        <v>1905</v>
      </c>
      <c r="D5669" t="s">
        <v>1810</v>
      </c>
    </row>
    <row r="5670" spans="1:4" x14ac:dyDescent="0.2">
      <c r="A5670" t="s">
        <v>7302</v>
      </c>
      <c r="B5670" s="2">
        <v>43130</v>
      </c>
      <c r="C5670" t="s">
        <v>1825</v>
      </c>
      <c r="D5670" t="s">
        <v>1804</v>
      </c>
    </row>
    <row r="5671" spans="1:4" x14ac:dyDescent="0.2">
      <c r="A5671" t="s">
        <v>7303</v>
      </c>
      <c r="B5671" s="2">
        <v>43216</v>
      </c>
      <c r="C5671" t="s">
        <v>1909</v>
      </c>
      <c r="D5671" t="s">
        <v>1807</v>
      </c>
    </row>
    <row r="5672" spans="1:4" x14ac:dyDescent="0.2">
      <c r="A5672" t="s">
        <v>7304</v>
      </c>
      <c r="B5672" s="2">
        <v>43018</v>
      </c>
      <c r="C5672" t="s">
        <v>1905</v>
      </c>
      <c r="D5672" t="s">
        <v>1807</v>
      </c>
    </row>
    <row r="5673" spans="1:4" x14ac:dyDescent="0.2">
      <c r="A5673" t="s">
        <v>7305</v>
      </c>
      <c r="B5673" s="2">
        <v>43123</v>
      </c>
      <c r="C5673" t="s">
        <v>1825</v>
      </c>
      <c r="D5673" t="s">
        <v>1810</v>
      </c>
    </row>
    <row r="5674" spans="1:4" x14ac:dyDescent="0.2">
      <c r="A5674" t="s">
        <v>7306</v>
      </c>
      <c r="B5674" s="2">
        <v>43242</v>
      </c>
      <c r="C5674" t="s">
        <v>1816</v>
      </c>
      <c r="D5674" t="s">
        <v>1807</v>
      </c>
    </row>
    <row r="5675" spans="1:4" x14ac:dyDescent="0.2">
      <c r="A5675" t="s">
        <v>7307</v>
      </c>
      <c r="B5675" s="2">
        <v>43228</v>
      </c>
      <c r="C5675" t="s">
        <v>3699</v>
      </c>
      <c r="D5675" t="s">
        <v>1813</v>
      </c>
    </row>
    <row r="5676" spans="1:4" x14ac:dyDescent="0.2">
      <c r="A5676" t="s">
        <v>7308</v>
      </c>
      <c r="B5676" s="2">
        <v>43172</v>
      </c>
      <c r="C5676" t="s">
        <v>7309</v>
      </c>
      <c r="D5676" t="s">
        <v>1813</v>
      </c>
    </row>
    <row r="5677" spans="1:4" x14ac:dyDescent="0.2">
      <c r="A5677" t="s">
        <v>7310</v>
      </c>
      <c r="B5677" s="2">
        <v>43221</v>
      </c>
      <c r="C5677" t="s">
        <v>1863</v>
      </c>
      <c r="D5677" t="s">
        <v>1804</v>
      </c>
    </row>
    <row r="5678" spans="1:4" x14ac:dyDescent="0.2">
      <c r="A5678" t="s">
        <v>7311</v>
      </c>
      <c r="B5678" s="2">
        <v>43119</v>
      </c>
      <c r="C5678" t="s">
        <v>1814</v>
      </c>
      <c r="D5678" t="s">
        <v>1810</v>
      </c>
    </row>
    <row r="5679" spans="1:4" x14ac:dyDescent="0.2">
      <c r="A5679" t="s">
        <v>7312</v>
      </c>
      <c r="B5679" s="2">
        <v>42920</v>
      </c>
      <c r="C5679" t="s">
        <v>3019</v>
      </c>
      <c r="D5679" t="s">
        <v>1807</v>
      </c>
    </row>
    <row r="5680" spans="1:4" x14ac:dyDescent="0.2">
      <c r="A5680" t="s">
        <v>7313</v>
      </c>
      <c r="B5680" s="2">
        <v>43196</v>
      </c>
      <c r="C5680" t="s">
        <v>1998</v>
      </c>
      <c r="D5680" t="s">
        <v>1810</v>
      </c>
    </row>
    <row r="5681" spans="1:4" x14ac:dyDescent="0.2">
      <c r="A5681" t="s">
        <v>7314</v>
      </c>
      <c r="B5681" s="2">
        <v>43214</v>
      </c>
      <c r="C5681" t="s">
        <v>1863</v>
      </c>
      <c r="D5681" t="s">
        <v>1804</v>
      </c>
    </row>
    <row r="5682" spans="1:4" x14ac:dyDescent="0.2">
      <c r="A5682" t="s">
        <v>7315</v>
      </c>
      <c r="B5682" s="2">
        <v>42933</v>
      </c>
      <c r="C5682" t="s">
        <v>7316</v>
      </c>
      <c r="D5682" t="s">
        <v>1813</v>
      </c>
    </row>
    <row r="5683" spans="1:4" x14ac:dyDescent="0.2">
      <c r="A5683" t="s">
        <v>7317</v>
      </c>
      <c r="B5683" s="2">
        <v>43178</v>
      </c>
      <c r="C5683" t="s">
        <v>2108</v>
      </c>
      <c r="D5683" t="s">
        <v>1813</v>
      </c>
    </row>
    <row r="5684" spans="1:4" x14ac:dyDescent="0.2">
      <c r="A5684" t="s">
        <v>7318</v>
      </c>
      <c r="B5684" s="2">
        <v>43058</v>
      </c>
      <c r="C5684" t="s">
        <v>2535</v>
      </c>
      <c r="D5684" t="s">
        <v>1807</v>
      </c>
    </row>
    <row r="5685" spans="1:4" x14ac:dyDescent="0.2">
      <c r="A5685" t="s">
        <v>7319</v>
      </c>
      <c r="B5685" s="2">
        <v>43202</v>
      </c>
      <c r="C5685" t="s">
        <v>1836</v>
      </c>
      <c r="D5685" t="s">
        <v>1031</v>
      </c>
    </row>
    <row r="5686" spans="1:4" x14ac:dyDescent="0.2">
      <c r="A5686" t="s">
        <v>7320</v>
      </c>
      <c r="B5686" s="2">
        <v>43137</v>
      </c>
      <c r="C5686" t="s">
        <v>3827</v>
      </c>
      <c r="D5686" t="s">
        <v>1813</v>
      </c>
    </row>
    <row r="5687" spans="1:4" x14ac:dyDescent="0.2">
      <c r="A5687" t="s">
        <v>7321</v>
      </c>
      <c r="B5687" s="2">
        <v>43123</v>
      </c>
      <c r="C5687" t="s">
        <v>1885</v>
      </c>
      <c r="D5687" t="s">
        <v>1807</v>
      </c>
    </row>
    <row r="5688" spans="1:4" x14ac:dyDescent="0.2">
      <c r="A5688" t="s">
        <v>7322</v>
      </c>
      <c r="B5688" s="2">
        <v>43217</v>
      </c>
      <c r="C5688" t="s">
        <v>1816</v>
      </c>
      <c r="D5688" t="s">
        <v>1829</v>
      </c>
    </row>
    <row r="5689" spans="1:4" x14ac:dyDescent="0.2">
      <c r="A5689" t="s">
        <v>7323</v>
      </c>
      <c r="B5689" s="2">
        <v>43200</v>
      </c>
      <c r="C5689" t="s">
        <v>2170</v>
      </c>
      <c r="D5689" t="s">
        <v>1810</v>
      </c>
    </row>
    <row r="5690" spans="1:4" x14ac:dyDescent="0.2">
      <c r="A5690" t="s">
        <v>7324</v>
      </c>
      <c r="B5690" s="2">
        <v>42948</v>
      </c>
      <c r="C5690" t="s">
        <v>1892</v>
      </c>
      <c r="D5690" t="s">
        <v>1807</v>
      </c>
    </row>
    <row r="5691" spans="1:4" x14ac:dyDescent="0.2">
      <c r="A5691" t="s">
        <v>7325</v>
      </c>
      <c r="B5691" s="2">
        <v>43239</v>
      </c>
      <c r="C5691" t="s">
        <v>2831</v>
      </c>
      <c r="D5691" t="s">
        <v>1807</v>
      </c>
    </row>
    <row r="5692" spans="1:4" x14ac:dyDescent="0.2">
      <c r="A5692" t="s">
        <v>7326</v>
      </c>
      <c r="B5692" s="2">
        <v>43222</v>
      </c>
      <c r="C5692" t="s">
        <v>1832</v>
      </c>
      <c r="D5692" t="s">
        <v>1031</v>
      </c>
    </row>
    <row r="5693" spans="1:4" x14ac:dyDescent="0.2">
      <c r="A5693" t="s">
        <v>7327</v>
      </c>
      <c r="B5693" s="2">
        <v>43116</v>
      </c>
      <c r="C5693" t="s">
        <v>1831</v>
      </c>
      <c r="D5693" t="s">
        <v>1840</v>
      </c>
    </row>
    <row r="5694" spans="1:4" x14ac:dyDescent="0.2">
      <c r="A5694" t="s">
        <v>7328</v>
      </c>
      <c r="B5694" s="2">
        <v>43250</v>
      </c>
      <c r="C5694" t="s">
        <v>2242</v>
      </c>
      <c r="D5694" t="s">
        <v>1840</v>
      </c>
    </row>
    <row r="5695" spans="1:4" x14ac:dyDescent="0.2">
      <c r="A5695" t="s">
        <v>7329</v>
      </c>
      <c r="B5695" s="2">
        <v>43174</v>
      </c>
      <c r="C5695" t="s">
        <v>1836</v>
      </c>
      <c r="D5695" t="s">
        <v>1807</v>
      </c>
    </row>
    <row r="5696" spans="1:4" x14ac:dyDescent="0.2">
      <c r="A5696" t="s">
        <v>7330</v>
      </c>
      <c r="B5696" s="2">
        <v>43119</v>
      </c>
      <c r="C5696" t="s">
        <v>7331</v>
      </c>
      <c r="D5696" t="s">
        <v>1807</v>
      </c>
    </row>
    <row r="5697" spans="1:4" x14ac:dyDescent="0.2">
      <c r="A5697" t="s">
        <v>7332</v>
      </c>
      <c r="B5697" s="2">
        <v>42976</v>
      </c>
      <c r="C5697" t="s">
        <v>2096</v>
      </c>
      <c r="D5697" t="s">
        <v>1810</v>
      </c>
    </row>
    <row r="5698" spans="1:4" x14ac:dyDescent="0.2">
      <c r="A5698" t="s">
        <v>7333</v>
      </c>
      <c r="B5698" s="2">
        <v>43214</v>
      </c>
      <c r="C5698" t="s">
        <v>1998</v>
      </c>
      <c r="D5698" t="s">
        <v>1807</v>
      </c>
    </row>
    <row r="5699" spans="1:4" x14ac:dyDescent="0.2">
      <c r="A5699" t="s">
        <v>7334</v>
      </c>
      <c r="B5699" s="2">
        <v>43238</v>
      </c>
      <c r="C5699" t="s">
        <v>2070</v>
      </c>
      <c r="D5699" t="s">
        <v>1840</v>
      </c>
    </row>
    <row r="5700" spans="1:4" x14ac:dyDescent="0.2">
      <c r="A5700" t="s">
        <v>1301</v>
      </c>
      <c r="B5700" s="2">
        <v>43187</v>
      </c>
      <c r="C5700" t="s">
        <v>1836</v>
      </c>
      <c r="D5700" t="s">
        <v>1031</v>
      </c>
    </row>
    <row r="5701" spans="1:4" x14ac:dyDescent="0.2">
      <c r="A5701" t="s">
        <v>1303</v>
      </c>
      <c r="B5701" s="2">
        <v>43199</v>
      </c>
      <c r="C5701" t="s">
        <v>1863</v>
      </c>
      <c r="D5701" t="s">
        <v>1804</v>
      </c>
    </row>
    <row r="5702" spans="1:4" x14ac:dyDescent="0.2">
      <c r="A5702" t="s">
        <v>7335</v>
      </c>
      <c r="B5702" s="2">
        <v>43131</v>
      </c>
      <c r="C5702" t="s">
        <v>1905</v>
      </c>
      <c r="D5702" t="s">
        <v>1810</v>
      </c>
    </row>
    <row r="5703" spans="1:4" x14ac:dyDescent="0.2">
      <c r="A5703" t="s">
        <v>7336</v>
      </c>
      <c r="B5703" s="2">
        <v>43115</v>
      </c>
      <c r="C5703" t="s">
        <v>1803</v>
      </c>
      <c r="D5703" t="s">
        <v>1804</v>
      </c>
    </row>
    <row r="5704" spans="1:4" x14ac:dyDescent="0.2">
      <c r="A5704" t="s">
        <v>7337</v>
      </c>
      <c r="B5704" s="2">
        <v>43212</v>
      </c>
      <c r="C5704" t="s">
        <v>4096</v>
      </c>
      <c r="D5704" t="s">
        <v>1807</v>
      </c>
    </row>
    <row r="5705" spans="1:4" x14ac:dyDescent="0.2">
      <c r="A5705" t="s">
        <v>7338</v>
      </c>
      <c r="B5705" s="2">
        <v>43119</v>
      </c>
      <c r="C5705" t="s">
        <v>1836</v>
      </c>
      <c r="D5705" t="s">
        <v>1810</v>
      </c>
    </row>
    <row r="5706" spans="1:4" x14ac:dyDescent="0.2">
      <c r="A5706" t="s">
        <v>7339</v>
      </c>
      <c r="B5706" s="2">
        <v>42974</v>
      </c>
      <c r="C5706" t="s">
        <v>3419</v>
      </c>
      <c r="D5706" t="s">
        <v>1031</v>
      </c>
    </row>
    <row r="5707" spans="1:4" x14ac:dyDescent="0.2">
      <c r="A5707" t="s">
        <v>7340</v>
      </c>
      <c r="B5707" s="2">
        <v>43131</v>
      </c>
      <c r="C5707" t="s">
        <v>2303</v>
      </c>
      <c r="D5707" t="s">
        <v>1829</v>
      </c>
    </row>
    <row r="5708" spans="1:4" x14ac:dyDescent="0.2">
      <c r="A5708" t="s">
        <v>7341</v>
      </c>
      <c r="B5708" s="2">
        <v>43007</v>
      </c>
      <c r="C5708" t="s">
        <v>2131</v>
      </c>
      <c r="D5708" t="s">
        <v>1829</v>
      </c>
    </row>
    <row r="5709" spans="1:4" x14ac:dyDescent="0.2">
      <c r="A5709" t="s">
        <v>7342</v>
      </c>
      <c r="B5709" s="2">
        <v>43168</v>
      </c>
      <c r="C5709" t="s">
        <v>1836</v>
      </c>
      <c r="D5709" t="s">
        <v>1031</v>
      </c>
    </row>
    <row r="5710" spans="1:4" x14ac:dyDescent="0.2">
      <c r="A5710" t="s">
        <v>7343</v>
      </c>
      <c r="B5710" s="2">
        <v>43250</v>
      </c>
      <c r="C5710" t="s">
        <v>1816</v>
      </c>
      <c r="D5710" t="s">
        <v>1840</v>
      </c>
    </row>
    <row r="5711" spans="1:4" x14ac:dyDescent="0.2">
      <c r="A5711" t="s">
        <v>7344</v>
      </c>
      <c r="B5711" s="2">
        <v>43130</v>
      </c>
      <c r="C5711" t="s">
        <v>1865</v>
      </c>
      <c r="D5711" t="s">
        <v>1810</v>
      </c>
    </row>
    <row r="5712" spans="1:4" x14ac:dyDescent="0.2">
      <c r="A5712" t="s">
        <v>7345</v>
      </c>
      <c r="B5712" s="2">
        <v>43126</v>
      </c>
      <c r="C5712" t="s">
        <v>1836</v>
      </c>
      <c r="D5712" t="s">
        <v>1807</v>
      </c>
    </row>
    <row r="5713" spans="1:4" x14ac:dyDescent="0.2">
      <c r="A5713" t="s">
        <v>7346</v>
      </c>
      <c r="B5713" s="2">
        <v>43104</v>
      </c>
      <c r="C5713" t="s">
        <v>1836</v>
      </c>
      <c r="D5713" t="s">
        <v>1810</v>
      </c>
    </row>
    <row r="5714" spans="1:4" x14ac:dyDescent="0.2">
      <c r="A5714" t="s">
        <v>7347</v>
      </c>
      <c r="B5714" s="2">
        <v>42948</v>
      </c>
      <c r="C5714" t="s">
        <v>2407</v>
      </c>
      <c r="D5714" t="s">
        <v>1807</v>
      </c>
    </row>
    <row r="5715" spans="1:4" x14ac:dyDescent="0.2">
      <c r="A5715" t="s">
        <v>7348</v>
      </c>
      <c r="B5715" s="2">
        <v>43167</v>
      </c>
      <c r="C5715" t="s">
        <v>2303</v>
      </c>
      <c r="D5715" t="s">
        <v>1810</v>
      </c>
    </row>
    <row r="5716" spans="1:4" x14ac:dyDescent="0.2">
      <c r="A5716" t="s">
        <v>7349</v>
      </c>
      <c r="B5716" s="2">
        <v>43095</v>
      </c>
      <c r="C5716" t="s">
        <v>1803</v>
      </c>
      <c r="D5716" t="s">
        <v>1804</v>
      </c>
    </row>
    <row r="5717" spans="1:4" x14ac:dyDescent="0.2">
      <c r="A5717" t="s">
        <v>7350</v>
      </c>
      <c r="B5717" s="2">
        <v>43194</v>
      </c>
      <c r="C5717" t="s">
        <v>1827</v>
      </c>
      <c r="D5717" t="s">
        <v>1807</v>
      </c>
    </row>
    <row r="5718" spans="1:4" x14ac:dyDescent="0.2">
      <c r="A5718" t="s">
        <v>7351</v>
      </c>
      <c r="B5718" s="2">
        <v>43214</v>
      </c>
      <c r="C5718" t="s">
        <v>1867</v>
      </c>
      <c r="D5718" t="s">
        <v>1813</v>
      </c>
    </row>
    <row r="5719" spans="1:4" x14ac:dyDescent="0.2">
      <c r="A5719" t="s">
        <v>1305</v>
      </c>
      <c r="B5719" s="2">
        <v>43150</v>
      </c>
      <c r="C5719" t="s">
        <v>1930</v>
      </c>
      <c r="D5719" t="s">
        <v>1807</v>
      </c>
    </row>
    <row r="5720" spans="1:4" x14ac:dyDescent="0.2">
      <c r="A5720" t="s">
        <v>7352</v>
      </c>
      <c r="B5720" s="2">
        <v>42979</v>
      </c>
      <c r="C5720" t="s">
        <v>1907</v>
      </c>
      <c r="D5720" t="s">
        <v>1807</v>
      </c>
    </row>
    <row r="5721" spans="1:4" x14ac:dyDescent="0.2">
      <c r="A5721" t="s">
        <v>7353</v>
      </c>
      <c r="B5721" s="2">
        <v>43183</v>
      </c>
      <c r="C5721" t="s">
        <v>2115</v>
      </c>
      <c r="D5721" t="s">
        <v>1804</v>
      </c>
    </row>
    <row r="5722" spans="1:4" x14ac:dyDescent="0.2">
      <c r="A5722" t="s">
        <v>7354</v>
      </c>
      <c r="B5722" s="2">
        <v>43178</v>
      </c>
      <c r="C5722" t="s">
        <v>2023</v>
      </c>
      <c r="D5722" t="s">
        <v>1804</v>
      </c>
    </row>
    <row r="5723" spans="1:4" x14ac:dyDescent="0.2">
      <c r="A5723" t="s">
        <v>7355</v>
      </c>
      <c r="B5723" s="2">
        <v>43014</v>
      </c>
      <c r="C5723" t="s">
        <v>1900</v>
      </c>
      <c r="D5723" t="s">
        <v>1810</v>
      </c>
    </row>
    <row r="5724" spans="1:4" x14ac:dyDescent="0.2">
      <c r="A5724" t="s">
        <v>1307</v>
      </c>
      <c r="B5724" s="2">
        <v>43217</v>
      </c>
      <c r="C5724" t="s">
        <v>1836</v>
      </c>
      <c r="D5724" t="s">
        <v>1031</v>
      </c>
    </row>
    <row r="5725" spans="1:4" x14ac:dyDescent="0.2">
      <c r="A5725" t="s">
        <v>7356</v>
      </c>
      <c r="B5725" s="2">
        <v>43171</v>
      </c>
      <c r="C5725" t="s">
        <v>1816</v>
      </c>
      <c r="D5725" t="s">
        <v>1810</v>
      </c>
    </row>
    <row r="5726" spans="1:4" x14ac:dyDescent="0.2">
      <c r="A5726" t="s">
        <v>1311</v>
      </c>
      <c r="B5726" s="2">
        <v>43123</v>
      </c>
      <c r="C5726" t="s">
        <v>1930</v>
      </c>
      <c r="D5726" t="s">
        <v>1807</v>
      </c>
    </row>
    <row r="5727" spans="1:4" x14ac:dyDescent="0.2">
      <c r="A5727" t="s">
        <v>7357</v>
      </c>
      <c r="B5727" s="2">
        <v>43213</v>
      </c>
      <c r="C5727" t="s">
        <v>1836</v>
      </c>
      <c r="D5727" t="s">
        <v>1031</v>
      </c>
    </row>
    <row r="5728" spans="1:4" x14ac:dyDescent="0.2">
      <c r="A5728" t="s">
        <v>7358</v>
      </c>
      <c r="B5728" s="2">
        <v>43123</v>
      </c>
      <c r="C5728" t="s">
        <v>5422</v>
      </c>
      <c r="D5728" t="s">
        <v>1796</v>
      </c>
    </row>
    <row r="5729" spans="1:4" x14ac:dyDescent="0.2">
      <c r="A5729" t="s">
        <v>7359</v>
      </c>
      <c r="B5729" s="2">
        <v>43216</v>
      </c>
      <c r="C5729" t="s">
        <v>2303</v>
      </c>
      <c r="D5729" t="s">
        <v>1810</v>
      </c>
    </row>
    <row r="5730" spans="1:4" x14ac:dyDescent="0.2">
      <c r="A5730" t="s">
        <v>7360</v>
      </c>
      <c r="B5730" s="2">
        <v>43123</v>
      </c>
      <c r="C5730" t="s">
        <v>1905</v>
      </c>
      <c r="D5730" t="s">
        <v>1810</v>
      </c>
    </row>
    <row r="5731" spans="1:4" x14ac:dyDescent="0.2">
      <c r="A5731" t="s">
        <v>7361</v>
      </c>
      <c r="B5731" s="2">
        <v>43156</v>
      </c>
      <c r="C5731" t="s">
        <v>2669</v>
      </c>
      <c r="D5731" t="s">
        <v>1810</v>
      </c>
    </row>
    <row r="5732" spans="1:4" x14ac:dyDescent="0.2">
      <c r="A5732" t="s">
        <v>1313</v>
      </c>
      <c r="B5732" s="2">
        <v>43198</v>
      </c>
      <c r="C5732" t="s">
        <v>1905</v>
      </c>
      <c r="D5732" t="s">
        <v>1810</v>
      </c>
    </row>
    <row r="5733" spans="1:4" x14ac:dyDescent="0.2">
      <c r="A5733" t="s">
        <v>7362</v>
      </c>
      <c r="B5733" s="2">
        <v>43119</v>
      </c>
      <c r="C5733" t="s">
        <v>1885</v>
      </c>
      <c r="D5733" t="s">
        <v>1807</v>
      </c>
    </row>
    <row r="5734" spans="1:4" x14ac:dyDescent="0.2">
      <c r="A5734" t="s">
        <v>7363</v>
      </c>
      <c r="B5734" s="2">
        <v>43010</v>
      </c>
      <c r="C5734" t="s">
        <v>3194</v>
      </c>
      <c r="D5734" t="s">
        <v>1810</v>
      </c>
    </row>
    <row r="5735" spans="1:4" x14ac:dyDescent="0.2">
      <c r="A5735" t="s">
        <v>1315</v>
      </c>
      <c r="B5735" s="2">
        <v>43166</v>
      </c>
      <c r="C5735" t="s">
        <v>1993</v>
      </c>
      <c r="D5735" t="s">
        <v>1910</v>
      </c>
    </row>
    <row r="5736" spans="1:4" x14ac:dyDescent="0.2">
      <c r="A5736" t="s">
        <v>7364</v>
      </c>
      <c r="B5736" s="2">
        <v>43181</v>
      </c>
      <c r="C5736" t="s">
        <v>1878</v>
      </c>
      <c r="D5736" t="s">
        <v>1829</v>
      </c>
    </row>
    <row r="5737" spans="1:4" x14ac:dyDescent="0.2">
      <c r="A5737" t="s">
        <v>7365</v>
      </c>
      <c r="B5737" s="2">
        <v>42982</v>
      </c>
      <c r="C5737" t="s">
        <v>1894</v>
      </c>
      <c r="D5737" t="s">
        <v>1804</v>
      </c>
    </row>
    <row r="5738" spans="1:4" x14ac:dyDescent="0.2">
      <c r="A5738" t="s">
        <v>7366</v>
      </c>
      <c r="B5738" s="2">
        <v>43136</v>
      </c>
      <c r="C5738" t="s">
        <v>1930</v>
      </c>
      <c r="D5738" t="s">
        <v>1807</v>
      </c>
    </row>
    <row r="5739" spans="1:4" x14ac:dyDescent="0.2">
      <c r="A5739" t="s">
        <v>7367</v>
      </c>
      <c r="B5739" s="2">
        <v>43124</v>
      </c>
      <c r="C5739" t="s">
        <v>1825</v>
      </c>
      <c r="D5739" t="s">
        <v>1840</v>
      </c>
    </row>
    <row r="5740" spans="1:4" x14ac:dyDescent="0.2">
      <c r="A5740" t="s">
        <v>7368</v>
      </c>
      <c r="B5740" s="2">
        <v>43178</v>
      </c>
      <c r="C5740" t="s">
        <v>1836</v>
      </c>
      <c r="D5740" t="s">
        <v>1031</v>
      </c>
    </row>
    <row r="5741" spans="1:4" x14ac:dyDescent="0.2">
      <c r="A5741" t="s">
        <v>7369</v>
      </c>
      <c r="B5741" s="2">
        <v>43196</v>
      </c>
      <c r="C5741" t="s">
        <v>1930</v>
      </c>
      <c r="D5741" t="s">
        <v>1807</v>
      </c>
    </row>
    <row r="5742" spans="1:4" x14ac:dyDescent="0.2">
      <c r="A5742" t="s">
        <v>7370</v>
      </c>
      <c r="B5742" s="2">
        <v>43061</v>
      </c>
      <c r="C5742" t="s">
        <v>1803</v>
      </c>
      <c r="D5742" t="s">
        <v>1804</v>
      </c>
    </row>
    <row r="5743" spans="1:4" x14ac:dyDescent="0.2">
      <c r="A5743" t="s">
        <v>7371</v>
      </c>
      <c r="B5743" s="2">
        <v>43221</v>
      </c>
      <c r="C5743" t="s">
        <v>2254</v>
      </c>
      <c r="D5743" t="s">
        <v>1810</v>
      </c>
    </row>
    <row r="5744" spans="1:4" x14ac:dyDescent="0.2">
      <c r="A5744" t="s">
        <v>7372</v>
      </c>
      <c r="B5744" s="2">
        <v>43210</v>
      </c>
      <c r="C5744" t="s">
        <v>1863</v>
      </c>
      <c r="D5744" t="s">
        <v>1804</v>
      </c>
    </row>
    <row r="5745" spans="1:4" x14ac:dyDescent="0.2">
      <c r="A5745" t="s">
        <v>7373</v>
      </c>
      <c r="B5745" s="2">
        <v>43160</v>
      </c>
      <c r="C5745" t="s">
        <v>1867</v>
      </c>
      <c r="D5745" t="s">
        <v>1810</v>
      </c>
    </row>
    <row r="5746" spans="1:4" x14ac:dyDescent="0.2">
      <c r="A5746" t="s">
        <v>7374</v>
      </c>
      <c r="B5746" s="2">
        <v>43106</v>
      </c>
      <c r="C5746" t="s">
        <v>1921</v>
      </c>
      <c r="D5746" t="s">
        <v>1810</v>
      </c>
    </row>
    <row r="5747" spans="1:4" x14ac:dyDescent="0.2">
      <c r="A5747" t="s">
        <v>7375</v>
      </c>
      <c r="B5747" s="2">
        <v>43243</v>
      </c>
      <c r="C5747" t="s">
        <v>1832</v>
      </c>
      <c r="D5747" t="s">
        <v>1807</v>
      </c>
    </row>
    <row r="5748" spans="1:4" x14ac:dyDescent="0.2">
      <c r="A5748" t="s">
        <v>7376</v>
      </c>
      <c r="B5748" s="2">
        <v>43065</v>
      </c>
      <c r="C5748" t="s">
        <v>1825</v>
      </c>
      <c r="D5748" t="s">
        <v>1829</v>
      </c>
    </row>
    <row r="5749" spans="1:4" x14ac:dyDescent="0.2">
      <c r="A5749" t="s">
        <v>7377</v>
      </c>
      <c r="B5749" s="2">
        <v>43007</v>
      </c>
      <c r="C5749" t="s">
        <v>1816</v>
      </c>
      <c r="D5749" t="s">
        <v>1810</v>
      </c>
    </row>
    <row r="5750" spans="1:4" x14ac:dyDescent="0.2">
      <c r="A5750" t="s">
        <v>7378</v>
      </c>
      <c r="B5750" s="2">
        <v>43171</v>
      </c>
      <c r="C5750" t="s">
        <v>1905</v>
      </c>
      <c r="D5750" t="s">
        <v>1829</v>
      </c>
    </row>
    <row r="5751" spans="1:4" x14ac:dyDescent="0.2">
      <c r="A5751" t="s">
        <v>7379</v>
      </c>
      <c r="B5751" s="2">
        <v>43248</v>
      </c>
      <c r="C5751" t="s">
        <v>1863</v>
      </c>
      <c r="D5751" t="s">
        <v>1796</v>
      </c>
    </row>
    <row r="5752" spans="1:4" x14ac:dyDescent="0.2">
      <c r="A5752" t="s">
        <v>7380</v>
      </c>
      <c r="B5752" s="2">
        <v>43242</v>
      </c>
      <c r="C5752" t="s">
        <v>1930</v>
      </c>
      <c r="D5752" t="s">
        <v>1807</v>
      </c>
    </row>
    <row r="5753" spans="1:4" x14ac:dyDescent="0.2">
      <c r="A5753" t="s">
        <v>7381</v>
      </c>
      <c r="B5753" s="2">
        <v>43164</v>
      </c>
      <c r="C5753" t="s">
        <v>1836</v>
      </c>
      <c r="D5753" t="s">
        <v>1807</v>
      </c>
    </row>
    <row r="5754" spans="1:4" x14ac:dyDescent="0.2">
      <c r="A5754" t="s">
        <v>7382</v>
      </c>
      <c r="B5754" s="2">
        <v>43136</v>
      </c>
      <c r="C5754" t="s">
        <v>1859</v>
      </c>
      <c r="D5754" t="s">
        <v>1810</v>
      </c>
    </row>
    <row r="5755" spans="1:4" x14ac:dyDescent="0.2">
      <c r="A5755" t="s">
        <v>7383</v>
      </c>
      <c r="B5755" s="2">
        <v>43180</v>
      </c>
      <c r="C5755" t="s">
        <v>2591</v>
      </c>
      <c r="D5755" t="s">
        <v>1849</v>
      </c>
    </row>
    <row r="5756" spans="1:4" x14ac:dyDescent="0.2">
      <c r="A5756" t="s">
        <v>7384</v>
      </c>
      <c r="B5756" s="2">
        <v>43235</v>
      </c>
      <c r="C5756" t="s">
        <v>1867</v>
      </c>
      <c r="D5756" t="s">
        <v>1810</v>
      </c>
    </row>
    <row r="5757" spans="1:4" x14ac:dyDescent="0.2">
      <c r="A5757" t="s">
        <v>7385</v>
      </c>
      <c r="B5757" s="2">
        <v>43107</v>
      </c>
      <c r="C5757" t="s">
        <v>1816</v>
      </c>
      <c r="D5757" t="s">
        <v>1810</v>
      </c>
    </row>
    <row r="5758" spans="1:4" x14ac:dyDescent="0.2">
      <c r="A5758" t="s">
        <v>7386</v>
      </c>
      <c r="B5758" s="2">
        <v>43108</v>
      </c>
      <c r="C5758" t="s">
        <v>1831</v>
      </c>
      <c r="D5758" t="s">
        <v>1810</v>
      </c>
    </row>
    <row r="5759" spans="1:4" x14ac:dyDescent="0.2">
      <c r="A5759" t="s">
        <v>7387</v>
      </c>
      <c r="B5759" s="2">
        <v>43034</v>
      </c>
      <c r="C5759" t="s">
        <v>2294</v>
      </c>
      <c r="D5759" t="s">
        <v>1810</v>
      </c>
    </row>
    <row r="5760" spans="1:4" x14ac:dyDescent="0.2">
      <c r="A5760" t="s">
        <v>7388</v>
      </c>
      <c r="B5760" s="2">
        <v>43224</v>
      </c>
      <c r="C5760" t="s">
        <v>1836</v>
      </c>
      <c r="D5760" t="s">
        <v>1031</v>
      </c>
    </row>
    <row r="5761" spans="1:4" x14ac:dyDescent="0.2">
      <c r="A5761" t="s">
        <v>1317</v>
      </c>
      <c r="B5761" s="2">
        <v>42964</v>
      </c>
      <c r="C5761" t="s">
        <v>1939</v>
      </c>
      <c r="D5761" t="s">
        <v>1804</v>
      </c>
    </row>
    <row r="5762" spans="1:4" x14ac:dyDescent="0.2">
      <c r="A5762" t="s">
        <v>7389</v>
      </c>
      <c r="B5762" s="2">
        <v>43138</v>
      </c>
      <c r="C5762" t="s">
        <v>1971</v>
      </c>
      <c r="D5762" t="s">
        <v>1813</v>
      </c>
    </row>
    <row r="5763" spans="1:4" x14ac:dyDescent="0.2">
      <c r="A5763" t="s">
        <v>7390</v>
      </c>
      <c r="B5763" s="2">
        <v>43200</v>
      </c>
      <c r="C5763" t="s">
        <v>1831</v>
      </c>
      <c r="D5763" t="s">
        <v>1031</v>
      </c>
    </row>
    <row r="5764" spans="1:4" x14ac:dyDescent="0.2">
      <c r="A5764" t="s">
        <v>7391</v>
      </c>
      <c r="B5764" s="2">
        <v>43171</v>
      </c>
      <c r="C5764" t="s">
        <v>1928</v>
      </c>
      <c r="D5764" t="s">
        <v>1031</v>
      </c>
    </row>
    <row r="5765" spans="1:4" x14ac:dyDescent="0.2">
      <c r="A5765" t="s">
        <v>7392</v>
      </c>
      <c r="B5765" s="2">
        <v>43048</v>
      </c>
      <c r="C5765" t="s">
        <v>7393</v>
      </c>
      <c r="D5765" t="s">
        <v>1813</v>
      </c>
    </row>
    <row r="5766" spans="1:4" x14ac:dyDescent="0.2">
      <c r="A5766" t="s">
        <v>1319</v>
      </c>
      <c r="B5766" s="2">
        <v>43133</v>
      </c>
      <c r="C5766" t="s">
        <v>1836</v>
      </c>
      <c r="D5766" t="s">
        <v>1031</v>
      </c>
    </row>
    <row r="5767" spans="1:4" x14ac:dyDescent="0.2">
      <c r="A5767" t="s">
        <v>7394</v>
      </c>
      <c r="B5767" s="2">
        <v>43188</v>
      </c>
      <c r="C5767" t="s">
        <v>1867</v>
      </c>
      <c r="D5767" t="s">
        <v>1813</v>
      </c>
    </row>
    <row r="5768" spans="1:4" x14ac:dyDescent="0.2">
      <c r="A5768" t="s">
        <v>7395</v>
      </c>
      <c r="B5768" s="2">
        <v>43142</v>
      </c>
      <c r="C5768" t="s">
        <v>1996</v>
      </c>
      <c r="D5768" t="s">
        <v>1804</v>
      </c>
    </row>
    <row r="5769" spans="1:4" x14ac:dyDescent="0.2">
      <c r="A5769" t="s">
        <v>7396</v>
      </c>
      <c r="B5769" s="2">
        <v>43123</v>
      </c>
      <c r="C5769" t="s">
        <v>1803</v>
      </c>
      <c r="D5769" t="s">
        <v>1804</v>
      </c>
    </row>
    <row r="5770" spans="1:4" x14ac:dyDescent="0.2">
      <c r="A5770" t="s">
        <v>7397</v>
      </c>
      <c r="B5770" s="2">
        <v>43238</v>
      </c>
      <c r="C5770" t="s">
        <v>1816</v>
      </c>
      <c r="D5770" t="s">
        <v>1810</v>
      </c>
    </row>
    <row r="5771" spans="1:4" x14ac:dyDescent="0.2">
      <c r="A5771" t="s">
        <v>7398</v>
      </c>
      <c r="B5771" s="2">
        <v>43216</v>
      </c>
      <c r="C5771" t="s">
        <v>1909</v>
      </c>
      <c r="D5771" t="s">
        <v>1031</v>
      </c>
    </row>
    <row r="5772" spans="1:4" x14ac:dyDescent="0.2">
      <c r="A5772" t="s">
        <v>7399</v>
      </c>
      <c r="B5772" s="2">
        <v>43098</v>
      </c>
      <c r="C5772" t="s">
        <v>1816</v>
      </c>
      <c r="D5772" t="s">
        <v>1810</v>
      </c>
    </row>
    <row r="5773" spans="1:4" x14ac:dyDescent="0.2">
      <c r="A5773" t="s">
        <v>7400</v>
      </c>
      <c r="B5773" s="2">
        <v>43148</v>
      </c>
      <c r="C5773" t="s">
        <v>1803</v>
      </c>
      <c r="D5773" t="s">
        <v>1804</v>
      </c>
    </row>
    <row r="5774" spans="1:4" x14ac:dyDescent="0.2">
      <c r="A5774" t="s">
        <v>7401</v>
      </c>
      <c r="B5774" s="2">
        <v>43130</v>
      </c>
      <c r="C5774" t="s">
        <v>1930</v>
      </c>
      <c r="D5774" t="s">
        <v>1810</v>
      </c>
    </row>
    <row r="5775" spans="1:4" x14ac:dyDescent="0.2">
      <c r="A5775" t="s">
        <v>7402</v>
      </c>
      <c r="B5775" s="2">
        <v>43087</v>
      </c>
      <c r="C5775" t="s">
        <v>1939</v>
      </c>
      <c r="D5775" t="s">
        <v>1031</v>
      </c>
    </row>
    <row r="5776" spans="1:4" x14ac:dyDescent="0.2">
      <c r="A5776" t="s">
        <v>7403</v>
      </c>
      <c r="B5776" s="2">
        <v>43008</v>
      </c>
      <c r="C5776" t="s">
        <v>1825</v>
      </c>
      <c r="D5776" t="s">
        <v>1810</v>
      </c>
    </row>
    <row r="5777" spans="1:4" x14ac:dyDescent="0.2">
      <c r="A5777" t="s">
        <v>7404</v>
      </c>
      <c r="B5777" s="2">
        <v>43129</v>
      </c>
      <c r="C5777" t="s">
        <v>1803</v>
      </c>
      <c r="D5777" t="s">
        <v>1804</v>
      </c>
    </row>
    <row r="5778" spans="1:4" x14ac:dyDescent="0.2">
      <c r="A5778" t="s">
        <v>7405</v>
      </c>
      <c r="B5778" s="2">
        <v>43173</v>
      </c>
      <c r="C5778" t="s">
        <v>1865</v>
      </c>
      <c r="D5778" t="s">
        <v>1829</v>
      </c>
    </row>
    <row r="5779" spans="1:4" x14ac:dyDescent="0.2">
      <c r="A5779" t="s">
        <v>7406</v>
      </c>
      <c r="B5779" s="2">
        <v>43041</v>
      </c>
      <c r="C5779" t="s">
        <v>1803</v>
      </c>
      <c r="D5779" t="s">
        <v>1804</v>
      </c>
    </row>
    <row r="5780" spans="1:4" x14ac:dyDescent="0.2">
      <c r="A5780" t="s">
        <v>7407</v>
      </c>
      <c r="B5780" s="2">
        <v>43250</v>
      </c>
      <c r="C5780" t="s">
        <v>1816</v>
      </c>
      <c r="D5780" t="s">
        <v>1829</v>
      </c>
    </row>
    <row r="5781" spans="1:4" x14ac:dyDescent="0.2">
      <c r="A5781" t="s">
        <v>7408</v>
      </c>
      <c r="B5781" s="2">
        <v>43158</v>
      </c>
      <c r="C5781" t="s">
        <v>1816</v>
      </c>
      <c r="D5781" t="s">
        <v>1810</v>
      </c>
    </row>
    <row r="5782" spans="1:4" x14ac:dyDescent="0.2">
      <c r="A5782" t="s">
        <v>7409</v>
      </c>
      <c r="B5782" s="2">
        <v>43165</v>
      </c>
      <c r="C5782" t="s">
        <v>3333</v>
      </c>
      <c r="D5782" t="s">
        <v>1840</v>
      </c>
    </row>
    <row r="5783" spans="1:4" x14ac:dyDescent="0.2">
      <c r="A5783" t="s">
        <v>7410</v>
      </c>
      <c r="B5783" s="2">
        <v>43115</v>
      </c>
      <c r="C5783" t="s">
        <v>1803</v>
      </c>
      <c r="D5783" t="s">
        <v>1804</v>
      </c>
    </row>
    <row r="5784" spans="1:4" x14ac:dyDescent="0.2">
      <c r="A5784" t="s">
        <v>1321</v>
      </c>
      <c r="B5784" s="2">
        <v>43222</v>
      </c>
      <c r="C5784" t="s">
        <v>1863</v>
      </c>
      <c r="D5784" t="s">
        <v>1829</v>
      </c>
    </row>
    <row r="5785" spans="1:4" x14ac:dyDescent="0.2">
      <c r="A5785" t="s">
        <v>1323</v>
      </c>
      <c r="B5785" s="2">
        <v>43134</v>
      </c>
      <c r="C5785" t="s">
        <v>1836</v>
      </c>
      <c r="D5785" t="s">
        <v>1031</v>
      </c>
    </row>
    <row r="5786" spans="1:4" x14ac:dyDescent="0.2">
      <c r="A5786" t="s">
        <v>7411</v>
      </c>
      <c r="B5786" s="2">
        <v>43245</v>
      </c>
      <c r="C5786" t="s">
        <v>1836</v>
      </c>
      <c r="D5786" t="s">
        <v>1031</v>
      </c>
    </row>
    <row r="5787" spans="1:4" x14ac:dyDescent="0.2">
      <c r="A5787" t="s">
        <v>7412</v>
      </c>
      <c r="B5787" s="2">
        <v>43175</v>
      </c>
      <c r="C5787" t="s">
        <v>7413</v>
      </c>
      <c r="D5787" t="s">
        <v>1031</v>
      </c>
    </row>
    <row r="5788" spans="1:4" x14ac:dyDescent="0.2">
      <c r="A5788" t="s">
        <v>7414</v>
      </c>
      <c r="B5788" s="2">
        <v>43049</v>
      </c>
      <c r="C5788" t="s">
        <v>2108</v>
      </c>
      <c r="D5788" t="s">
        <v>1031</v>
      </c>
    </row>
    <row r="5789" spans="1:4" x14ac:dyDescent="0.2">
      <c r="A5789" t="s">
        <v>1325</v>
      </c>
      <c r="B5789" s="2">
        <v>43132</v>
      </c>
      <c r="C5789" t="s">
        <v>1814</v>
      </c>
      <c r="D5789" t="s">
        <v>1810</v>
      </c>
    </row>
    <row r="5790" spans="1:4" x14ac:dyDescent="0.2">
      <c r="A5790" t="s">
        <v>7415</v>
      </c>
      <c r="B5790" s="2">
        <v>43185</v>
      </c>
      <c r="C5790" t="s">
        <v>6505</v>
      </c>
      <c r="D5790" t="s">
        <v>1031</v>
      </c>
    </row>
    <row r="5791" spans="1:4" x14ac:dyDescent="0.2">
      <c r="A5791" t="s">
        <v>7416</v>
      </c>
      <c r="B5791" s="2">
        <v>43142</v>
      </c>
      <c r="C5791" t="s">
        <v>1803</v>
      </c>
      <c r="D5791" t="s">
        <v>1804</v>
      </c>
    </row>
    <row r="5792" spans="1:4" x14ac:dyDescent="0.2">
      <c r="A5792" t="s">
        <v>1327</v>
      </c>
      <c r="B5792" s="2">
        <v>43049</v>
      </c>
      <c r="C5792" t="s">
        <v>1803</v>
      </c>
      <c r="D5792" t="s">
        <v>1804</v>
      </c>
    </row>
    <row r="5793" spans="1:4" x14ac:dyDescent="0.2">
      <c r="A5793" t="s">
        <v>7417</v>
      </c>
      <c r="B5793" s="2">
        <v>43143</v>
      </c>
      <c r="C5793" t="s">
        <v>1816</v>
      </c>
      <c r="D5793" t="s">
        <v>1810</v>
      </c>
    </row>
    <row r="5794" spans="1:4" x14ac:dyDescent="0.2">
      <c r="A5794" t="s">
        <v>7418</v>
      </c>
      <c r="B5794" s="2">
        <v>43137</v>
      </c>
      <c r="C5794" t="s">
        <v>1803</v>
      </c>
      <c r="D5794" t="s">
        <v>1804</v>
      </c>
    </row>
    <row r="5795" spans="1:4" x14ac:dyDescent="0.2">
      <c r="A5795" t="s">
        <v>7419</v>
      </c>
      <c r="B5795" s="2">
        <v>43165</v>
      </c>
      <c r="C5795" t="s">
        <v>1803</v>
      </c>
      <c r="D5795" t="s">
        <v>1804</v>
      </c>
    </row>
    <row r="5796" spans="1:4" x14ac:dyDescent="0.2">
      <c r="A5796" t="s">
        <v>7420</v>
      </c>
      <c r="B5796" s="2">
        <v>43187</v>
      </c>
      <c r="C5796" t="s">
        <v>1928</v>
      </c>
      <c r="D5796" t="s">
        <v>1813</v>
      </c>
    </row>
    <row r="5797" spans="1:4" x14ac:dyDescent="0.2">
      <c r="A5797" t="s">
        <v>7421</v>
      </c>
      <c r="B5797" s="2">
        <v>43208</v>
      </c>
      <c r="C5797" t="s">
        <v>4290</v>
      </c>
      <c r="D5797" t="s">
        <v>1807</v>
      </c>
    </row>
    <row r="5798" spans="1:4" x14ac:dyDescent="0.2">
      <c r="A5798" t="s">
        <v>7422</v>
      </c>
      <c r="B5798" s="2">
        <v>43131</v>
      </c>
      <c r="C5798" t="s">
        <v>1905</v>
      </c>
      <c r="D5798" t="s">
        <v>1829</v>
      </c>
    </row>
    <row r="5799" spans="1:4" x14ac:dyDescent="0.2">
      <c r="A5799" t="s">
        <v>7423</v>
      </c>
      <c r="B5799" s="2">
        <v>43246</v>
      </c>
      <c r="C5799" t="s">
        <v>1928</v>
      </c>
      <c r="D5799" t="s">
        <v>1810</v>
      </c>
    </row>
    <row r="5800" spans="1:4" x14ac:dyDescent="0.2">
      <c r="A5800" t="s">
        <v>7424</v>
      </c>
      <c r="B5800" s="2">
        <v>43165</v>
      </c>
      <c r="C5800" t="s">
        <v>3333</v>
      </c>
      <c r="D5800" t="s">
        <v>1813</v>
      </c>
    </row>
    <row r="5801" spans="1:4" x14ac:dyDescent="0.2">
      <c r="A5801" t="s">
        <v>7425</v>
      </c>
      <c r="B5801" s="2">
        <v>42948</v>
      </c>
      <c r="C5801" t="s">
        <v>2679</v>
      </c>
      <c r="D5801" t="s">
        <v>1807</v>
      </c>
    </row>
    <row r="5802" spans="1:4" x14ac:dyDescent="0.2">
      <c r="A5802" t="s">
        <v>7426</v>
      </c>
      <c r="B5802" s="2">
        <v>42968</v>
      </c>
      <c r="C5802" t="s">
        <v>1814</v>
      </c>
      <c r="D5802" t="s">
        <v>1810</v>
      </c>
    </row>
    <row r="5803" spans="1:4" x14ac:dyDescent="0.2">
      <c r="A5803" t="s">
        <v>7427</v>
      </c>
      <c r="B5803" s="2">
        <v>43130</v>
      </c>
      <c r="C5803" t="s">
        <v>1809</v>
      </c>
      <c r="D5803" t="s">
        <v>1810</v>
      </c>
    </row>
    <row r="5804" spans="1:4" x14ac:dyDescent="0.2">
      <c r="A5804" t="s">
        <v>7428</v>
      </c>
      <c r="B5804" s="2">
        <v>43192</v>
      </c>
      <c r="C5804" t="s">
        <v>1806</v>
      </c>
      <c r="D5804" t="s">
        <v>1807</v>
      </c>
    </row>
    <row r="5805" spans="1:4" x14ac:dyDescent="0.2">
      <c r="A5805" t="s">
        <v>1329</v>
      </c>
      <c r="B5805" s="2">
        <v>43118</v>
      </c>
      <c r="C5805" t="s">
        <v>1836</v>
      </c>
      <c r="D5805" t="s">
        <v>1031</v>
      </c>
    </row>
    <row r="5806" spans="1:4" x14ac:dyDescent="0.2">
      <c r="A5806" t="s">
        <v>7429</v>
      </c>
      <c r="B5806" s="2">
        <v>43118</v>
      </c>
      <c r="C5806" t="s">
        <v>1814</v>
      </c>
      <c r="D5806" t="s">
        <v>1810</v>
      </c>
    </row>
    <row r="5807" spans="1:4" x14ac:dyDescent="0.2">
      <c r="A5807" t="s">
        <v>7430</v>
      </c>
      <c r="B5807" s="2">
        <v>43066</v>
      </c>
      <c r="C5807" t="s">
        <v>1803</v>
      </c>
      <c r="D5807" t="s">
        <v>1810</v>
      </c>
    </row>
    <row r="5808" spans="1:4" x14ac:dyDescent="0.2">
      <c r="A5808" t="s">
        <v>7431</v>
      </c>
      <c r="B5808" s="2">
        <v>43201</v>
      </c>
      <c r="C5808" t="s">
        <v>1863</v>
      </c>
      <c r="D5808" t="s">
        <v>1804</v>
      </c>
    </row>
    <row r="5809" spans="1:4" x14ac:dyDescent="0.2">
      <c r="A5809" t="s">
        <v>7432</v>
      </c>
      <c r="B5809" s="2">
        <v>43168</v>
      </c>
      <c r="C5809" t="s">
        <v>7433</v>
      </c>
      <c r="D5809" t="s">
        <v>1810</v>
      </c>
    </row>
    <row r="5810" spans="1:4" x14ac:dyDescent="0.2">
      <c r="A5810" t="s">
        <v>7434</v>
      </c>
      <c r="B5810" s="2">
        <v>43215</v>
      </c>
      <c r="C5810" t="s">
        <v>1909</v>
      </c>
      <c r="D5810" t="s">
        <v>1813</v>
      </c>
    </row>
    <row r="5811" spans="1:4" x14ac:dyDescent="0.2">
      <c r="A5811" t="s">
        <v>7435</v>
      </c>
      <c r="B5811" s="2">
        <v>43166</v>
      </c>
      <c r="C5811" t="s">
        <v>1993</v>
      </c>
      <c r="D5811" t="s">
        <v>1813</v>
      </c>
    </row>
    <row r="5812" spans="1:4" x14ac:dyDescent="0.2">
      <c r="A5812" t="s">
        <v>7436</v>
      </c>
      <c r="B5812" s="2">
        <v>43213</v>
      </c>
      <c r="C5812" t="s">
        <v>1998</v>
      </c>
      <c r="D5812" t="s">
        <v>1807</v>
      </c>
    </row>
    <row r="5813" spans="1:4" x14ac:dyDescent="0.2">
      <c r="A5813" t="s">
        <v>7437</v>
      </c>
      <c r="B5813" s="2">
        <v>43184</v>
      </c>
      <c r="C5813" t="s">
        <v>1816</v>
      </c>
      <c r="D5813" t="s">
        <v>1807</v>
      </c>
    </row>
    <row r="5814" spans="1:4" x14ac:dyDescent="0.2">
      <c r="A5814" t="s">
        <v>7438</v>
      </c>
      <c r="B5814" s="2">
        <v>43107</v>
      </c>
      <c r="C5814" t="s">
        <v>1831</v>
      </c>
      <c r="D5814" t="s">
        <v>160</v>
      </c>
    </row>
    <row r="5815" spans="1:4" x14ac:dyDescent="0.2">
      <c r="A5815" t="s">
        <v>7439</v>
      </c>
      <c r="B5815" s="2">
        <v>43115</v>
      </c>
      <c r="C5815" t="s">
        <v>1816</v>
      </c>
      <c r="D5815" t="s">
        <v>1810</v>
      </c>
    </row>
    <row r="5816" spans="1:4" x14ac:dyDescent="0.2">
      <c r="A5816" t="s">
        <v>7440</v>
      </c>
      <c r="B5816" s="2">
        <v>43180</v>
      </c>
      <c r="C5816" t="s">
        <v>1930</v>
      </c>
      <c r="D5816" t="s">
        <v>1807</v>
      </c>
    </row>
    <row r="5817" spans="1:4" x14ac:dyDescent="0.2">
      <c r="A5817" t="s">
        <v>7441</v>
      </c>
      <c r="B5817" s="2">
        <v>43088</v>
      </c>
      <c r="C5817" t="s">
        <v>1836</v>
      </c>
      <c r="D5817" t="s">
        <v>1031</v>
      </c>
    </row>
    <row r="5818" spans="1:4" x14ac:dyDescent="0.2">
      <c r="A5818" t="s">
        <v>1331</v>
      </c>
      <c r="B5818" s="2">
        <v>43179</v>
      </c>
      <c r="C5818" t="s">
        <v>1854</v>
      </c>
      <c r="D5818" t="s">
        <v>1840</v>
      </c>
    </row>
    <row r="5819" spans="1:4" x14ac:dyDescent="0.2">
      <c r="A5819" t="s">
        <v>7442</v>
      </c>
      <c r="B5819" s="2">
        <v>43133</v>
      </c>
      <c r="C5819" t="s">
        <v>1845</v>
      </c>
      <c r="D5819" t="s">
        <v>1804</v>
      </c>
    </row>
    <row r="5820" spans="1:4" x14ac:dyDescent="0.2">
      <c r="A5820" t="s">
        <v>7443</v>
      </c>
      <c r="B5820" s="2">
        <v>43207</v>
      </c>
      <c r="C5820" t="s">
        <v>1905</v>
      </c>
      <c r="D5820" t="s">
        <v>1807</v>
      </c>
    </row>
    <row r="5821" spans="1:4" x14ac:dyDescent="0.2">
      <c r="A5821" t="s">
        <v>7444</v>
      </c>
      <c r="B5821" s="2">
        <v>42962</v>
      </c>
      <c r="C5821" t="s">
        <v>1894</v>
      </c>
      <c r="D5821" t="s">
        <v>1804</v>
      </c>
    </row>
    <row r="5822" spans="1:4" x14ac:dyDescent="0.2">
      <c r="A5822" t="s">
        <v>1333</v>
      </c>
      <c r="B5822" s="2">
        <v>43197</v>
      </c>
      <c r="C5822" t="s">
        <v>1930</v>
      </c>
      <c r="D5822" t="s">
        <v>1807</v>
      </c>
    </row>
    <row r="5823" spans="1:4" x14ac:dyDescent="0.2">
      <c r="A5823" t="s">
        <v>7445</v>
      </c>
      <c r="B5823" s="2">
        <v>43040</v>
      </c>
      <c r="C5823" t="s">
        <v>1814</v>
      </c>
      <c r="D5823" t="s">
        <v>1810</v>
      </c>
    </row>
    <row r="5824" spans="1:4" x14ac:dyDescent="0.2">
      <c r="A5824" t="s">
        <v>7446</v>
      </c>
      <c r="B5824" s="2">
        <v>43137</v>
      </c>
      <c r="C5824" t="s">
        <v>1836</v>
      </c>
      <c r="D5824" t="s">
        <v>1031</v>
      </c>
    </row>
    <row r="5825" spans="1:4" x14ac:dyDescent="0.2">
      <c r="A5825" t="s">
        <v>7447</v>
      </c>
      <c r="B5825" s="2">
        <v>42971</v>
      </c>
      <c r="C5825" t="s">
        <v>1939</v>
      </c>
      <c r="D5825" t="s">
        <v>1807</v>
      </c>
    </row>
    <row r="5826" spans="1:4" x14ac:dyDescent="0.2">
      <c r="A5826" t="s">
        <v>7448</v>
      </c>
      <c r="B5826" s="2">
        <v>42953</v>
      </c>
      <c r="C5826" t="s">
        <v>2552</v>
      </c>
      <c r="D5826" t="s">
        <v>1807</v>
      </c>
    </row>
    <row r="5827" spans="1:4" x14ac:dyDescent="0.2">
      <c r="A5827" t="s">
        <v>7449</v>
      </c>
      <c r="B5827" s="2">
        <v>43150</v>
      </c>
      <c r="C5827" t="s">
        <v>3827</v>
      </c>
      <c r="D5827" t="s">
        <v>1810</v>
      </c>
    </row>
    <row r="5828" spans="1:4" x14ac:dyDescent="0.2">
      <c r="A5828" t="s">
        <v>7450</v>
      </c>
      <c r="B5828" s="2">
        <v>42938</v>
      </c>
      <c r="C5828" t="s">
        <v>2679</v>
      </c>
      <c r="D5828" t="s">
        <v>1031</v>
      </c>
    </row>
    <row r="5829" spans="1:4" x14ac:dyDescent="0.2">
      <c r="A5829" t="s">
        <v>7451</v>
      </c>
      <c r="B5829" s="2">
        <v>43217</v>
      </c>
      <c r="C5829" t="s">
        <v>1867</v>
      </c>
      <c r="D5829" t="s">
        <v>1804</v>
      </c>
    </row>
    <row r="5830" spans="1:4" x14ac:dyDescent="0.2">
      <c r="A5830" t="s">
        <v>7452</v>
      </c>
      <c r="B5830" s="2">
        <v>43111</v>
      </c>
      <c r="C5830" t="s">
        <v>1867</v>
      </c>
      <c r="D5830" t="s">
        <v>1810</v>
      </c>
    </row>
    <row r="5831" spans="1:4" x14ac:dyDescent="0.2">
      <c r="A5831" t="s">
        <v>7453</v>
      </c>
      <c r="B5831" s="2">
        <v>43060</v>
      </c>
      <c r="C5831" t="s">
        <v>2650</v>
      </c>
      <c r="D5831" t="s">
        <v>1829</v>
      </c>
    </row>
    <row r="5832" spans="1:4" x14ac:dyDescent="0.2">
      <c r="A5832" t="s">
        <v>7454</v>
      </c>
      <c r="B5832" s="2">
        <v>42920</v>
      </c>
      <c r="C5832" t="s">
        <v>3419</v>
      </c>
      <c r="D5832" t="s">
        <v>1810</v>
      </c>
    </row>
    <row r="5833" spans="1:4" x14ac:dyDescent="0.2">
      <c r="A5833" t="s">
        <v>7455</v>
      </c>
      <c r="B5833" s="2">
        <v>43194</v>
      </c>
      <c r="C5833" t="s">
        <v>1863</v>
      </c>
      <c r="D5833" t="s">
        <v>1804</v>
      </c>
    </row>
    <row r="5834" spans="1:4" x14ac:dyDescent="0.2">
      <c r="A5834" t="s">
        <v>7456</v>
      </c>
      <c r="B5834" s="2">
        <v>43137</v>
      </c>
      <c r="C5834" t="s">
        <v>2187</v>
      </c>
      <c r="D5834" t="s">
        <v>1807</v>
      </c>
    </row>
    <row r="5835" spans="1:4" x14ac:dyDescent="0.2">
      <c r="A5835" t="s">
        <v>7457</v>
      </c>
      <c r="B5835" s="2">
        <v>42937</v>
      </c>
      <c r="C5835" t="s">
        <v>1843</v>
      </c>
      <c r="D5835" t="s">
        <v>1807</v>
      </c>
    </row>
    <row r="5836" spans="1:4" x14ac:dyDescent="0.2">
      <c r="A5836" t="s">
        <v>7458</v>
      </c>
      <c r="B5836" s="2">
        <v>43203</v>
      </c>
      <c r="C5836" t="s">
        <v>1863</v>
      </c>
      <c r="D5836" t="s">
        <v>1804</v>
      </c>
    </row>
    <row r="5837" spans="1:4" x14ac:dyDescent="0.2">
      <c r="A5837" t="s">
        <v>7459</v>
      </c>
      <c r="B5837" s="2">
        <v>43191</v>
      </c>
      <c r="C5837" t="s">
        <v>1816</v>
      </c>
      <c r="D5837" t="s">
        <v>1810</v>
      </c>
    </row>
    <row r="5838" spans="1:4" x14ac:dyDescent="0.2">
      <c r="A5838" t="s">
        <v>7460</v>
      </c>
      <c r="B5838" s="2">
        <v>43235</v>
      </c>
      <c r="C5838" t="s">
        <v>1836</v>
      </c>
      <c r="D5838" t="s">
        <v>1031</v>
      </c>
    </row>
    <row r="5839" spans="1:4" x14ac:dyDescent="0.2">
      <c r="A5839" t="s">
        <v>7461</v>
      </c>
      <c r="B5839" s="2">
        <v>43140</v>
      </c>
      <c r="C5839" t="s">
        <v>1809</v>
      </c>
      <c r="D5839" t="s">
        <v>1804</v>
      </c>
    </row>
    <row r="5840" spans="1:4" x14ac:dyDescent="0.2">
      <c r="A5840" t="s">
        <v>7462</v>
      </c>
      <c r="B5840" s="2">
        <v>43159</v>
      </c>
      <c r="C5840" t="s">
        <v>1905</v>
      </c>
      <c r="D5840" t="s">
        <v>1810</v>
      </c>
    </row>
    <row r="5841" spans="1:4" x14ac:dyDescent="0.2">
      <c r="A5841" t="s">
        <v>7463</v>
      </c>
      <c r="B5841" s="2">
        <v>42957</v>
      </c>
      <c r="C5841" t="s">
        <v>1843</v>
      </c>
      <c r="D5841" t="s">
        <v>1807</v>
      </c>
    </row>
    <row r="5842" spans="1:4" x14ac:dyDescent="0.2">
      <c r="A5842" t="s">
        <v>7464</v>
      </c>
      <c r="B5842" s="2">
        <v>43206</v>
      </c>
      <c r="C5842" t="s">
        <v>1867</v>
      </c>
      <c r="D5842" t="s">
        <v>1031</v>
      </c>
    </row>
    <row r="5843" spans="1:4" x14ac:dyDescent="0.2">
      <c r="A5843" t="s">
        <v>7465</v>
      </c>
      <c r="B5843" s="2">
        <v>43191</v>
      </c>
      <c r="C5843" t="s">
        <v>2035</v>
      </c>
      <c r="D5843" t="s">
        <v>1804</v>
      </c>
    </row>
    <row r="5844" spans="1:4" x14ac:dyDescent="0.2">
      <c r="A5844" t="s">
        <v>7466</v>
      </c>
      <c r="B5844" s="2">
        <v>43194</v>
      </c>
      <c r="C5844" t="s">
        <v>7467</v>
      </c>
      <c r="D5844" t="s">
        <v>1031</v>
      </c>
    </row>
    <row r="5845" spans="1:4" x14ac:dyDescent="0.2">
      <c r="A5845" t="s">
        <v>7468</v>
      </c>
      <c r="B5845" s="2">
        <v>43201</v>
      </c>
      <c r="C5845" t="s">
        <v>7469</v>
      </c>
      <c r="D5845" t="s">
        <v>1840</v>
      </c>
    </row>
    <row r="5846" spans="1:4" x14ac:dyDescent="0.2">
      <c r="A5846" t="s">
        <v>7470</v>
      </c>
      <c r="B5846" s="2">
        <v>43241</v>
      </c>
      <c r="C5846" t="s">
        <v>1928</v>
      </c>
      <c r="D5846" t="s">
        <v>1031</v>
      </c>
    </row>
    <row r="5847" spans="1:4" x14ac:dyDescent="0.2">
      <c r="A5847" t="s">
        <v>7471</v>
      </c>
      <c r="B5847" s="2">
        <v>43249</v>
      </c>
      <c r="C5847" t="s">
        <v>1959</v>
      </c>
      <c r="D5847" t="s">
        <v>1840</v>
      </c>
    </row>
    <row r="5848" spans="1:4" x14ac:dyDescent="0.2">
      <c r="A5848" t="s">
        <v>7472</v>
      </c>
      <c r="B5848" s="2">
        <v>43222</v>
      </c>
      <c r="C5848" t="s">
        <v>2462</v>
      </c>
      <c r="D5848" t="s">
        <v>1031</v>
      </c>
    </row>
    <row r="5849" spans="1:4" x14ac:dyDescent="0.2">
      <c r="A5849" t="s">
        <v>7473</v>
      </c>
      <c r="B5849" s="2">
        <v>43187</v>
      </c>
      <c r="C5849" t="s">
        <v>5352</v>
      </c>
      <c r="D5849" t="s">
        <v>1810</v>
      </c>
    </row>
    <row r="5850" spans="1:4" x14ac:dyDescent="0.2">
      <c r="A5850" t="s">
        <v>7474</v>
      </c>
      <c r="B5850" s="2">
        <v>43096</v>
      </c>
      <c r="C5850" t="s">
        <v>2324</v>
      </c>
      <c r="D5850" t="s">
        <v>1810</v>
      </c>
    </row>
    <row r="5851" spans="1:4" x14ac:dyDescent="0.2">
      <c r="A5851" t="s">
        <v>7475</v>
      </c>
      <c r="B5851" s="2">
        <v>43167</v>
      </c>
      <c r="C5851" t="s">
        <v>1907</v>
      </c>
      <c r="D5851" t="s">
        <v>1807</v>
      </c>
    </row>
    <row r="5852" spans="1:4" x14ac:dyDescent="0.2">
      <c r="A5852" t="s">
        <v>7476</v>
      </c>
      <c r="B5852" s="2">
        <v>43018</v>
      </c>
      <c r="C5852" t="s">
        <v>1825</v>
      </c>
      <c r="D5852" t="s">
        <v>1810</v>
      </c>
    </row>
    <row r="5853" spans="1:4" x14ac:dyDescent="0.2">
      <c r="A5853" t="s">
        <v>7477</v>
      </c>
      <c r="B5853" s="2">
        <v>43152</v>
      </c>
      <c r="C5853" t="s">
        <v>1816</v>
      </c>
      <c r="D5853" t="s">
        <v>1810</v>
      </c>
    </row>
    <row r="5854" spans="1:4" x14ac:dyDescent="0.2">
      <c r="A5854" t="s">
        <v>7478</v>
      </c>
      <c r="B5854" s="2">
        <v>42951</v>
      </c>
      <c r="C5854" t="s">
        <v>7479</v>
      </c>
      <c r="D5854" t="s">
        <v>1031</v>
      </c>
    </row>
    <row r="5855" spans="1:4" x14ac:dyDescent="0.2">
      <c r="A5855" t="s">
        <v>7480</v>
      </c>
      <c r="B5855" s="2">
        <v>42942</v>
      </c>
      <c r="C5855" t="s">
        <v>1974</v>
      </c>
      <c r="D5855" t="s">
        <v>1807</v>
      </c>
    </row>
    <row r="5856" spans="1:4" x14ac:dyDescent="0.2">
      <c r="A5856" t="s">
        <v>7481</v>
      </c>
      <c r="B5856" s="2">
        <v>43178</v>
      </c>
      <c r="C5856" t="s">
        <v>7482</v>
      </c>
      <c r="D5856" t="s">
        <v>1807</v>
      </c>
    </row>
    <row r="5857" spans="1:4" x14ac:dyDescent="0.2">
      <c r="A5857" t="s">
        <v>7483</v>
      </c>
      <c r="B5857" s="2">
        <v>42927</v>
      </c>
      <c r="C5857" t="s">
        <v>2515</v>
      </c>
      <c r="D5857" t="s">
        <v>1810</v>
      </c>
    </row>
    <row r="5858" spans="1:4" x14ac:dyDescent="0.2">
      <c r="A5858" t="s">
        <v>7484</v>
      </c>
      <c r="B5858" s="2">
        <v>43186</v>
      </c>
      <c r="C5858" t="s">
        <v>1885</v>
      </c>
      <c r="D5858" t="s">
        <v>1807</v>
      </c>
    </row>
    <row r="5859" spans="1:4" x14ac:dyDescent="0.2">
      <c r="A5859" t="s">
        <v>7485</v>
      </c>
      <c r="B5859" s="2">
        <v>43181</v>
      </c>
      <c r="C5859" t="s">
        <v>1867</v>
      </c>
      <c r="D5859" t="s">
        <v>1813</v>
      </c>
    </row>
    <row r="5860" spans="1:4" x14ac:dyDescent="0.2">
      <c r="A5860" t="s">
        <v>7486</v>
      </c>
      <c r="B5860" s="2">
        <v>43122</v>
      </c>
      <c r="C5860" t="s">
        <v>1809</v>
      </c>
      <c r="D5860" t="s">
        <v>1810</v>
      </c>
    </row>
    <row r="5861" spans="1:4" x14ac:dyDescent="0.2">
      <c r="A5861" t="s">
        <v>7487</v>
      </c>
      <c r="B5861" s="2">
        <v>43157</v>
      </c>
      <c r="C5861" t="s">
        <v>1885</v>
      </c>
      <c r="D5861" t="s">
        <v>1807</v>
      </c>
    </row>
    <row r="5862" spans="1:4" x14ac:dyDescent="0.2">
      <c r="A5862" t="s">
        <v>1335</v>
      </c>
      <c r="B5862" s="2">
        <v>43193</v>
      </c>
      <c r="C5862" t="s">
        <v>1930</v>
      </c>
      <c r="D5862" t="s">
        <v>1807</v>
      </c>
    </row>
    <row r="5863" spans="1:4" x14ac:dyDescent="0.2">
      <c r="A5863" t="s">
        <v>7488</v>
      </c>
      <c r="B5863" s="2">
        <v>43171</v>
      </c>
      <c r="C5863" t="s">
        <v>1825</v>
      </c>
      <c r="D5863" t="s">
        <v>1810</v>
      </c>
    </row>
    <row r="5864" spans="1:4" x14ac:dyDescent="0.2">
      <c r="A5864" t="s">
        <v>7489</v>
      </c>
      <c r="B5864" s="2">
        <v>43173</v>
      </c>
      <c r="C5864" t="s">
        <v>1803</v>
      </c>
      <c r="D5864" t="s">
        <v>1804</v>
      </c>
    </row>
    <row r="5865" spans="1:4" x14ac:dyDescent="0.2">
      <c r="A5865" t="s">
        <v>7490</v>
      </c>
      <c r="B5865" s="2">
        <v>43168</v>
      </c>
      <c r="C5865" t="s">
        <v>7491</v>
      </c>
      <c r="D5865" t="s">
        <v>1031</v>
      </c>
    </row>
    <row r="5866" spans="1:4" x14ac:dyDescent="0.2">
      <c r="A5866" t="s">
        <v>7492</v>
      </c>
      <c r="B5866" s="2">
        <v>43139</v>
      </c>
      <c r="C5866" t="s">
        <v>3827</v>
      </c>
      <c r="D5866" t="s">
        <v>1849</v>
      </c>
    </row>
    <row r="5867" spans="1:4" x14ac:dyDescent="0.2">
      <c r="A5867" t="s">
        <v>7493</v>
      </c>
      <c r="B5867" s="2">
        <v>43250</v>
      </c>
      <c r="C5867" t="s">
        <v>1863</v>
      </c>
      <c r="D5867" t="s">
        <v>1829</v>
      </c>
    </row>
    <row r="5868" spans="1:4" x14ac:dyDescent="0.2">
      <c r="A5868" t="s">
        <v>7494</v>
      </c>
      <c r="B5868" s="2">
        <v>43150</v>
      </c>
      <c r="C5868" t="s">
        <v>1816</v>
      </c>
      <c r="D5868" t="s">
        <v>1807</v>
      </c>
    </row>
    <row r="5869" spans="1:4" x14ac:dyDescent="0.2">
      <c r="A5869" t="s">
        <v>7495</v>
      </c>
      <c r="B5869" s="2">
        <v>43204</v>
      </c>
      <c r="C5869" t="s">
        <v>1905</v>
      </c>
      <c r="D5869" t="s">
        <v>1810</v>
      </c>
    </row>
    <row r="5870" spans="1:4" x14ac:dyDescent="0.2">
      <c r="A5870" t="s">
        <v>1337</v>
      </c>
      <c r="B5870" s="2">
        <v>43118</v>
      </c>
      <c r="C5870" t="s">
        <v>1993</v>
      </c>
      <c r="D5870" t="s">
        <v>1807</v>
      </c>
    </row>
    <row r="5871" spans="1:4" x14ac:dyDescent="0.2">
      <c r="A5871" t="s">
        <v>7496</v>
      </c>
      <c r="B5871" s="2">
        <v>43109</v>
      </c>
      <c r="C5871" t="s">
        <v>5769</v>
      </c>
      <c r="D5871" t="s">
        <v>1810</v>
      </c>
    </row>
    <row r="5872" spans="1:4" x14ac:dyDescent="0.2">
      <c r="A5872" t="s">
        <v>7497</v>
      </c>
      <c r="B5872" s="2">
        <v>43245</v>
      </c>
      <c r="C5872" t="s">
        <v>1867</v>
      </c>
      <c r="D5872" t="s">
        <v>1031</v>
      </c>
    </row>
    <row r="5873" spans="1:4" x14ac:dyDescent="0.2">
      <c r="A5873" t="s">
        <v>7498</v>
      </c>
      <c r="B5873" s="2">
        <v>42944</v>
      </c>
      <c r="C5873" t="s">
        <v>2108</v>
      </c>
      <c r="D5873" t="s">
        <v>1849</v>
      </c>
    </row>
    <row r="5874" spans="1:4" x14ac:dyDescent="0.2">
      <c r="A5874" t="s">
        <v>7499</v>
      </c>
      <c r="B5874" s="2">
        <v>43205</v>
      </c>
      <c r="C5874" t="s">
        <v>1827</v>
      </c>
      <c r="D5874" t="s">
        <v>1807</v>
      </c>
    </row>
    <row r="5875" spans="1:4" x14ac:dyDescent="0.2">
      <c r="A5875" t="s">
        <v>7500</v>
      </c>
      <c r="B5875" s="2">
        <v>43036</v>
      </c>
      <c r="C5875" t="s">
        <v>1816</v>
      </c>
      <c r="D5875" t="s">
        <v>1810</v>
      </c>
    </row>
    <row r="5876" spans="1:4" x14ac:dyDescent="0.2">
      <c r="A5876" t="s">
        <v>7501</v>
      </c>
      <c r="B5876" s="2">
        <v>43164</v>
      </c>
      <c r="C5876" t="s">
        <v>1803</v>
      </c>
      <c r="D5876" t="s">
        <v>1804</v>
      </c>
    </row>
    <row r="5877" spans="1:4" x14ac:dyDescent="0.2">
      <c r="A5877" t="s">
        <v>7502</v>
      </c>
      <c r="B5877" s="2">
        <v>43110</v>
      </c>
      <c r="C5877" t="s">
        <v>1959</v>
      </c>
      <c r="D5877" t="s">
        <v>1840</v>
      </c>
    </row>
    <row r="5878" spans="1:4" x14ac:dyDescent="0.2">
      <c r="A5878" t="s">
        <v>1339</v>
      </c>
      <c r="B5878" s="2">
        <v>43220</v>
      </c>
      <c r="C5878" t="s">
        <v>4896</v>
      </c>
      <c r="D5878" t="s">
        <v>1796</v>
      </c>
    </row>
    <row r="5879" spans="1:4" x14ac:dyDescent="0.2">
      <c r="A5879" t="s">
        <v>1341</v>
      </c>
      <c r="B5879" s="2">
        <v>43108</v>
      </c>
      <c r="C5879" t="s">
        <v>1831</v>
      </c>
      <c r="D5879" t="s">
        <v>1810</v>
      </c>
    </row>
    <row r="5880" spans="1:4" x14ac:dyDescent="0.2">
      <c r="A5880" t="s">
        <v>7503</v>
      </c>
      <c r="B5880" s="2">
        <v>43165</v>
      </c>
      <c r="C5880" t="s">
        <v>1816</v>
      </c>
      <c r="D5880" t="s">
        <v>1810</v>
      </c>
    </row>
    <row r="5881" spans="1:4" x14ac:dyDescent="0.2">
      <c r="A5881" t="s">
        <v>7504</v>
      </c>
      <c r="B5881" s="2">
        <v>42957</v>
      </c>
      <c r="C5881" t="s">
        <v>1939</v>
      </c>
      <c r="D5881" t="s">
        <v>1031</v>
      </c>
    </row>
    <row r="5882" spans="1:4" x14ac:dyDescent="0.2">
      <c r="A5882" t="s">
        <v>1343</v>
      </c>
      <c r="B5882" s="2">
        <v>43236</v>
      </c>
      <c r="C5882" t="s">
        <v>1930</v>
      </c>
      <c r="D5882" t="s">
        <v>1810</v>
      </c>
    </row>
    <row r="5883" spans="1:4" x14ac:dyDescent="0.2">
      <c r="A5883" t="s">
        <v>7505</v>
      </c>
      <c r="B5883" s="2">
        <v>42947</v>
      </c>
      <c r="C5883" t="s">
        <v>1843</v>
      </c>
      <c r="D5883" t="s">
        <v>1807</v>
      </c>
    </row>
    <row r="5884" spans="1:4" x14ac:dyDescent="0.2">
      <c r="A5884" t="s">
        <v>7506</v>
      </c>
      <c r="B5884" s="2">
        <v>42968</v>
      </c>
      <c r="C5884" t="s">
        <v>1894</v>
      </c>
      <c r="D5884" t="s">
        <v>1804</v>
      </c>
    </row>
    <row r="5885" spans="1:4" x14ac:dyDescent="0.2">
      <c r="A5885" t="s">
        <v>7507</v>
      </c>
      <c r="B5885" s="2">
        <v>43173</v>
      </c>
      <c r="C5885" t="s">
        <v>2019</v>
      </c>
      <c r="D5885" t="s">
        <v>1813</v>
      </c>
    </row>
    <row r="5886" spans="1:4" x14ac:dyDescent="0.2">
      <c r="A5886" t="s">
        <v>7508</v>
      </c>
      <c r="B5886" s="2">
        <v>43217</v>
      </c>
      <c r="C5886" t="s">
        <v>1857</v>
      </c>
      <c r="D5886" t="s">
        <v>1804</v>
      </c>
    </row>
    <row r="5887" spans="1:4" x14ac:dyDescent="0.2">
      <c r="A5887" t="s">
        <v>7509</v>
      </c>
      <c r="B5887" s="2">
        <v>43108</v>
      </c>
      <c r="C5887" t="s">
        <v>1987</v>
      </c>
      <c r="D5887" t="s">
        <v>1807</v>
      </c>
    </row>
    <row r="5888" spans="1:4" x14ac:dyDescent="0.2">
      <c r="A5888" t="s">
        <v>7510</v>
      </c>
      <c r="B5888" s="2">
        <v>43116</v>
      </c>
      <c r="C5888" t="s">
        <v>1803</v>
      </c>
      <c r="D5888" t="s">
        <v>1804</v>
      </c>
    </row>
    <row r="5889" spans="1:4" x14ac:dyDescent="0.2">
      <c r="A5889" t="s">
        <v>7511</v>
      </c>
      <c r="B5889" s="2">
        <v>43176</v>
      </c>
      <c r="C5889" t="s">
        <v>1905</v>
      </c>
      <c r="D5889" t="s">
        <v>1810</v>
      </c>
    </row>
    <row r="5890" spans="1:4" x14ac:dyDescent="0.2">
      <c r="A5890" t="s">
        <v>7512</v>
      </c>
      <c r="B5890" s="2">
        <v>43234</v>
      </c>
      <c r="C5890" t="s">
        <v>1836</v>
      </c>
      <c r="D5890" t="s">
        <v>1031</v>
      </c>
    </row>
    <row r="5891" spans="1:4" x14ac:dyDescent="0.2">
      <c r="A5891" t="s">
        <v>7513</v>
      </c>
      <c r="B5891" s="2">
        <v>43222</v>
      </c>
      <c r="C5891" t="s">
        <v>1928</v>
      </c>
      <c r="D5891" t="s">
        <v>1810</v>
      </c>
    </row>
    <row r="5892" spans="1:4" x14ac:dyDescent="0.2">
      <c r="A5892" t="s">
        <v>7514</v>
      </c>
      <c r="B5892" s="2">
        <v>43062</v>
      </c>
      <c r="C5892" t="s">
        <v>2907</v>
      </c>
      <c r="D5892" t="s">
        <v>1813</v>
      </c>
    </row>
    <row r="5893" spans="1:4" x14ac:dyDescent="0.2">
      <c r="A5893" t="s">
        <v>7515</v>
      </c>
      <c r="B5893" s="2">
        <v>43179</v>
      </c>
      <c r="C5893" t="s">
        <v>2062</v>
      </c>
      <c r="D5893" t="s">
        <v>1810</v>
      </c>
    </row>
    <row r="5894" spans="1:4" x14ac:dyDescent="0.2">
      <c r="A5894" t="s">
        <v>7516</v>
      </c>
      <c r="B5894" s="2">
        <v>43230</v>
      </c>
      <c r="C5894" t="s">
        <v>3699</v>
      </c>
      <c r="D5894" t="s">
        <v>1813</v>
      </c>
    </row>
    <row r="5895" spans="1:4" x14ac:dyDescent="0.2">
      <c r="A5895" t="s">
        <v>7517</v>
      </c>
      <c r="B5895" s="2">
        <v>43180</v>
      </c>
      <c r="C5895" t="s">
        <v>1836</v>
      </c>
      <c r="D5895" t="s">
        <v>1807</v>
      </c>
    </row>
    <row r="5896" spans="1:4" x14ac:dyDescent="0.2">
      <c r="A5896" t="s">
        <v>1345</v>
      </c>
      <c r="B5896" s="2">
        <v>43177</v>
      </c>
      <c r="C5896" t="s">
        <v>2023</v>
      </c>
      <c r="D5896" t="s">
        <v>1804</v>
      </c>
    </row>
    <row r="5897" spans="1:4" x14ac:dyDescent="0.2">
      <c r="A5897" t="s">
        <v>7518</v>
      </c>
      <c r="B5897" s="2">
        <v>43045</v>
      </c>
      <c r="C5897" t="s">
        <v>1803</v>
      </c>
      <c r="D5897" t="s">
        <v>1804</v>
      </c>
    </row>
    <row r="5898" spans="1:4" x14ac:dyDescent="0.2">
      <c r="A5898" t="s">
        <v>7519</v>
      </c>
      <c r="B5898" s="2">
        <v>43229</v>
      </c>
      <c r="C5898" t="s">
        <v>1832</v>
      </c>
      <c r="D5898" t="s">
        <v>1807</v>
      </c>
    </row>
    <row r="5899" spans="1:4" x14ac:dyDescent="0.2">
      <c r="A5899" t="s">
        <v>7520</v>
      </c>
      <c r="B5899" s="2">
        <v>42943</v>
      </c>
      <c r="C5899" t="s">
        <v>1907</v>
      </c>
      <c r="D5899" t="s">
        <v>1807</v>
      </c>
    </row>
    <row r="5900" spans="1:4" x14ac:dyDescent="0.2">
      <c r="A5900" t="s">
        <v>7521</v>
      </c>
      <c r="B5900" s="2">
        <v>42935</v>
      </c>
      <c r="C5900" t="s">
        <v>1974</v>
      </c>
      <c r="D5900" t="s">
        <v>1849</v>
      </c>
    </row>
    <row r="5901" spans="1:4" x14ac:dyDescent="0.2">
      <c r="A5901" t="s">
        <v>7522</v>
      </c>
      <c r="B5901" s="2">
        <v>43044</v>
      </c>
      <c r="C5901" t="s">
        <v>1803</v>
      </c>
      <c r="D5901" t="s">
        <v>1804</v>
      </c>
    </row>
    <row r="5902" spans="1:4" x14ac:dyDescent="0.2">
      <c r="A5902" t="s">
        <v>7523</v>
      </c>
      <c r="B5902" s="2">
        <v>43157</v>
      </c>
      <c r="C5902" t="s">
        <v>2344</v>
      </c>
      <c r="D5902" t="s">
        <v>1031</v>
      </c>
    </row>
    <row r="5903" spans="1:4" x14ac:dyDescent="0.2">
      <c r="A5903" t="s">
        <v>7524</v>
      </c>
      <c r="B5903" s="2">
        <v>43025</v>
      </c>
      <c r="C5903" t="s">
        <v>1803</v>
      </c>
      <c r="D5903" t="s">
        <v>1804</v>
      </c>
    </row>
    <row r="5904" spans="1:4" x14ac:dyDescent="0.2">
      <c r="A5904" t="s">
        <v>1347</v>
      </c>
      <c r="B5904" s="2">
        <v>43241</v>
      </c>
      <c r="C5904" t="s">
        <v>1816</v>
      </c>
      <c r="D5904" t="s">
        <v>1807</v>
      </c>
    </row>
    <row r="5905" spans="1:4" x14ac:dyDescent="0.2">
      <c r="A5905" t="s">
        <v>1349</v>
      </c>
      <c r="B5905" s="2">
        <v>43168</v>
      </c>
      <c r="C5905" t="s">
        <v>1825</v>
      </c>
      <c r="D5905" t="s">
        <v>1810</v>
      </c>
    </row>
    <row r="5906" spans="1:4" x14ac:dyDescent="0.2">
      <c r="A5906" t="s">
        <v>7525</v>
      </c>
      <c r="B5906" s="2">
        <v>42968</v>
      </c>
      <c r="C5906" t="s">
        <v>1867</v>
      </c>
      <c r="D5906" t="s">
        <v>1807</v>
      </c>
    </row>
    <row r="5907" spans="1:4" x14ac:dyDescent="0.2">
      <c r="A5907" t="s">
        <v>7526</v>
      </c>
      <c r="B5907" s="2">
        <v>43178</v>
      </c>
      <c r="C5907" t="s">
        <v>1889</v>
      </c>
      <c r="D5907" t="s">
        <v>1810</v>
      </c>
    </row>
    <row r="5908" spans="1:4" x14ac:dyDescent="0.2">
      <c r="A5908" t="s">
        <v>7527</v>
      </c>
      <c r="B5908" s="2">
        <v>42969</v>
      </c>
      <c r="C5908" t="s">
        <v>2096</v>
      </c>
      <c r="D5908" t="s">
        <v>1810</v>
      </c>
    </row>
    <row r="5909" spans="1:4" x14ac:dyDescent="0.2">
      <c r="A5909" t="s">
        <v>7528</v>
      </c>
      <c r="B5909" s="2">
        <v>42929</v>
      </c>
      <c r="C5909" t="s">
        <v>1816</v>
      </c>
      <c r="D5909" t="s">
        <v>1829</v>
      </c>
    </row>
    <row r="5910" spans="1:4" x14ac:dyDescent="0.2">
      <c r="A5910" t="s">
        <v>7529</v>
      </c>
      <c r="B5910" s="2">
        <v>43180</v>
      </c>
      <c r="C5910" t="s">
        <v>1905</v>
      </c>
      <c r="D5910" t="s">
        <v>1810</v>
      </c>
    </row>
    <row r="5911" spans="1:4" x14ac:dyDescent="0.2">
      <c r="A5911" t="s">
        <v>7530</v>
      </c>
      <c r="B5911" s="2">
        <v>43090</v>
      </c>
      <c r="C5911" t="s">
        <v>1836</v>
      </c>
      <c r="D5911" t="s">
        <v>1031</v>
      </c>
    </row>
    <row r="5912" spans="1:4" x14ac:dyDescent="0.2">
      <c r="A5912" t="s">
        <v>1351</v>
      </c>
      <c r="B5912" s="2">
        <v>43148</v>
      </c>
      <c r="C5912" t="s">
        <v>1825</v>
      </c>
      <c r="D5912" t="s">
        <v>1810</v>
      </c>
    </row>
    <row r="5913" spans="1:4" x14ac:dyDescent="0.2">
      <c r="A5913" t="s">
        <v>7531</v>
      </c>
      <c r="B5913" s="2">
        <v>43235</v>
      </c>
      <c r="C5913" t="s">
        <v>1818</v>
      </c>
      <c r="D5913" t="s">
        <v>1813</v>
      </c>
    </row>
    <row r="5914" spans="1:4" x14ac:dyDescent="0.2">
      <c r="A5914" t="s">
        <v>7532</v>
      </c>
      <c r="B5914" s="2">
        <v>43024</v>
      </c>
      <c r="C5914" t="s">
        <v>1836</v>
      </c>
      <c r="D5914" t="s">
        <v>1031</v>
      </c>
    </row>
    <row r="5915" spans="1:4" x14ac:dyDescent="0.2">
      <c r="A5915" t="s">
        <v>7533</v>
      </c>
      <c r="B5915" s="2">
        <v>43216</v>
      </c>
      <c r="C5915" t="s">
        <v>1905</v>
      </c>
      <c r="D5915" t="s">
        <v>1807</v>
      </c>
    </row>
    <row r="5916" spans="1:4" x14ac:dyDescent="0.2">
      <c r="A5916" t="s">
        <v>7534</v>
      </c>
      <c r="B5916" s="2">
        <v>43037</v>
      </c>
      <c r="C5916" t="s">
        <v>1825</v>
      </c>
      <c r="D5916" t="s">
        <v>1807</v>
      </c>
    </row>
    <row r="5917" spans="1:4" x14ac:dyDescent="0.2">
      <c r="A5917" t="s">
        <v>7535</v>
      </c>
      <c r="B5917" s="2">
        <v>43204</v>
      </c>
      <c r="C5917" t="s">
        <v>1905</v>
      </c>
      <c r="D5917" t="s">
        <v>1804</v>
      </c>
    </row>
    <row r="5918" spans="1:4" x14ac:dyDescent="0.2">
      <c r="A5918" t="s">
        <v>7536</v>
      </c>
      <c r="B5918" s="2">
        <v>43235</v>
      </c>
      <c r="C5918" t="s">
        <v>1928</v>
      </c>
      <c r="D5918" t="s">
        <v>160</v>
      </c>
    </row>
    <row r="5919" spans="1:4" x14ac:dyDescent="0.2">
      <c r="A5919" t="s">
        <v>7537</v>
      </c>
      <c r="B5919" s="2">
        <v>43173</v>
      </c>
      <c r="C5919" t="s">
        <v>1831</v>
      </c>
      <c r="D5919" t="s">
        <v>160</v>
      </c>
    </row>
    <row r="5920" spans="1:4" x14ac:dyDescent="0.2">
      <c r="A5920" t="s">
        <v>7538</v>
      </c>
      <c r="B5920" s="2">
        <v>43131</v>
      </c>
      <c r="C5920" t="s">
        <v>1836</v>
      </c>
      <c r="D5920" t="s">
        <v>1810</v>
      </c>
    </row>
    <row r="5921" spans="1:4" x14ac:dyDescent="0.2">
      <c r="A5921" t="s">
        <v>7539</v>
      </c>
      <c r="B5921" s="2">
        <v>43067</v>
      </c>
      <c r="C5921" t="s">
        <v>1836</v>
      </c>
      <c r="D5921" t="s">
        <v>1031</v>
      </c>
    </row>
    <row r="5922" spans="1:4" x14ac:dyDescent="0.2">
      <c r="A5922" t="s">
        <v>7540</v>
      </c>
      <c r="B5922" s="2">
        <v>43244</v>
      </c>
      <c r="C5922" t="s">
        <v>2283</v>
      </c>
      <c r="D5922" t="s">
        <v>1813</v>
      </c>
    </row>
    <row r="5923" spans="1:4" x14ac:dyDescent="0.2">
      <c r="A5923" t="s">
        <v>7541</v>
      </c>
      <c r="B5923" s="2">
        <v>43125</v>
      </c>
      <c r="C5923" t="s">
        <v>1803</v>
      </c>
      <c r="D5923" t="s">
        <v>1804</v>
      </c>
    </row>
    <row r="5924" spans="1:4" x14ac:dyDescent="0.2">
      <c r="A5924" t="s">
        <v>7542</v>
      </c>
      <c r="B5924" s="2">
        <v>43168</v>
      </c>
      <c r="C5924" t="s">
        <v>1803</v>
      </c>
      <c r="D5924" t="s">
        <v>1804</v>
      </c>
    </row>
    <row r="5925" spans="1:4" x14ac:dyDescent="0.2">
      <c r="A5925" t="s">
        <v>7543</v>
      </c>
      <c r="B5925" s="2">
        <v>43145</v>
      </c>
      <c r="C5925" t="s">
        <v>2829</v>
      </c>
      <c r="D5925" t="s">
        <v>1810</v>
      </c>
    </row>
    <row r="5926" spans="1:4" x14ac:dyDescent="0.2">
      <c r="A5926" t="s">
        <v>7544</v>
      </c>
      <c r="B5926" s="2">
        <v>43223</v>
      </c>
      <c r="C5926" t="s">
        <v>7545</v>
      </c>
      <c r="D5926" t="s">
        <v>1840</v>
      </c>
    </row>
    <row r="5927" spans="1:4" x14ac:dyDescent="0.2">
      <c r="A5927" t="s">
        <v>7546</v>
      </c>
      <c r="B5927" s="2">
        <v>43206</v>
      </c>
      <c r="C5927" t="s">
        <v>1867</v>
      </c>
      <c r="D5927" t="s">
        <v>1810</v>
      </c>
    </row>
    <row r="5928" spans="1:4" x14ac:dyDescent="0.2">
      <c r="A5928" t="s">
        <v>7547</v>
      </c>
      <c r="B5928" s="2">
        <v>43219</v>
      </c>
      <c r="C5928" t="s">
        <v>1809</v>
      </c>
      <c r="D5928" t="s">
        <v>1813</v>
      </c>
    </row>
    <row r="5929" spans="1:4" x14ac:dyDescent="0.2">
      <c r="A5929" t="s">
        <v>7548</v>
      </c>
      <c r="B5929" s="2">
        <v>43130</v>
      </c>
      <c r="C5929" t="s">
        <v>1859</v>
      </c>
      <c r="D5929" t="s">
        <v>1840</v>
      </c>
    </row>
    <row r="5930" spans="1:4" x14ac:dyDescent="0.2">
      <c r="A5930" t="s">
        <v>7549</v>
      </c>
      <c r="B5930" s="2">
        <v>43005</v>
      </c>
      <c r="C5930" t="s">
        <v>2206</v>
      </c>
      <c r="D5930" t="s">
        <v>1840</v>
      </c>
    </row>
    <row r="5931" spans="1:4" x14ac:dyDescent="0.2">
      <c r="A5931" t="s">
        <v>7550</v>
      </c>
      <c r="B5931" s="2">
        <v>42941</v>
      </c>
      <c r="C5931" t="s">
        <v>2552</v>
      </c>
      <c r="D5931" t="s">
        <v>1807</v>
      </c>
    </row>
    <row r="5932" spans="1:4" x14ac:dyDescent="0.2">
      <c r="A5932" t="s">
        <v>7551</v>
      </c>
      <c r="B5932" s="2">
        <v>43248</v>
      </c>
      <c r="C5932" t="s">
        <v>1996</v>
      </c>
      <c r="D5932" t="s">
        <v>1810</v>
      </c>
    </row>
    <row r="5933" spans="1:4" x14ac:dyDescent="0.2">
      <c r="A5933" t="s">
        <v>1353</v>
      </c>
      <c r="B5933" s="2">
        <v>43154</v>
      </c>
      <c r="C5933" t="s">
        <v>1930</v>
      </c>
      <c r="D5933" t="s">
        <v>1807</v>
      </c>
    </row>
    <row r="5934" spans="1:4" x14ac:dyDescent="0.2">
      <c r="A5934" t="s">
        <v>1355</v>
      </c>
      <c r="B5934" s="2">
        <v>43200</v>
      </c>
      <c r="C5934" t="s">
        <v>1930</v>
      </c>
      <c r="D5934" t="s">
        <v>1807</v>
      </c>
    </row>
    <row r="5935" spans="1:4" x14ac:dyDescent="0.2">
      <c r="A5935" t="s">
        <v>7552</v>
      </c>
      <c r="B5935" s="2">
        <v>43143</v>
      </c>
      <c r="C5935" t="s">
        <v>7553</v>
      </c>
      <c r="D5935" t="s">
        <v>1796</v>
      </c>
    </row>
    <row r="5936" spans="1:4" x14ac:dyDescent="0.2">
      <c r="A5936" t="s">
        <v>7554</v>
      </c>
      <c r="B5936" s="2">
        <v>43156</v>
      </c>
      <c r="C5936" t="s">
        <v>1803</v>
      </c>
      <c r="D5936" t="s">
        <v>160</v>
      </c>
    </row>
    <row r="5937" spans="1:4" x14ac:dyDescent="0.2">
      <c r="A5937" t="s">
        <v>7555</v>
      </c>
      <c r="B5937" s="2">
        <v>42947</v>
      </c>
      <c r="C5937" t="s">
        <v>2407</v>
      </c>
      <c r="D5937" t="s">
        <v>1840</v>
      </c>
    </row>
    <row r="5938" spans="1:4" x14ac:dyDescent="0.2">
      <c r="A5938" t="s">
        <v>7556</v>
      </c>
      <c r="B5938" s="2">
        <v>43243</v>
      </c>
      <c r="C5938" t="s">
        <v>1816</v>
      </c>
      <c r="D5938" t="s">
        <v>1829</v>
      </c>
    </row>
    <row r="5939" spans="1:4" x14ac:dyDescent="0.2">
      <c r="A5939" t="s">
        <v>7557</v>
      </c>
      <c r="B5939" s="2">
        <v>43175</v>
      </c>
      <c r="C5939" t="s">
        <v>1825</v>
      </c>
      <c r="D5939" t="s">
        <v>1810</v>
      </c>
    </row>
    <row r="5940" spans="1:4" x14ac:dyDescent="0.2">
      <c r="A5940" t="s">
        <v>7558</v>
      </c>
      <c r="B5940" s="2">
        <v>43240</v>
      </c>
      <c r="C5940" t="s">
        <v>1863</v>
      </c>
      <c r="D5940" t="s">
        <v>1804</v>
      </c>
    </row>
    <row r="5941" spans="1:4" x14ac:dyDescent="0.2">
      <c r="A5941" t="s">
        <v>7559</v>
      </c>
      <c r="B5941" s="2">
        <v>43241</v>
      </c>
      <c r="C5941" t="s">
        <v>7560</v>
      </c>
      <c r="D5941" t="s">
        <v>1807</v>
      </c>
    </row>
    <row r="5942" spans="1:4" x14ac:dyDescent="0.2">
      <c r="A5942" t="s">
        <v>7561</v>
      </c>
      <c r="B5942" s="2">
        <v>43166</v>
      </c>
      <c r="C5942" t="s">
        <v>1816</v>
      </c>
      <c r="D5942" t="s">
        <v>1807</v>
      </c>
    </row>
    <row r="5943" spans="1:4" x14ac:dyDescent="0.2">
      <c r="A5943" t="s">
        <v>7562</v>
      </c>
      <c r="B5943" s="2">
        <v>43125</v>
      </c>
      <c r="C5943" t="s">
        <v>1836</v>
      </c>
      <c r="D5943" t="s">
        <v>1031</v>
      </c>
    </row>
    <row r="5944" spans="1:4" x14ac:dyDescent="0.2">
      <c r="A5944" t="s">
        <v>7563</v>
      </c>
      <c r="B5944" s="2">
        <v>43224</v>
      </c>
      <c r="C5944" t="s">
        <v>4907</v>
      </c>
      <c r="D5944" t="s">
        <v>1840</v>
      </c>
    </row>
    <row r="5945" spans="1:4" x14ac:dyDescent="0.2">
      <c r="A5945" t="s">
        <v>1357</v>
      </c>
      <c r="B5945" s="2">
        <v>43001</v>
      </c>
      <c r="C5945" t="s">
        <v>1816</v>
      </c>
      <c r="D5945" t="s">
        <v>1810</v>
      </c>
    </row>
    <row r="5946" spans="1:4" x14ac:dyDescent="0.2">
      <c r="A5946" t="s">
        <v>7564</v>
      </c>
      <c r="B5946" s="2">
        <v>42957</v>
      </c>
      <c r="C5946" t="s">
        <v>1867</v>
      </c>
      <c r="D5946" t="s">
        <v>1807</v>
      </c>
    </row>
    <row r="5947" spans="1:4" x14ac:dyDescent="0.2">
      <c r="A5947" t="s">
        <v>7565</v>
      </c>
      <c r="B5947" s="2">
        <v>42948</v>
      </c>
      <c r="C5947" t="s">
        <v>2407</v>
      </c>
      <c r="D5947" t="s">
        <v>1810</v>
      </c>
    </row>
    <row r="5948" spans="1:4" x14ac:dyDescent="0.2">
      <c r="A5948" t="s">
        <v>7566</v>
      </c>
      <c r="B5948" s="2">
        <v>42990</v>
      </c>
      <c r="C5948" t="s">
        <v>1825</v>
      </c>
      <c r="D5948" t="s">
        <v>1031</v>
      </c>
    </row>
    <row r="5949" spans="1:4" x14ac:dyDescent="0.2">
      <c r="A5949" t="s">
        <v>7567</v>
      </c>
      <c r="B5949" s="2">
        <v>43223</v>
      </c>
      <c r="C5949" t="s">
        <v>1816</v>
      </c>
      <c r="D5949" t="s">
        <v>1807</v>
      </c>
    </row>
    <row r="5950" spans="1:4" x14ac:dyDescent="0.2">
      <c r="A5950" t="s">
        <v>7568</v>
      </c>
      <c r="B5950" s="2">
        <v>43218</v>
      </c>
      <c r="C5950" t="s">
        <v>1930</v>
      </c>
      <c r="D5950" t="s">
        <v>1807</v>
      </c>
    </row>
    <row r="5951" spans="1:4" x14ac:dyDescent="0.2">
      <c r="A5951" t="s">
        <v>7569</v>
      </c>
      <c r="B5951" s="2">
        <v>43122</v>
      </c>
      <c r="C5951" t="s">
        <v>1812</v>
      </c>
      <c r="D5951" t="s">
        <v>160</v>
      </c>
    </row>
    <row r="5952" spans="1:4" x14ac:dyDescent="0.2">
      <c r="A5952" t="s">
        <v>7570</v>
      </c>
      <c r="B5952" s="2">
        <v>43119</v>
      </c>
      <c r="C5952" t="s">
        <v>2054</v>
      </c>
      <c r="D5952" t="s">
        <v>1810</v>
      </c>
    </row>
    <row r="5953" spans="1:4" x14ac:dyDescent="0.2">
      <c r="A5953" t="s">
        <v>7571</v>
      </c>
      <c r="B5953" s="2">
        <v>43149</v>
      </c>
      <c r="C5953" t="s">
        <v>1816</v>
      </c>
      <c r="D5953" t="s">
        <v>1810</v>
      </c>
    </row>
    <row r="5954" spans="1:4" x14ac:dyDescent="0.2">
      <c r="A5954" t="s">
        <v>7572</v>
      </c>
      <c r="B5954" s="2">
        <v>43203</v>
      </c>
      <c r="C5954" t="s">
        <v>2115</v>
      </c>
      <c r="D5954" t="s">
        <v>1804</v>
      </c>
    </row>
    <row r="5955" spans="1:4" x14ac:dyDescent="0.2">
      <c r="A5955" t="s">
        <v>7573</v>
      </c>
      <c r="B5955" s="2">
        <v>43164</v>
      </c>
      <c r="C5955" t="s">
        <v>1803</v>
      </c>
      <c r="D5955" t="s">
        <v>1804</v>
      </c>
    </row>
    <row r="5956" spans="1:4" x14ac:dyDescent="0.2">
      <c r="A5956" t="s">
        <v>7574</v>
      </c>
      <c r="B5956" s="2">
        <v>43123</v>
      </c>
      <c r="C5956" t="s">
        <v>1930</v>
      </c>
      <c r="D5956" t="s">
        <v>1813</v>
      </c>
    </row>
    <row r="5957" spans="1:4" x14ac:dyDescent="0.2">
      <c r="A5957" t="s">
        <v>7575</v>
      </c>
      <c r="B5957" s="2">
        <v>42953</v>
      </c>
      <c r="C5957" t="s">
        <v>7433</v>
      </c>
      <c r="D5957" t="s">
        <v>1810</v>
      </c>
    </row>
    <row r="5958" spans="1:4" x14ac:dyDescent="0.2">
      <c r="A5958" t="s">
        <v>7576</v>
      </c>
      <c r="B5958" s="2">
        <v>43062</v>
      </c>
      <c r="C5958" t="s">
        <v>1930</v>
      </c>
      <c r="D5958" t="s">
        <v>1807</v>
      </c>
    </row>
    <row r="5959" spans="1:4" x14ac:dyDescent="0.2">
      <c r="A5959" t="s">
        <v>7577</v>
      </c>
      <c r="B5959" s="2">
        <v>43128</v>
      </c>
      <c r="C5959" t="s">
        <v>2716</v>
      </c>
      <c r="D5959" t="s">
        <v>1810</v>
      </c>
    </row>
    <row r="5960" spans="1:4" x14ac:dyDescent="0.2">
      <c r="A5960" t="s">
        <v>7578</v>
      </c>
      <c r="B5960" s="2">
        <v>43173</v>
      </c>
      <c r="C5960" t="s">
        <v>1928</v>
      </c>
      <c r="D5960" t="s">
        <v>1810</v>
      </c>
    </row>
    <row r="5961" spans="1:4" x14ac:dyDescent="0.2">
      <c r="A5961" t="s">
        <v>7579</v>
      </c>
      <c r="B5961" s="2">
        <v>43132</v>
      </c>
      <c r="C5961" t="s">
        <v>3415</v>
      </c>
      <c r="D5961" t="s">
        <v>1807</v>
      </c>
    </row>
    <row r="5962" spans="1:4" x14ac:dyDescent="0.2">
      <c r="A5962" t="s">
        <v>1360</v>
      </c>
      <c r="B5962" s="2">
        <v>43188</v>
      </c>
      <c r="C5962" t="s">
        <v>1816</v>
      </c>
      <c r="D5962" t="s">
        <v>1807</v>
      </c>
    </row>
    <row r="5963" spans="1:4" x14ac:dyDescent="0.2">
      <c r="A5963" t="s">
        <v>7580</v>
      </c>
      <c r="B5963" s="2">
        <v>43058</v>
      </c>
      <c r="C5963" t="s">
        <v>1803</v>
      </c>
      <c r="D5963" t="s">
        <v>1804</v>
      </c>
    </row>
    <row r="5964" spans="1:4" x14ac:dyDescent="0.2">
      <c r="A5964" t="s">
        <v>7581</v>
      </c>
      <c r="B5964" s="2">
        <v>43179</v>
      </c>
      <c r="C5964" t="s">
        <v>1885</v>
      </c>
      <c r="D5964" t="s">
        <v>1807</v>
      </c>
    </row>
    <row r="5965" spans="1:4" x14ac:dyDescent="0.2">
      <c r="A5965" t="s">
        <v>1362</v>
      </c>
      <c r="B5965" s="2">
        <v>43156</v>
      </c>
      <c r="C5965" t="s">
        <v>1816</v>
      </c>
      <c r="D5965" t="s">
        <v>1840</v>
      </c>
    </row>
    <row r="5966" spans="1:4" x14ac:dyDescent="0.2">
      <c r="A5966" t="s">
        <v>7582</v>
      </c>
      <c r="B5966" s="2">
        <v>43035</v>
      </c>
      <c r="C5966" t="s">
        <v>1836</v>
      </c>
      <c r="D5966" t="s">
        <v>1807</v>
      </c>
    </row>
    <row r="5967" spans="1:4" x14ac:dyDescent="0.2">
      <c r="A5967" t="s">
        <v>7583</v>
      </c>
      <c r="B5967" s="2">
        <v>43248</v>
      </c>
      <c r="C5967" t="s">
        <v>1863</v>
      </c>
      <c r="D5967" t="s">
        <v>1810</v>
      </c>
    </row>
    <row r="5968" spans="1:4" x14ac:dyDescent="0.2">
      <c r="A5968" t="s">
        <v>7584</v>
      </c>
      <c r="B5968" s="2">
        <v>43084</v>
      </c>
      <c r="C5968" t="s">
        <v>1915</v>
      </c>
      <c r="D5968" t="s">
        <v>1807</v>
      </c>
    </row>
    <row r="5969" spans="1:4" x14ac:dyDescent="0.2">
      <c r="A5969" t="s">
        <v>7585</v>
      </c>
      <c r="B5969" s="2">
        <v>43049</v>
      </c>
      <c r="C5969" t="s">
        <v>1880</v>
      </c>
      <c r="D5969" t="s">
        <v>1813</v>
      </c>
    </row>
    <row r="5970" spans="1:4" x14ac:dyDescent="0.2">
      <c r="A5970" t="s">
        <v>1364</v>
      </c>
      <c r="B5970" s="2">
        <v>43023</v>
      </c>
      <c r="C5970" t="s">
        <v>1803</v>
      </c>
      <c r="D5970" t="s">
        <v>1804</v>
      </c>
    </row>
    <row r="5971" spans="1:4" x14ac:dyDescent="0.2">
      <c r="A5971" t="s">
        <v>7586</v>
      </c>
      <c r="B5971" s="2">
        <v>43055</v>
      </c>
      <c r="C5971" t="s">
        <v>1930</v>
      </c>
      <c r="D5971" t="s">
        <v>1807</v>
      </c>
    </row>
    <row r="5972" spans="1:4" x14ac:dyDescent="0.2">
      <c r="A5972" t="s">
        <v>7587</v>
      </c>
      <c r="B5972" s="2">
        <v>43124</v>
      </c>
      <c r="C5972" t="s">
        <v>2054</v>
      </c>
      <c r="D5972" t="s">
        <v>1807</v>
      </c>
    </row>
    <row r="5973" spans="1:4" x14ac:dyDescent="0.2">
      <c r="A5973" t="s">
        <v>7588</v>
      </c>
      <c r="B5973" s="2">
        <v>43201</v>
      </c>
      <c r="C5973" t="s">
        <v>2382</v>
      </c>
      <c r="D5973" t="s">
        <v>1804</v>
      </c>
    </row>
    <row r="5974" spans="1:4" x14ac:dyDescent="0.2">
      <c r="A5974" t="s">
        <v>1366</v>
      </c>
      <c r="B5974" s="2">
        <v>43241</v>
      </c>
      <c r="C5974" t="s">
        <v>1816</v>
      </c>
      <c r="D5974" t="s">
        <v>1840</v>
      </c>
    </row>
    <row r="5975" spans="1:4" x14ac:dyDescent="0.2">
      <c r="A5975" t="s">
        <v>7589</v>
      </c>
      <c r="B5975" s="2">
        <v>43207</v>
      </c>
      <c r="C5975" t="s">
        <v>1905</v>
      </c>
      <c r="D5975" t="s">
        <v>1840</v>
      </c>
    </row>
    <row r="5976" spans="1:4" x14ac:dyDescent="0.2">
      <c r="A5976" t="s">
        <v>7590</v>
      </c>
      <c r="B5976" s="2">
        <v>43243</v>
      </c>
      <c r="C5976" t="s">
        <v>1863</v>
      </c>
      <c r="D5976" t="s">
        <v>1804</v>
      </c>
    </row>
    <row r="5977" spans="1:4" x14ac:dyDescent="0.2">
      <c r="A5977" t="s">
        <v>7591</v>
      </c>
      <c r="B5977" s="2">
        <v>43008</v>
      </c>
      <c r="C5977" t="s">
        <v>1825</v>
      </c>
      <c r="D5977" t="s">
        <v>1810</v>
      </c>
    </row>
    <row r="5978" spans="1:4" x14ac:dyDescent="0.2">
      <c r="A5978" t="s">
        <v>7592</v>
      </c>
      <c r="B5978" s="2">
        <v>43174</v>
      </c>
      <c r="C5978" t="s">
        <v>7593</v>
      </c>
      <c r="D5978" t="s">
        <v>1031</v>
      </c>
    </row>
    <row r="5979" spans="1:4" x14ac:dyDescent="0.2">
      <c r="A5979" t="s">
        <v>7594</v>
      </c>
      <c r="B5979" s="2">
        <v>43215</v>
      </c>
      <c r="C5979" t="s">
        <v>1816</v>
      </c>
      <c r="D5979" t="s">
        <v>1031</v>
      </c>
    </row>
    <row r="5980" spans="1:4" x14ac:dyDescent="0.2">
      <c r="A5980" t="s">
        <v>7595</v>
      </c>
      <c r="B5980" s="2">
        <v>43238</v>
      </c>
      <c r="C5980" t="s">
        <v>1825</v>
      </c>
      <c r="D5980" t="s">
        <v>1810</v>
      </c>
    </row>
    <row r="5981" spans="1:4" x14ac:dyDescent="0.2">
      <c r="A5981" t="s">
        <v>7596</v>
      </c>
      <c r="B5981" s="2">
        <v>43220</v>
      </c>
      <c r="C5981" t="s">
        <v>1825</v>
      </c>
      <c r="D5981" t="s">
        <v>1031</v>
      </c>
    </row>
    <row r="5982" spans="1:4" x14ac:dyDescent="0.2">
      <c r="A5982" t="s">
        <v>7597</v>
      </c>
      <c r="B5982" s="2">
        <v>43172</v>
      </c>
      <c r="C5982" t="s">
        <v>2019</v>
      </c>
      <c r="D5982" t="s">
        <v>1807</v>
      </c>
    </row>
    <row r="5983" spans="1:4" x14ac:dyDescent="0.2">
      <c r="A5983" t="s">
        <v>7598</v>
      </c>
      <c r="B5983" s="2">
        <v>43245</v>
      </c>
      <c r="C5983" t="s">
        <v>1832</v>
      </c>
      <c r="D5983" t="s">
        <v>1807</v>
      </c>
    </row>
    <row r="5984" spans="1:4" x14ac:dyDescent="0.2">
      <c r="A5984" t="s">
        <v>7599</v>
      </c>
      <c r="B5984" s="2">
        <v>43005</v>
      </c>
      <c r="C5984" t="s">
        <v>1806</v>
      </c>
      <c r="D5984" t="s">
        <v>1807</v>
      </c>
    </row>
    <row r="5985" spans="1:4" x14ac:dyDescent="0.2">
      <c r="A5985" t="s">
        <v>7600</v>
      </c>
      <c r="B5985" s="2">
        <v>43176</v>
      </c>
      <c r="C5985" t="s">
        <v>1885</v>
      </c>
      <c r="D5985" t="s">
        <v>1807</v>
      </c>
    </row>
    <row r="5986" spans="1:4" x14ac:dyDescent="0.2">
      <c r="A5986" t="s">
        <v>7601</v>
      </c>
      <c r="B5986" s="2">
        <v>43013</v>
      </c>
      <c r="C5986" t="s">
        <v>1905</v>
      </c>
      <c r="D5986" t="s">
        <v>1810</v>
      </c>
    </row>
    <row r="5987" spans="1:4" x14ac:dyDescent="0.2">
      <c r="A5987" t="s">
        <v>7602</v>
      </c>
      <c r="B5987" s="2">
        <v>43176</v>
      </c>
      <c r="C5987" t="s">
        <v>1987</v>
      </c>
      <c r="D5987" t="s">
        <v>1807</v>
      </c>
    </row>
    <row r="5988" spans="1:4" x14ac:dyDescent="0.2">
      <c r="A5988" t="s">
        <v>7603</v>
      </c>
      <c r="B5988" s="2">
        <v>43195</v>
      </c>
      <c r="C5988" t="s">
        <v>1915</v>
      </c>
      <c r="D5988" t="s">
        <v>1807</v>
      </c>
    </row>
    <row r="5989" spans="1:4" x14ac:dyDescent="0.2">
      <c r="A5989" t="s">
        <v>7604</v>
      </c>
      <c r="B5989" s="2">
        <v>43196</v>
      </c>
      <c r="C5989" t="s">
        <v>7605</v>
      </c>
      <c r="D5989" t="s">
        <v>1807</v>
      </c>
    </row>
    <row r="5990" spans="1:4" x14ac:dyDescent="0.2">
      <c r="A5990" t="s">
        <v>7606</v>
      </c>
      <c r="B5990" s="2">
        <v>42929</v>
      </c>
      <c r="C5990" t="s">
        <v>1880</v>
      </c>
      <c r="D5990" t="s">
        <v>1810</v>
      </c>
    </row>
    <row r="5991" spans="1:4" x14ac:dyDescent="0.2">
      <c r="A5991" t="s">
        <v>7607</v>
      </c>
      <c r="B5991" s="2">
        <v>43046</v>
      </c>
      <c r="C5991" t="s">
        <v>1836</v>
      </c>
      <c r="D5991" t="s">
        <v>1840</v>
      </c>
    </row>
    <row r="5992" spans="1:4" x14ac:dyDescent="0.2">
      <c r="A5992" t="s">
        <v>7608</v>
      </c>
      <c r="B5992" s="2">
        <v>43195</v>
      </c>
      <c r="C5992" t="s">
        <v>1809</v>
      </c>
      <c r="D5992" t="s">
        <v>1849</v>
      </c>
    </row>
    <row r="5993" spans="1:4" x14ac:dyDescent="0.2">
      <c r="A5993" t="s">
        <v>7609</v>
      </c>
      <c r="B5993" s="2">
        <v>43236</v>
      </c>
      <c r="C5993" t="s">
        <v>1818</v>
      </c>
      <c r="D5993" t="s">
        <v>1810</v>
      </c>
    </row>
    <row r="5994" spans="1:4" x14ac:dyDescent="0.2">
      <c r="A5994" t="s">
        <v>7610</v>
      </c>
      <c r="B5994" s="2">
        <v>43192</v>
      </c>
      <c r="C5994" t="s">
        <v>1836</v>
      </c>
      <c r="D5994" t="s">
        <v>1031</v>
      </c>
    </row>
    <row r="5995" spans="1:4" x14ac:dyDescent="0.2">
      <c r="A5995" t="s">
        <v>7611</v>
      </c>
      <c r="B5995" s="2">
        <v>43041</v>
      </c>
      <c r="C5995" t="s">
        <v>1859</v>
      </c>
      <c r="D5995" t="s">
        <v>1810</v>
      </c>
    </row>
    <row r="5996" spans="1:4" x14ac:dyDescent="0.2">
      <c r="A5996" t="s">
        <v>7612</v>
      </c>
      <c r="B5996" s="2">
        <v>43235</v>
      </c>
      <c r="C5996" t="s">
        <v>1836</v>
      </c>
      <c r="D5996" t="s">
        <v>1031</v>
      </c>
    </row>
    <row r="5997" spans="1:4" x14ac:dyDescent="0.2">
      <c r="A5997" t="s">
        <v>7613</v>
      </c>
      <c r="B5997" s="2">
        <v>42948</v>
      </c>
      <c r="C5997" t="s">
        <v>1843</v>
      </c>
      <c r="D5997" t="s">
        <v>1031</v>
      </c>
    </row>
    <row r="5998" spans="1:4" x14ac:dyDescent="0.2">
      <c r="A5998" t="s">
        <v>7614</v>
      </c>
      <c r="B5998" s="2">
        <v>43243</v>
      </c>
      <c r="C5998" t="s">
        <v>2283</v>
      </c>
      <c r="D5998" t="s">
        <v>1813</v>
      </c>
    </row>
    <row r="5999" spans="1:4" x14ac:dyDescent="0.2">
      <c r="A5999" t="s">
        <v>7615</v>
      </c>
      <c r="B5999" s="2">
        <v>43183</v>
      </c>
      <c r="C5999" t="s">
        <v>2115</v>
      </c>
      <c r="D5999" t="s">
        <v>1804</v>
      </c>
    </row>
    <row r="6000" spans="1:4" x14ac:dyDescent="0.2">
      <c r="A6000" t="s">
        <v>7616</v>
      </c>
      <c r="B6000" s="2">
        <v>43192</v>
      </c>
      <c r="C6000" t="s">
        <v>2133</v>
      </c>
      <c r="D6000" t="s">
        <v>1807</v>
      </c>
    </row>
    <row r="6001" spans="1:4" x14ac:dyDescent="0.2">
      <c r="A6001" t="s">
        <v>7617</v>
      </c>
      <c r="B6001" s="2">
        <v>43202</v>
      </c>
      <c r="C6001" t="s">
        <v>1825</v>
      </c>
      <c r="D6001" t="s">
        <v>1810</v>
      </c>
    </row>
    <row r="6002" spans="1:4" x14ac:dyDescent="0.2">
      <c r="A6002" t="s">
        <v>7618</v>
      </c>
      <c r="B6002" s="2">
        <v>43055</v>
      </c>
      <c r="C6002" t="s">
        <v>1803</v>
      </c>
      <c r="D6002" t="s">
        <v>1804</v>
      </c>
    </row>
    <row r="6003" spans="1:4" x14ac:dyDescent="0.2">
      <c r="A6003" t="s">
        <v>7619</v>
      </c>
      <c r="B6003" s="2">
        <v>43122</v>
      </c>
      <c r="C6003" t="s">
        <v>7620</v>
      </c>
      <c r="D6003" t="s">
        <v>1810</v>
      </c>
    </row>
    <row r="6004" spans="1:4" x14ac:dyDescent="0.2">
      <c r="A6004" t="s">
        <v>7621</v>
      </c>
      <c r="B6004" s="2">
        <v>43153</v>
      </c>
      <c r="C6004" t="s">
        <v>1825</v>
      </c>
      <c r="D6004" t="s">
        <v>1810</v>
      </c>
    </row>
    <row r="6005" spans="1:4" x14ac:dyDescent="0.2">
      <c r="A6005" t="s">
        <v>7622</v>
      </c>
      <c r="B6005" s="2">
        <v>43036</v>
      </c>
      <c r="C6005" t="s">
        <v>1803</v>
      </c>
      <c r="D6005" t="s">
        <v>1804</v>
      </c>
    </row>
    <row r="6006" spans="1:4" x14ac:dyDescent="0.2">
      <c r="A6006" t="s">
        <v>7623</v>
      </c>
      <c r="B6006" s="2">
        <v>43033</v>
      </c>
      <c r="C6006" t="s">
        <v>2965</v>
      </c>
      <c r="D6006" t="s">
        <v>1813</v>
      </c>
    </row>
    <row r="6007" spans="1:4" x14ac:dyDescent="0.2">
      <c r="A6007" t="s">
        <v>7624</v>
      </c>
      <c r="B6007" s="2">
        <v>43179</v>
      </c>
      <c r="C6007" t="s">
        <v>1836</v>
      </c>
      <c r="D6007" t="s">
        <v>1031</v>
      </c>
    </row>
    <row r="6008" spans="1:4" x14ac:dyDescent="0.2">
      <c r="A6008" t="s">
        <v>7625</v>
      </c>
      <c r="B6008" s="2">
        <v>43168</v>
      </c>
      <c r="C6008" t="s">
        <v>1816</v>
      </c>
      <c r="D6008" t="s">
        <v>1031</v>
      </c>
    </row>
    <row r="6009" spans="1:4" x14ac:dyDescent="0.2">
      <c r="A6009" t="s">
        <v>7626</v>
      </c>
      <c r="B6009" s="2">
        <v>43161</v>
      </c>
      <c r="C6009" t="s">
        <v>1814</v>
      </c>
      <c r="D6009" t="s">
        <v>1810</v>
      </c>
    </row>
    <row r="6010" spans="1:4" x14ac:dyDescent="0.2">
      <c r="A6010" t="s">
        <v>7627</v>
      </c>
      <c r="B6010" s="2">
        <v>43118</v>
      </c>
      <c r="C6010" t="s">
        <v>1836</v>
      </c>
      <c r="D6010" t="s">
        <v>1031</v>
      </c>
    </row>
    <row r="6011" spans="1:4" x14ac:dyDescent="0.2">
      <c r="A6011" t="s">
        <v>7628</v>
      </c>
      <c r="B6011" s="2">
        <v>43201</v>
      </c>
      <c r="C6011" t="s">
        <v>1836</v>
      </c>
      <c r="D6011" t="s">
        <v>1031</v>
      </c>
    </row>
    <row r="6012" spans="1:4" x14ac:dyDescent="0.2">
      <c r="A6012" t="s">
        <v>7629</v>
      </c>
      <c r="B6012" s="2">
        <v>43075</v>
      </c>
      <c r="C6012" t="s">
        <v>1816</v>
      </c>
      <c r="D6012" t="s">
        <v>1031</v>
      </c>
    </row>
    <row r="6013" spans="1:4" x14ac:dyDescent="0.2">
      <c r="A6013" t="s">
        <v>7630</v>
      </c>
      <c r="B6013" s="2">
        <v>43034</v>
      </c>
      <c r="C6013" t="s">
        <v>1964</v>
      </c>
      <c r="D6013" t="s">
        <v>1807</v>
      </c>
    </row>
    <row r="6014" spans="1:4" x14ac:dyDescent="0.2">
      <c r="A6014" t="s">
        <v>7631</v>
      </c>
      <c r="B6014" s="2">
        <v>43241</v>
      </c>
      <c r="C6014" t="s">
        <v>2831</v>
      </c>
      <c r="D6014" t="s">
        <v>1807</v>
      </c>
    </row>
    <row r="6015" spans="1:4" x14ac:dyDescent="0.2">
      <c r="A6015" t="s">
        <v>7632</v>
      </c>
      <c r="B6015" s="2">
        <v>43216</v>
      </c>
      <c r="C6015" t="s">
        <v>1909</v>
      </c>
      <c r="D6015" t="s">
        <v>1810</v>
      </c>
    </row>
    <row r="6016" spans="1:4" x14ac:dyDescent="0.2">
      <c r="A6016" t="s">
        <v>7633</v>
      </c>
      <c r="B6016" s="2">
        <v>43181</v>
      </c>
      <c r="C6016" t="s">
        <v>2115</v>
      </c>
      <c r="D6016" t="s">
        <v>1804</v>
      </c>
    </row>
    <row r="6017" spans="1:4" x14ac:dyDescent="0.2">
      <c r="A6017" t="s">
        <v>1369</v>
      </c>
      <c r="B6017" s="2">
        <v>43203</v>
      </c>
      <c r="C6017" t="s">
        <v>1836</v>
      </c>
      <c r="D6017" t="s">
        <v>1810</v>
      </c>
    </row>
    <row r="6018" spans="1:4" x14ac:dyDescent="0.2">
      <c r="A6018" t="s">
        <v>7634</v>
      </c>
      <c r="B6018" s="2">
        <v>43236</v>
      </c>
      <c r="C6018" t="s">
        <v>3390</v>
      </c>
      <c r="D6018" t="s">
        <v>1829</v>
      </c>
    </row>
    <row r="6019" spans="1:4" x14ac:dyDescent="0.2">
      <c r="A6019" t="s">
        <v>7635</v>
      </c>
      <c r="B6019" s="2">
        <v>43158</v>
      </c>
      <c r="C6019" t="s">
        <v>2321</v>
      </c>
      <c r="D6019" t="s">
        <v>1031</v>
      </c>
    </row>
    <row r="6020" spans="1:4" x14ac:dyDescent="0.2">
      <c r="A6020" t="s">
        <v>7636</v>
      </c>
      <c r="B6020" s="2">
        <v>43166</v>
      </c>
      <c r="C6020" t="s">
        <v>1854</v>
      </c>
      <c r="D6020" t="s">
        <v>1849</v>
      </c>
    </row>
    <row r="6021" spans="1:4" x14ac:dyDescent="0.2">
      <c r="A6021" t="s">
        <v>7637</v>
      </c>
      <c r="B6021" s="2">
        <v>42966</v>
      </c>
      <c r="C6021" t="s">
        <v>1894</v>
      </c>
      <c r="D6021" t="s">
        <v>1804</v>
      </c>
    </row>
    <row r="6022" spans="1:4" x14ac:dyDescent="0.2">
      <c r="A6022" t="s">
        <v>7638</v>
      </c>
      <c r="B6022" s="2">
        <v>43193</v>
      </c>
      <c r="C6022" t="s">
        <v>1867</v>
      </c>
      <c r="D6022" t="s">
        <v>1810</v>
      </c>
    </row>
    <row r="6023" spans="1:4" x14ac:dyDescent="0.2">
      <c r="A6023" t="s">
        <v>7639</v>
      </c>
      <c r="B6023" s="2">
        <v>43250</v>
      </c>
      <c r="C6023" t="s">
        <v>1873</v>
      </c>
      <c r="D6023" t="s">
        <v>1807</v>
      </c>
    </row>
    <row r="6024" spans="1:4" x14ac:dyDescent="0.2">
      <c r="A6024" t="s">
        <v>7640</v>
      </c>
      <c r="B6024" s="2">
        <v>43172</v>
      </c>
      <c r="C6024" t="s">
        <v>2019</v>
      </c>
      <c r="D6024" t="s">
        <v>1804</v>
      </c>
    </row>
    <row r="6025" spans="1:4" x14ac:dyDescent="0.2">
      <c r="A6025" t="s">
        <v>7641</v>
      </c>
      <c r="B6025" s="2">
        <v>43220</v>
      </c>
      <c r="C6025" t="s">
        <v>2620</v>
      </c>
      <c r="D6025" t="s">
        <v>1807</v>
      </c>
    </row>
    <row r="6026" spans="1:4" x14ac:dyDescent="0.2">
      <c r="A6026" t="s">
        <v>1371</v>
      </c>
      <c r="B6026" s="2">
        <v>43108</v>
      </c>
      <c r="C6026" t="s">
        <v>1816</v>
      </c>
      <c r="D6026" t="s">
        <v>1810</v>
      </c>
    </row>
    <row r="6027" spans="1:4" x14ac:dyDescent="0.2">
      <c r="A6027" t="s">
        <v>7642</v>
      </c>
      <c r="B6027" s="2">
        <v>43055</v>
      </c>
      <c r="C6027" t="s">
        <v>1836</v>
      </c>
      <c r="D6027" t="s">
        <v>1810</v>
      </c>
    </row>
    <row r="6028" spans="1:4" x14ac:dyDescent="0.2">
      <c r="A6028" t="s">
        <v>1373</v>
      </c>
      <c r="B6028" s="2">
        <v>43125</v>
      </c>
      <c r="C6028" t="s">
        <v>1930</v>
      </c>
      <c r="D6028" t="s">
        <v>1031</v>
      </c>
    </row>
    <row r="6029" spans="1:4" x14ac:dyDescent="0.2">
      <c r="A6029" t="s">
        <v>7643</v>
      </c>
      <c r="B6029" s="2">
        <v>43121</v>
      </c>
      <c r="C6029" t="s">
        <v>1905</v>
      </c>
      <c r="D6029" t="s">
        <v>1810</v>
      </c>
    </row>
    <row r="6030" spans="1:4" x14ac:dyDescent="0.2">
      <c r="A6030" t="s">
        <v>1375</v>
      </c>
      <c r="B6030" s="2">
        <v>43248</v>
      </c>
      <c r="C6030" t="s">
        <v>1930</v>
      </c>
      <c r="D6030" t="s">
        <v>1807</v>
      </c>
    </row>
    <row r="6031" spans="1:4" x14ac:dyDescent="0.2">
      <c r="A6031" t="s">
        <v>7644</v>
      </c>
      <c r="B6031" s="2">
        <v>43206</v>
      </c>
      <c r="C6031" t="s">
        <v>1814</v>
      </c>
      <c r="D6031" t="s">
        <v>1810</v>
      </c>
    </row>
    <row r="6032" spans="1:4" x14ac:dyDescent="0.2">
      <c r="A6032" t="s">
        <v>1377</v>
      </c>
      <c r="B6032" s="2">
        <v>43173</v>
      </c>
      <c r="C6032" t="s">
        <v>7645</v>
      </c>
      <c r="D6032" t="s">
        <v>1796</v>
      </c>
    </row>
    <row r="6033" spans="1:4" x14ac:dyDescent="0.2">
      <c r="A6033" t="s">
        <v>7646</v>
      </c>
      <c r="B6033" s="2">
        <v>42989</v>
      </c>
      <c r="C6033" t="s">
        <v>1907</v>
      </c>
      <c r="D6033" t="s">
        <v>1807</v>
      </c>
    </row>
    <row r="6034" spans="1:4" x14ac:dyDescent="0.2">
      <c r="A6034" t="s">
        <v>7647</v>
      </c>
      <c r="B6034" s="2">
        <v>43146</v>
      </c>
      <c r="C6034" t="s">
        <v>1831</v>
      </c>
      <c r="D6034" t="s">
        <v>1810</v>
      </c>
    </row>
    <row r="6035" spans="1:4" x14ac:dyDescent="0.2">
      <c r="A6035" t="s">
        <v>7648</v>
      </c>
      <c r="B6035" s="2">
        <v>43201</v>
      </c>
      <c r="C6035" t="s">
        <v>1905</v>
      </c>
      <c r="D6035" t="s">
        <v>1810</v>
      </c>
    </row>
    <row r="6036" spans="1:4" x14ac:dyDescent="0.2">
      <c r="A6036" t="s">
        <v>7649</v>
      </c>
      <c r="B6036" s="2">
        <v>43244</v>
      </c>
      <c r="C6036" t="s">
        <v>1863</v>
      </c>
      <c r="D6036" t="s">
        <v>1804</v>
      </c>
    </row>
    <row r="6037" spans="1:4" x14ac:dyDescent="0.2">
      <c r="A6037" t="s">
        <v>7650</v>
      </c>
      <c r="B6037" s="2">
        <v>43180</v>
      </c>
      <c r="C6037" t="s">
        <v>1836</v>
      </c>
      <c r="D6037" t="s">
        <v>1031</v>
      </c>
    </row>
    <row r="6038" spans="1:4" x14ac:dyDescent="0.2">
      <c r="A6038" t="s">
        <v>7651</v>
      </c>
      <c r="B6038" s="2">
        <v>43166</v>
      </c>
      <c r="C6038" t="s">
        <v>1803</v>
      </c>
      <c r="D6038" t="s">
        <v>1804</v>
      </c>
    </row>
    <row r="6039" spans="1:4" x14ac:dyDescent="0.2">
      <c r="A6039" t="s">
        <v>7652</v>
      </c>
      <c r="B6039" s="2">
        <v>43201</v>
      </c>
      <c r="C6039" t="s">
        <v>1905</v>
      </c>
      <c r="D6039" t="s">
        <v>1810</v>
      </c>
    </row>
    <row r="6040" spans="1:4" x14ac:dyDescent="0.2">
      <c r="A6040" t="s">
        <v>7653</v>
      </c>
      <c r="B6040" s="2">
        <v>43221</v>
      </c>
      <c r="C6040" t="s">
        <v>2901</v>
      </c>
      <c r="D6040" t="s">
        <v>1807</v>
      </c>
    </row>
    <row r="6041" spans="1:4" x14ac:dyDescent="0.2">
      <c r="A6041" t="s">
        <v>7654</v>
      </c>
      <c r="B6041" s="2">
        <v>43157</v>
      </c>
      <c r="C6041" t="s">
        <v>2344</v>
      </c>
      <c r="D6041" t="s">
        <v>1813</v>
      </c>
    </row>
    <row r="6042" spans="1:4" x14ac:dyDescent="0.2">
      <c r="A6042" t="s">
        <v>7655</v>
      </c>
      <c r="B6042" s="2">
        <v>43025</v>
      </c>
      <c r="C6042" t="s">
        <v>2657</v>
      </c>
      <c r="D6042" t="s">
        <v>1031</v>
      </c>
    </row>
    <row r="6043" spans="1:4" x14ac:dyDescent="0.2">
      <c r="A6043" t="s">
        <v>7656</v>
      </c>
      <c r="B6043" s="2">
        <v>43042</v>
      </c>
      <c r="C6043" t="s">
        <v>1803</v>
      </c>
      <c r="D6043" t="s">
        <v>1804</v>
      </c>
    </row>
    <row r="6044" spans="1:4" x14ac:dyDescent="0.2">
      <c r="A6044" t="s">
        <v>7657</v>
      </c>
      <c r="B6044" s="2">
        <v>43118</v>
      </c>
      <c r="C6044" t="s">
        <v>1825</v>
      </c>
      <c r="D6044" t="s">
        <v>1031</v>
      </c>
    </row>
    <row r="6045" spans="1:4" x14ac:dyDescent="0.2">
      <c r="A6045" t="s">
        <v>7658</v>
      </c>
      <c r="B6045" s="2">
        <v>43211</v>
      </c>
      <c r="C6045" t="s">
        <v>1816</v>
      </c>
      <c r="D6045" t="s">
        <v>1840</v>
      </c>
    </row>
    <row r="6046" spans="1:4" x14ac:dyDescent="0.2">
      <c r="A6046" t="s">
        <v>7659</v>
      </c>
      <c r="B6046" s="2">
        <v>43216</v>
      </c>
      <c r="C6046" t="s">
        <v>1832</v>
      </c>
      <c r="D6046" t="s">
        <v>1807</v>
      </c>
    </row>
    <row r="6047" spans="1:4" x14ac:dyDescent="0.2">
      <c r="A6047" t="s">
        <v>7660</v>
      </c>
      <c r="B6047" s="2">
        <v>43118</v>
      </c>
      <c r="C6047" t="s">
        <v>1930</v>
      </c>
      <c r="D6047" t="s">
        <v>1807</v>
      </c>
    </row>
    <row r="6048" spans="1:4" x14ac:dyDescent="0.2">
      <c r="A6048" t="s">
        <v>7661</v>
      </c>
      <c r="B6048" s="2">
        <v>43154</v>
      </c>
      <c r="C6048" t="s">
        <v>1930</v>
      </c>
      <c r="D6048" t="s">
        <v>1807</v>
      </c>
    </row>
    <row r="6049" spans="1:4" x14ac:dyDescent="0.2">
      <c r="A6049" t="s">
        <v>7662</v>
      </c>
      <c r="B6049" s="2">
        <v>43115</v>
      </c>
      <c r="C6049" t="s">
        <v>1816</v>
      </c>
      <c r="D6049" t="s">
        <v>1810</v>
      </c>
    </row>
    <row r="6050" spans="1:4" x14ac:dyDescent="0.2">
      <c r="A6050" t="s">
        <v>7663</v>
      </c>
      <c r="B6050" s="2">
        <v>43235</v>
      </c>
      <c r="C6050" t="s">
        <v>1832</v>
      </c>
      <c r="D6050" t="s">
        <v>1807</v>
      </c>
    </row>
    <row r="6051" spans="1:4" x14ac:dyDescent="0.2">
      <c r="A6051" t="s">
        <v>7664</v>
      </c>
      <c r="B6051" s="2">
        <v>43194</v>
      </c>
      <c r="C6051" t="s">
        <v>1863</v>
      </c>
      <c r="D6051" t="s">
        <v>1804</v>
      </c>
    </row>
    <row r="6052" spans="1:4" x14ac:dyDescent="0.2">
      <c r="A6052" t="s">
        <v>1379</v>
      </c>
      <c r="B6052" s="2">
        <v>43179</v>
      </c>
      <c r="C6052" t="s">
        <v>1930</v>
      </c>
      <c r="D6052" t="s">
        <v>1031</v>
      </c>
    </row>
    <row r="6053" spans="1:4" x14ac:dyDescent="0.2">
      <c r="A6053" t="s">
        <v>7665</v>
      </c>
      <c r="B6053" s="2">
        <v>43250</v>
      </c>
      <c r="C6053" t="s">
        <v>1930</v>
      </c>
      <c r="D6053" t="s">
        <v>1807</v>
      </c>
    </row>
    <row r="6054" spans="1:4" x14ac:dyDescent="0.2">
      <c r="A6054" t="s">
        <v>7666</v>
      </c>
      <c r="B6054" s="2">
        <v>43208</v>
      </c>
      <c r="C6054" t="s">
        <v>2158</v>
      </c>
      <c r="D6054" t="s">
        <v>1031</v>
      </c>
    </row>
    <row r="6055" spans="1:4" x14ac:dyDescent="0.2">
      <c r="A6055" t="s">
        <v>7667</v>
      </c>
      <c r="B6055" s="2">
        <v>43024</v>
      </c>
      <c r="C6055" t="s">
        <v>1889</v>
      </c>
      <c r="D6055" t="s">
        <v>1807</v>
      </c>
    </row>
    <row r="6056" spans="1:4" x14ac:dyDescent="0.2">
      <c r="A6056" t="s">
        <v>7668</v>
      </c>
      <c r="B6056" s="2">
        <v>43238</v>
      </c>
      <c r="C6056" t="s">
        <v>2462</v>
      </c>
      <c r="D6056" t="s">
        <v>1829</v>
      </c>
    </row>
    <row r="6057" spans="1:4" x14ac:dyDescent="0.2">
      <c r="A6057" t="s">
        <v>7669</v>
      </c>
      <c r="B6057" s="2">
        <v>43129</v>
      </c>
      <c r="C6057" t="s">
        <v>1809</v>
      </c>
      <c r="D6057" t="s">
        <v>1810</v>
      </c>
    </row>
    <row r="6058" spans="1:4" x14ac:dyDescent="0.2">
      <c r="A6058" t="s">
        <v>7670</v>
      </c>
      <c r="B6058" s="2">
        <v>43153</v>
      </c>
      <c r="C6058" t="s">
        <v>1816</v>
      </c>
      <c r="D6058" t="s">
        <v>1810</v>
      </c>
    </row>
    <row r="6059" spans="1:4" x14ac:dyDescent="0.2">
      <c r="A6059" t="s">
        <v>7671</v>
      </c>
      <c r="B6059" s="2">
        <v>42945</v>
      </c>
      <c r="C6059" t="s">
        <v>2433</v>
      </c>
      <c r="D6059" t="s">
        <v>1804</v>
      </c>
    </row>
    <row r="6060" spans="1:4" x14ac:dyDescent="0.2">
      <c r="A6060" t="s">
        <v>7672</v>
      </c>
      <c r="B6060" s="2">
        <v>43229</v>
      </c>
      <c r="C6060" t="s">
        <v>5352</v>
      </c>
      <c r="D6060" t="s">
        <v>1810</v>
      </c>
    </row>
    <row r="6061" spans="1:4" x14ac:dyDescent="0.2">
      <c r="A6061" t="s">
        <v>7673</v>
      </c>
      <c r="B6061" s="2">
        <v>43104</v>
      </c>
      <c r="C6061" t="s">
        <v>1836</v>
      </c>
      <c r="D6061" t="s">
        <v>1031</v>
      </c>
    </row>
    <row r="6062" spans="1:4" x14ac:dyDescent="0.2">
      <c r="A6062" t="s">
        <v>1381</v>
      </c>
      <c r="B6062" s="2">
        <v>43172</v>
      </c>
      <c r="C6062" t="s">
        <v>1836</v>
      </c>
      <c r="D6062" t="s">
        <v>1031</v>
      </c>
    </row>
    <row r="6063" spans="1:4" x14ac:dyDescent="0.2">
      <c r="A6063" t="s">
        <v>7674</v>
      </c>
      <c r="B6063" s="2">
        <v>43047</v>
      </c>
      <c r="C6063" t="s">
        <v>1803</v>
      </c>
      <c r="D6063" t="s">
        <v>1804</v>
      </c>
    </row>
    <row r="6064" spans="1:4" x14ac:dyDescent="0.2">
      <c r="A6064" t="s">
        <v>7675</v>
      </c>
      <c r="B6064" s="2">
        <v>43244</v>
      </c>
      <c r="C6064" t="s">
        <v>1998</v>
      </c>
      <c r="D6064" t="s">
        <v>1807</v>
      </c>
    </row>
    <row r="6065" spans="1:4" x14ac:dyDescent="0.2">
      <c r="A6065" t="s">
        <v>7676</v>
      </c>
      <c r="B6065" s="2">
        <v>43192</v>
      </c>
      <c r="C6065" t="s">
        <v>1816</v>
      </c>
      <c r="D6065" t="s">
        <v>1807</v>
      </c>
    </row>
    <row r="6066" spans="1:4" x14ac:dyDescent="0.2">
      <c r="A6066" t="s">
        <v>7677</v>
      </c>
      <c r="B6066" s="2">
        <v>43195</v>
      </c>
      <c r="C6066" t="s">
        <v>7678</v>
      </c>
      <c r="D6066" t="s">
        <v>1031</v>
      </c>
    </row>
    <row r="6067" spans="1:4" x14ac:dyDescent="0.2">
      <c r="A6067" t="s">
        <v>7679</v>
      </c>
      <c r="B6067" s="2">
        <v>43068</v>
      </c>
      <c r="C6067" t="s">
        <v>1907</v>
      </c>
      <c r="D6067" t="s">
        <v>1807</v>
      </c>
    </row>
    <row r="6068" spans="1:4" x14ac:dyDescent="0.2">
      <c r="A6068" t="s">
        <v>1383</v>
      </c>
      <c r="B6068" s="2">
        <v>43194</v>
      </c>
      <c r="C6068" t="s">
        <v>1809</v>
      </c>
      <c r="D6068" t="s">
        <v>1810</v>
      </c>
    </row>
    <row r="6069" spans="1:4" x14ac:dyDescent="0.2">
      <c r="A6069" t="s">
        <v>7680</v>
      </c>
      <c r="B6069" s="2">
        <v>43203</v>
      </c>
      <c r="C6069" t="s">
        <v>1863</v>
      </c>
      <c r="D6069" t="s">
        <v>1804</v>
      </c>
    </row>
    <row r="6070" spans="1:4" x14ac:dyDescent="0.2">
      <c r="A6070" t="s">
        <v>7681</v>
      </c>
      <c r="B6070" s="2">
        <v>43140</v>
      </c>
      <c r="C6070" t="s">
        <v>2163</v>
      </c>
      <c r="D6070" t="s">
        <v>1829</v>
      </c>
    </row>
    <row r="6071" spans="1:4" x14ac:dyDescent="0.2">
      <c r="A6071" t="s">
        <v>7682</v>
      </c>
      <c r="B6071" s="2">
        <v>43006</v>
      </c>
      <c r="C6071" t="s">
        <v>1885</v>
      </c>
      <c r="D6071" t="s">
        <v>1807</v>
      </c>
    </row>
    <row r="6072" spans="1:4" x14ac:dyDescent="0.2">
      <c r="A6072" t="s">
        <v>7683</v>
      </c>
      <c r="B6072" s="2">
        <v>43168</v>
      </c>
      <c r="C6072" t="s">
        <v>1814</v>
      </c>
      <c r="D6072" t="s">
        <v>1810</v>
      </c>
    </row>
    <row r="6073" spans="1:4" x14ac:dyDescent="0.2">
      <c r="A6073" t="s">
        <v>7684</v>
      </c>
      <c r="B6073" s="2">
        <v>43161</v>
      </c>
      <c r="C6073" t="s">
        <v>1816</v>
      </c>
      <c r="D6073" t="s">
        <v>1810</v>
      </c>
    </row>
    <row r="6074" spans="1:4" x14ac:dyDescent="0.2">
      <c r="A6074" t="s">
        <v>7685</v>
      </c>
      <c r="B6074" s="2">
        <v>43242</v>
      </c>
      <c r="C6074" t="s">
        <v>1832</v>
      </c>
      <c r="D6074" t="s">
        <v>1807</v>
      </c>
    </row>
    <row r="6075" spans="1:4" x14ac:dyDescent="0.2">
      <c r="A6075" t="s">
        <v>7686</v>
      </c>
      <c r="B6075" s="2">
        <v>43178</v>
      </c>
      <c r="C6075" t="s">
        <v>1905</v>
      </c>
      <c r="D6075" t="s">
        <v>1840</v>
      </c>
    </row>
    <row r="6076" spans="1:4" x14ac:dyDescent="0.2">
      <c r="A6076" t="s">
        <v>7687</v>
      </c>
      <c r="B6076" s="2">
        <v>43110</v>
      </c>
      <c r="C6076" t="s">
        <v>1816</v>
      </c>
      <c r="D6076" t="s">
        <v>1810</v>
      </c>
    </row>
    <row r="6077" spans="1:4" x14ac:dyDescent="0.2">
      <c r="A6077" t="s">
        <v>1385</v>
      </c>
      <c r="B6077" s="2">
        <v>43103</v>
      </c>
      <c r="C6077" t="s">
        <v>1836</v>
      </c>
      <c r="D6077" t="s">
        <v>1810</v>
      </c>
    </row>
    <row r="6078" spans="1:4" x14ac:dyDescent="0.2">
      <c r="A6078" t="s">
        <v>7688</v>
      </c>
      <c r="B6078" s="2">
        <v>43159</v>
      </c>
      <c r="C6078" t="s">
        <v>1836</v>
      </c>
      <c r="D6078" t="s">
        <v>1031</v>
      </c>
    </row>
    <row r="6079" spans="1:4" x14ac:dyDescent="0.2">
      <c r="A6079" t="s">
        <v>1387</v>
      </c>
      <c r="B6079" s="2">
        <v>43172</v>
      </c>
      <c r="C6079" t="s">
        <v>1836</v>
      </c>
      <c r="D6079" t="s">
        <v>1031</v>
      </c>
    </row>
    <row r="6080" spans="1:4" x14ac:dyDescent="0.2">
      <c r="A6080" t="s">
        <v>7689</v>
      </c>
      <c r="B6080" s="2">
        <v>43061</v>
      </c>
      <c r="C6080" t="s">
        <v>1803</v>
      </c>
      <c r="D6080" t="s">
        <v>1804</v>
      </c>
    </row>
    <row r="6081" spans="1:4" x14ac:dyDescent="0.2">
      <c r="A6081" t="s">
        <v>7690</v>
      </c>
      <c r="B6081" s="2">
        <v>43216</v>
      </c>
      <c r="C6081" t="s">
        <v>1816</v>
      </c>
      <c r="D6081" t="s">
        <v>1807</v>
      </c>
    </row>
    <row r="6082" spans="1:4" x14ac:dyDescent="0.2">
      <c r="A6082" t="s">
        <v>7691</v>
      </c>
      <c r="B6082" s="2">
        <v>43194</v>
      </c>
      <c r="C6082" t="s">
        <v>2445</v>
      </c>
      <c r="D6082" t="s">
        <v>1810</v>
      </c>
    </row>
    <row r="6083" spans="1:4" x14ac:dyDescent="0.2">
      <c r="A6083" t="s">
        <v>1389</v>
      </c>
      <c r="B6083" s="2">
        <v>43112</v>
      </c>
      <c r="C6083" t="s">
        <v>1836</v>
      </c>
      <c r="D6083" t="s">
        <v>1031</v>
      </c>
    </row>
    <row r="6084" spans="1:4" x14ac:dyDescent="0.2">
      <c r="A6084" t="s">
        <v>7692</v>
      </c>
      <c r="B6084" s="2">
        <v>43245</v>
      </c>
      <c r="C6084" t="s">
        <v>1816</v>
      </c>
      <c r="D6084" t="s">
        <v>1840</v>
      </c>
    </row>
    <row r="6085" spans="1:4" x14ac:dyDescent="0.2">
      <c r="A6085" t="s">
        <v>7693</v>
      </c>
      <c r="B6085" s="2">
        <v>43245</v>
      </c>
      <c r="C6085" t="s">
        <v>1816</v>
      </c>
      <c r="D6085" t="s">
        <v>1807</v>
      </c>
    </row>
    <row r="6086" spans="1:4" x14ac:dyDescent="0.2">
      <c r="A6086" t="s">
        <v>7694</v>
      </c>
      <c r="B6086" s="2">
        <v>43190</v>
      </c>
      <c r="C6086" t="s">
        <v>1905</v>
      </c>
      <c r="D6086" t="s">
        <v>1807</v>
      </c>
    </row>
    <row r="6087" spans="1:4" x14ac:dyDescent="0.2">
      <c r="A6087" t="s">
        <v>7695</v>
      </c>
      <c r="B6087" s="2">
        <v>43222</v>
      </c>
      <c r="C6087" t="s">
        <v>2070</v>
      </c>
      <c r="D6087" t="s">
        <v>1807</v>
      </c>
    </row>
    <row r="6088" spans="1:4" x14ac:dyDescent="0.2">
      <c r="A6088" t="s">
        <v>1391</v>
      </c>
      <c r="B6088" s="2">
        <v>43208</v>
      </c>
      <c r="C6088" t="s">
        <v>1816</v>
      </c>
      <c r="D6088" t="s">
        <v>1829</v>
      </c>
    </row>
    <row r="6089" spans="1:4" x14ac:dyDescent="0.2">
      <c r="A6089" t="s">
        <v>7696</v>
      </c>
      <c r="B6089" s="2">
        <v>43097</v>
      </c>
      <c r="C6089" t="s">
        <v>1836</v>
      </c>
      <c r="D6089" t="s">
        <v>1031</v>
      </c>
    </row>
    <row r="6090" spans="1:4" x14ac:dyDescent="0.2">
      <c r="A6090" t="s">
        <v>7697</v>
      </c>
      <c r="B6090" s="2">
        <v>43249</v>
      </c>
      <c r="C6090" t="s">
        <v>2831</v>
      </c>
      <c r="D6090" t="s">
        <v>1810</v>
      </c>
    </row>
    <row r="6091" spans="1:4" x14ac:dyDescent="0.2">
      <c r="A6091" t="s">
        <v>7698</v>
      </c>
      <c r="B6091" s="2">
        <v>42943</v>
      </c>
      <c r="C6091" t="s">
        <v>1836</v>
      </c>
      <c r="D6091" t="s">
        <v>1031</v>
      </c>
    </row>
    <row r="6092" spans="1:4" x14ac:dyDescent="0.2">
      <c r="A6092" t="s">
        <v>7699</v>
      </c>
      <c r="B6092" s="2">
        <v>43192</v>
      </c>
      <c r="C6092" t="s">
        <v>1863</v>
      </c>
      <c r="D6092" t="s">
        <v>1804</v>
      </c>
    </row>
    <row r="6093" spans="1:4" x14ac:dyDescent="0.2">
      <c r="A6093" t="s">
        <v>7700</v>
      </c>
      <c r="B6093" s="2">
        <v>43122</v>
      </c>
      <c r="C6093" t="s">
        <v>1812</v>
      </c>
      <c r="D6093" t="s">
        <v>1829</v>
      </c>
    </row>
    <row r="6094" spans="1:4" x14ac:dyDescent="0.2">
      <c r="A6094" t="s">
        <v>7701</v>
      </c>
      <c r="B6094" s="2">
        <v>43062</v>
      </c>
      <c r="C6094" t="s">
        <v>1816</v>
      </c>
      <c r="D6094" t="s">
        <v>1810</v>
      </c>
    </row>
    <row r="6095" spans="1:4" x14ac:dyDescent="0.2">
      <c r="A6095" t="s">
        <v>7702</v>
      </c>
      <c r="B6095" s="2">
        <v>43206</v>
      </c>
      <c r="C6095" t="s">
        <v>1928</v>
      </c>
      <c r="D6095" t="s">
        <v>1810</v>
      </c>
    </row>
    <row r="6096" spans="1:4" x14ac:dyDescent="0.2">
      <c r="A6096" t="s">
        <v>7703</v>
      </c>
      <c r="B6096" s="2">
        <v>43054</v>
      </c>
      <c r="C6096" t="s">
        <v>2216</v>
      </c>
      <c r="D6096" t="s">
        <v>1807</v>
      </c>
    </row>
    <row r="6097" spans="1:4" x14ac:dyDescent="0.2">
      <c r="A6097" t="s">
        <v>7704</v>
      </c>
      <c r="B6097" s="2">
        <v>43196</v>
      </c>
      <c r="C6097" t="s">
        <v>1836</v>
      </c>
      <c r="D6097" t="s">
        <v>1031</v>
      </c>
    </row>
    <row r="6098" spans="1:4" x14ac:dyDescent="0.2">
      <c r="A6098" t="s">
        <v>7705</v>
      </c>
      <c r="B6098" s="2">
        <v>43224</v>
      </c>
      <c r="C6098" t="s">
        <v>2318</v>
      </c>
      <c r="D6098" t="s">
        <v>1807</v>
      </c>
    </row>
    <row r="6099" spans="1:4" x14ac:dyDescent="0.2">
      <c r="A6099" t="s">
        <v>7706</v>
      </c>
      <c r="B6099" s="2">
        <v>43061</v>
      </c>
      <c r="C6099" t="s">
        <v>1816</v>
      </c>
      <c r="D6099" t="s">
        <v>1810</v>
      </c>
    </row>
    <row r="6100" spans="1:4" x14ac:dyDescent="0.2">
      <c r="A6100" t="s">
        <v>1393</v>
      </c>
      <c r="B6100" s="2">
        <v>43232</v>
      </c>
      <c r="C6100" t="s">
        <v>1905</v>
      </c>
      <c r="D6100" t="s">
        <v>1810</v>
      </c>
    </row>
    <row r="6101" spans="1:4" x14ac:dyDescent="0.2">
      <c r="A6101" t="s">
        <v>7707</v>
      </c>
      <c r="B6101" s="2">
        <v>43070</v>
      </c>
      <c r="C6101" t="s">
        <v>2324</v>
      </c>
      <c r="D6101" t="s">
        <v>1807</v>
      </c>
    </row>
    <row r="6102" spans="1:4" x14ac:dyDescent="0.2">
      <c r="A6102" t="s">
        <v>7708</v>
      </c>
      <c r="B6102" s="2">
        <v>43113</v>
      </c>
      <c r="C6102" t="s">
        <v>1816</v>
      </c>
      <c r="D6102" t="s">
        <v>1804</v>
      </c>
    </row>
    <row r="6103" spans="1:4" x14ac:dyDescent="0.2">
      <c r="A6103" t="s">
        <v>7709</v>
      </c>
      <c r="B6103" s="2">
        <v>43241</v>
      </c>
      <c r="C6103" t="s">
        <v>1816</v>
      </c>
      <c r="D6103" t="s">
        <v>1810</v>
      </c>
    </row>
    <row r="6104" spans="1:4" x14ac:dyDescent="0.2">
      <c r="A6104" t="s">
        <v>7710</v>
      </c>
      <c r="B6104" s="2">
        <v>43208</v>
      </c>
      <c r="C6104" t="s">
        <v>1863</v>
      </c>
      <c r="D6104" t="s">
        <v>1804</v>
      </c>
    </row>
    <row r="6105" spans="1:4" x14ac:dyDescent="0.2">
      <c r="A6105" t="s">
        <v>7711</v>
      </c>
      <c r="B6105" s="2">
        <v>43143</v>
      </c>
      <c r="C6105" t="s">
        <v>1803</v>
      </c>
      <c r="D6105" t="s">
        <v>1804</v>
      </c>
    </row>
    <row r="6106" spans="1:4" x14ac:dyDescent="0.2">
      <c r="A6106" t="s">
        <v>7712</v>
      </c>
      <c r="B6106" s="2">
        <v>43241</v>
      </c>
      <c r="C6106" t="s">
        <v>1816</v>
      </c>
      <c r="D6106" t="s">
        <v>1810</v>
      </c>
    </row>
    <row r="6107" spans="1:4" x14ac:dyDescent="0.2">
      <c r="A6107" t="s">
        <v>7713</v>
      </c>
      <c r="B6107" s="2">
        <v>43202</v>
      </c>
      <c r="C6107" t="s">
        <v>1863</v>
      </c>
      <c r="D6107" t="s">
        <v>1804</v>
      </c>
    </row>
    <row r="6108" spans="1:4" x14ac:dyDescent="0.2">
      <c r="A6108" t="s">
        <v>7714</v>
      </c>
      <c r="B6108" s="2">
        <v>43187</v>
      </c>
      <c r="C6108" t="s">
        <v>1836</v>
      </c>
      <c r="D6108" t="s">
        <v>1031</v>
      </c>
    </row>
    <row r="6109" spans="1:4" x14ac:dyDescent="0.2">
      <c r="A6109" t="s">
        <v>7715</v>
      </c>
      <c r="B6109" s="2">
        <v>43067</v>
      </c>
      <c r="C6109" t="s">
        <v>1836</v>
      </c>
      <c r="D6109" t="s">
        <v>1807</v>
      </c>
    </row>
    <row r="6110" spans="1:4" x14ac:dyDescent="0.2">
      <c r="A6110" t="s">
        <v>7716</v>
      </c>
      <c r="B6110" s="2">
        <v>43172</v>
      </c>
      <c r="C6110" t="s">
        <v>1803</v>
      </c>
      <c r="D6110" t="s">
        <v>1031</v>
      </c>
    </row>
    <row r="6111" spans="1:4" x14ac:dyDescent="0.2">
      <c r="A6111" t="s">
        <v>7717</v>
      </c>
      <c r="B6111" s="2">
        <v>43164</v>
      </c>
      <c r="C6111" t="s">
        <v>1809</v>
      </c>
      <c r="D6111" t="s">
        <v>1810</v>
      </c>
    </row>
    <row r="6112" spans="1:4" x14ac:dyDescent="0.2">
      <c r="A6112" t="s">
        <v>7718</v>
      </c>
      <c r="B6112" s="2">
        <v>43208</v>
      </c>
      <c r="C6112" t="s">
        <v>1863</v>
      </c>
      <c r="D6112" t="s">
        <v>1804</v>
      </c>
    </row>
    <row r="6113" spans="1:4" x14ac:dyDescent="0.2">
      <c r="A6113" t="s">
        <v>7719</v>
      </c>
      <c r="B6113" s="2">
        <v>42969</v>
      </c>
      <c r="C6113" t="s">
        <v>1939</v>
      </c>
      <c r="D6113" t="s">
        <v>1804</v>
      </c>
    </row>
    <row r="6114" spans="1:4" x14ac:dyDescent="0.2">
      <c r="A6114" t="s">
        <v>1395</v>
      </c>
      <c r="B6114" s="2">
        <v>43199</v>
      </c>
      <c r="C6114" t="s">
        <v>2617</v>
      </c>
      <c r="D6114" t="s">
        <v>1813</v>
      </c>
    </row>
    <row r="6115" spans="1:4" x14ac:dyDescent="0.2">
      <c r="A6115" t="s">
        <v>7720</v>
      </c>
      <c r="B6115" s="2">
        <v>43195</v>
      </c>
      <c r="C6115" t="s">
        <v>1928</v>
      </c>
      <c r="D6115" t="s">
        <v>1807</v>
      </c>
    </row>
    <row r="6116" spans="1:4" x14ac:dyDescent="0.2">
      <c r="A6116" t="s">
        <v>7721</v>
      </c>
      <c r="B6116" s="2">
        <v>43138</v>
      </c>
      <c r="C6116" t="s">
        <v>1885</v>
      </c>
      <c r="D6116" t="s">
        <v>1807</v>
      </c>
    </row>
    <row r="6117" spans="1:4" x14ac:dyDescent="0.2">
      <c r="A6117" t="s">
        <v>7722</v>
      </c>
      <c r="B6117" s="2">
        <v>43235</v>
      </c>
      <c r="C6117" t="s">
        <v>1818</v>
      </c>
      <c r="D6117" t="s">
        <v>1813</v>
      </c>
    </row>
    <row r="6118" spans="1:4" x14ac:dyDescent="0.2">
      <c r="A6118" t="s">
        <v>7723</v>
      </c>
      <c r="B6118" s="2">
        <v>43117</v>
      </c>
      <c r="C6118" t="s">
        <v>6550</v>
      </c>
      <c r="D6118" t="s">
        <v>1813</v>
      </c>
    </row>
    <row r="6119" spans="1:4" x14ac:dyDescent="0.2">
      <c r="A6119" t="s">
        <v>7724</v>
      </c>
      <c r="B6119" s="2">
        <v>43146</v>
      </c>
      <c r="C6119" t="s">
        <v>1803</v>
      </c>
      <c r="D6119" t="s">
        <v>1804</v>
      </c>
    </row>
    <row r="6120" spans="1:4" x14ac:dyDescent="0.2">
      <c r="A6120" t="s">
        <v>7725</v>
      </c>
      <c r="B6120" s="2">
        <v>43203</v>
      </c>
      <c r="C6120" t="s">
        <v>1832</v>
      </c>
      <c r="D6120" t="s">
        <v>1807</v>
      </c>
    </row>
    <row r="6121" spans="1:4" x14ac:dyDescent="0.2">
      <c r="A6121" t="s">
        <v>7726</v>
      </c>
      <c r="B6121" s="2">
        <v>43117</v>
      </c>
      <c r="C6121" t="s">
        <v>1867</v>
      </c>
      <c r="D6121" t="s">
        <v>1813</v>
      </c>
    </row>
    <row r="6122" spans="1:4" x14ac:dyDescent="0.2">
      <c r="A6122" t="s">
        <v>7727</v>
      </c>
      <c r="B6122" s="2">
        <v>42999</v>
      </c>
      <c r="C6122" t="s">
        <v>2012</v>
      </c>
      <c r="D6122" t="s">
        <v>1807</v>
      </c>
    </row>
    <row r="6123" spans="1:4" x14ac:dyDescent="0.2">
      <c r="A6123" t="s">
        <v>7728</v>
      </c>
      <c r="B6123" s="2">
        <v>43040</v>
      </c>
      <c r="C6123" t="s">
        <v>1939</v>
      </c>
      <c r="D6123" t="s">
        <v>1810</v>
      </c>
    </row>
    <row r="6124" spans="1:4" x14ac:dyDescent="0.2">
      <c r="A6124" t="s">
        <v>7729</v>
      </c>
      <c r="B6124" s="2">
        <v>43217</v>
      </c>
      <c r="C6124" t="s">
        <v>1909</v>
      </c>
      <c r="D6124" t="s">
        <v>1810</v>
      </c>
    </row>
    <row r="6125" spans="1:4" x14ac:dyDescent="0.2">
      <c r="A6125" t="s">
        <v>7730</v>
      </c>
      <c r="B6125" s="2">
        <v>43248</v>
      </c>
      <c r="C6125" t="s">
        <v>1816</v>
      </c>
      <c r="D6125" t="s">
        <v>1810</v>
      </c>
    </row>
    <row r="6126" spans="1:4" x14ac:dyDescent="0.2">
      <c r="A6126" t="s">
        <v>1397</v>
      </c>
      <c r="B6126" s="2">
        <v>43199</v>
      </c>
      <c r="C6126" t="s">
        <v>1828</v>
      </c>
      <c r="D6126" t="s">
        <v>1840</v>
      </c>
    </row>
    <row r="6127" spans="1:4" x14ac:dyDescent="0.2">
      <c r="A6127" t="s">
        <v>1399</v>
      </c>
      <c r="B6127" s="2">
        <v>43152</v>
      </c>
      <c r="C6127" t="s">
        <v>1816</v>
      </c>
      <c r="D6127" t="s">
        <v>1829</v>
      </c>
    </row>
    <row r="6128" spans="1:4" x14ac:dyDescent="0.2">
      <c r="A6128" t="s">
        <v>7731</v>
      </c>
      <c r="B6128" s="2">
        <v>43201</v>
      </c>
      <c r="C6128" t="s">
        <v>1863</v>
      </c>
      <c r="D6128" t="s">
        <v>1804</v>
      </c>
    </row>
    <row r="6129" spans="1:4" x14ac:dyDescent="0.2">
      <c r="A6129" t="s">
        <v>7732</v>
      </c>
      <c r="B6129" s="2">
        <v>43118</v>
      </c>
      <c r="C6129" t="s">
        <v>1816</v>
      </c>
      <c r="D6129" t="s">
        <v>1829</v>
      </c>
    </row>
    <row r="6130" spans="1:4" x14ac:dyDescent="0.2">
      <c r="A6130" t="s">
        <v>7733</v>
      </c>
      <c r="B6130" s="2">
        <v>43220</v>
      </c>
      <c r="C6130" t="s">
        <v>2078</v>
      </c>
      <c r="D6130" t="s">
        <v>1807</v>
      </c>
    </row>
    <row r="6131" spans="1:4" x14ac:dyDescent="0.2">
      <c r="A6131" t="s">
        <v>7734</v>
      </c>
      <c r="B6131" s="2">
        <v>43220</v>
      </c>
      <c r="C6131" t="s">
        <v>1909</v>
      </c>
      <c r="D6131" t="s">
        <v>1813</v>
      </c>
    </row>
    <row r="6132" spans="1:4" x14ac:dyDescent="0.2">
      <c r="A6132" t="s">
        <v>1401</v>
      </c>
      <c r="B6132" s="2">
        <v>43238</v>
      </c>
      <c r="C6132" t="s">
        <v>1905</v>
      </c>
      <c r="D6132" t="s">
        <v>1810</v>
      </c>
    </row>
    <row r="6133" spans="1:4" x14ac:dyDescent="0.2">
      <c r="A6133" t="s">
        <v>1403</v>
      </c>
      <c r="B6133" s="2">
        <v>43180</v>
      </c>
      <c r="C6133" t="s">
        <v>1816</v>
      </c>
      <c r="D6133" t="s">
        <v>1810</v>
      </c>
    </row>
    <row r="6134" spans="1:4" x14ac:dyDescent="0.2">
      <c r="A6134" t="s">
        <v>7735</v>
      </c>
      <c r="B6134" s="2">
        <v>43244</v>
      </c>
      <c r="C6134" t="s">
        <v>1863</v>
      </c>
      <c r="D6134" t="s">
        <v>1804</v>
      </c>
    </row>
    <row r="6135" spans="1:4" x14ac:dyDescent="0.2">
      <c r="A6135" t="s">
        <v>7736</v>
      </c>
      <c r="B6135" s="2">
        <v>43159</v>
      </c>
      <c r="C6135" t="s">
        <v>1816</v>
      </c>
      <c r="D6135" t="s">
        <v>1031</v>
      </c>
    </row>
    <row r="6136" spans="1:4" x14ac:dyDescent="0.2">
      <c r="A6136" t="s">
        <v>7737</v>
      </c>
      <c r="B6136" s="2">
        <v>43235</v>
      </c>
      <c r="C6136" t="s">
        <v>1863</v>
      </c>
      <c r="D6136" t="s">
        <v>1804</v>
      </c>
    </row>
    <row r="6137" spans="1:4" x14ac:dyDescent="0.2">
      <c r="A6137" t="s">
        <v>7738</v>
      </c>
      <c r="B6137" s="2">
        <v>43152</v>
      </c>
      <c r="C6137" t="s">
        <v>1836</v>
      </c>
      <c r="D6137" t="s">
        <v>1031</v>
      </c>
    </row>
    <row r="6138" spans="1:4" x14ac:dyDescent="0.2">
      <c r="A6138" t="s">
        <v>7739</v>
      </c>
      <c r="B6138" s="2">
        <v>43151</v>
      </c>
      <c r="C6138" t="s">
        <v>7740</v>
      </c>
      <c r="D6138" t="s">
        <v>1031</v>
      </c>
    </row>
    <row r="6139" spans="1:4" x14ac:dyDescent="0.2">
      <c r="A6139" t="s">
        <v>1405</v>
      </c>
      <c r="B6139" s="2">
        <v>43186</v>
      </c>
      <c r="C6139" t="s">
        <v>1905</v>
      </c>
      <c r="D6139" t="s">
        <v>1810</v>
      </c>
    </row>
    <row r="6140" spans="1:4" x14ac:dyDescent="0.2">
      <c r="A6140" t="s">
        <v>7741</v>
      </c>
      <c r="B6140" s="2">
        <v>43177</v>
      </c>
      <c r="C6140" t="s">
        <v>1825</v>
      </c>
      <c r="D6140" t="s">
        <v>1810</v>
      </c>
    </row>
    <row r="6141" spans="1:4" x14ac:dyDescent="0.2">
      <c r="A6141" t="s">
        <v>7742</v>
      </c>
      <c r="B6141" s="2">
        <v>43199</v>
      </c>
      <c r="C6141" t="s">
        <v>2115</v>
      </c>
      <c r="D6141" t="s">
        <v>1804</v>
      </c>
    </row>
    <row r="6142" spans="1:4" x14ac:dyDescent="0.2">
      <c r="A6142" t="s">
        <v>7743</v>
      </c>
      <c r="B6142" s="2">
        <v>43105</v>
      </c>
      <c r="C6142" t="s">
        <v>1905</v>
      </c>
      <c r="D6142" t="s">
        <v>1810</v>
      </c>
    </row>
    <row r="6143" spans="1:4" x14ac:dyDescent="0.2">
      <c r="A6143" t="s">
        <v>7744</v>
      </c>
      <c r="B6143" s="2">
        <v>43248</v>
      </c>
      <c r="C6143" t="s">
        <v>1816</v>
      </c>
      <c r="D6143" t="s">
        <v>1829</v>
      </c>
    </row>
    <row r="6144" spans="1:4" x14ac:dyDescent="0.2">
      <c r="A6144" t="s">
        <v>7745</v>
      </c>
      <c r="B6144" s="2">
        <v>43163</v>
      </c>
      <c r="C6144" t="s">
        <v>1803</v>
      </c>
      <c r="D6144" t="s">
        <v>1804</v>
      </c>
    </row>
    <row r="6145" spans="1:4" x14ac:dyDescent="0.2">
      <c r="A6145" t="s">
        <v>7746</v>
      </c>
      <c r="B6145" s="2">
        <v>42940</v>
      </c>
      <c r="C6145" t="s">
        <v>1836</v>
      </c>
      <c r="D6145" t="s">
        <v>1031</v>
      </c>
    </row>
    <row r="6146" spans="1:4" x14ac:dyDescent="0.2">
      <c r="A6146" t="s">
        <v>7747</v>
      </c>
      <c r="B6146" s="2">
        <v>43157</v>
      </c>
      <c r="C6146" t="s">
        <v>2291</v>
      </c>
      <c r="D6146" t="s">
        <v>1810</v>
      </c>
    </row>
    <row r="6147" spans="1:4" x14ac:dyDescent="0.2">
      <c r="A6147" t="s">
        <v>7748</v>
      </c>
      <c r="B6147" s="2">
        <v>43142</v>
      </c>
      <c r="C6147" t="s">
        <v>1803</v>
      </c>
      <c r="D6147" t="s">
        <v>1804</v>
      </c>
    </row>
    <row r="6148" spans="1:4" x14ac:dyDescent="0.2">
      <c r="A6148" t="s">
        <v>1407</v>
      </c>
      <c r="B6148" s="2">
        <v>43145</v>
      </c>
      <c r="C6148" t="s">
        <v>1836</v>
      </c>
      <c r="D6148" t="s">
        <v>1031</v>
      </c>
    </row>
    <row r="6149" spans="1:4" x14ac:dyDescent="0.2">
      <c r="A6149" t="s">
        <v>7749</v>
      </c>
      <c r="B6149" s="2">
        <v>43204</v>
      </c>
      <c r="C6149" t="s">
        <v>1854</v>
      </c>
      <c r="D6149" t="s">
        <v>1810</v>
      </c>
    </row>
    <row r="6150" spans="1:4" x14ac:dyDescent="0.2">
      <c r="A6150" t="s">
        <v>7750</v>
      </c>
      <c r="B6150" s="2">
        <v>43214</v>
      </c>
      <c r="C6150" t="s">
        <v>1905</v>
      </c>
      <c r="D6150" t="s">
        <v>1810</v>
      </c>
    </row>
    <row r="6151" spans="1:4" x14ac:dyDescent="0.2">
      <c r="A6151" t="s">
        <v>7751</v>
      </c>
      <c r="B6151" s="2">
        <v>42928</v>
      </c>
      <c r="C6151" t="s">
        <v>3019</v>
      </c>
      <c r="D6151" t="s">
        <v>1807</v>
      </c>
    </row>
    <row r="6152" spans="1:4" x14ac:dyDescent="0.2">
      <c r="A6152" t="s">
        <v>7752</v>
      </c>
      <c r="B6152" s="2">
        <v>43108</v>
      </c>
      <c r="C6152" t="s">
        <v>2182</v>
      </c>
      <c r="D6152" t="s">
        <v>1810</v>
      </c>
    </row>
    <row r="6153" spans="1:4" x14ac:dyDescent="0.2">
      <c r="A6153" t="s">
        <v>7753</v>
      </c>
      <c r="B6153" s="2">
        <v>43244</v>
      </c>
      <c r="C6153" t="s">
        <v>1863</v>
      </c>
      <c r="D6153" t="s">
        <v>1804</v>
      </c>
    </row>
    <row r="6154" spans="1:4" x14ac:dyDescent="0.2">
      <c r="A6154" t="s">
        <v>7754</v>
      </c>
      <c r="B6154" s="2">
        <v>43156</v>
      </c>
      <c r="C6154" t="s">
        <v>2115</v>
      </c>
      <c r="D6154" t="s">
        <v>1804</v>
      </c>
    </row>
    <row r="6155" spans="1:4" x14ac:dyDescent="0.2">
      <c r="A6155" t="s">
        <v>7755</v>
      </c>
      <c r="B6155" s="2">
        <v>43089</v>
      </c>
      <c r="C6155" t="s">
        <v>1930</v>
      </c>
      <c r="D6155" t="s">
        <v>1807</v>
      </c>
    </row>
    <row r="6156" spans="1:4" x14ac:dyDescent="0.2">
      <c r="A6156" t="s">
        <v>7756</v>
      </c>
      <c r="B6156" s="2">
        <v>42981</v>
      </c>
      <c r="C6156" t="s">
        <v>2407</v>
      </c>
      <c r="D6156" t="s">
        <v>1810</v>
      </c>
    </row>
    <row r="6157" spans="1:4" x14ac:dyDescent="0.2">
      <c r="A6157" t="s">
        <v>7757</v>
      </c>
      <c r="B6157" s="2">
        <v>43110</v>
      </c>
      <c r="C6157" t="s">
        <v>1836</v>
      </c>
      <c r="D6157" t="s">
        <v>1810</v>
      </c>
    </row>
    <row r="6158" spans="1:4" x14ac:dyDescent="0.2">
      <c r="A6158" t="s">
        <v>7758</v>
      </c>
      <c r="B6158" s="2">
        <v>42947</v>
      </c>
      <c r="C6158" t="s">
        <v>2407</v>
      </c>
      <c r="D6158" t="s">
        <v>1813</v>
      </c>
    </row>
    <row r="6159" spans="1:4" x14ac:dyDescent="0.2">
      <c r="A6159" t="s">
        <v>7759</v>
      </c>
      <c r="B6159" s="2">
        <v>43049</v>
      </c>
      <c r="C6159" t="s">
        <v>1939</v>
      </c>
      <c r="D6159" t="s">
        <v>1829</v>
      </c>
    </row>
    <row r="6160" spans="1:4" x14ac:dyDescent="0.2">
      <c r="A6160" t="s">
        <v>7760</v>
      </c>
      <c r="B6160" s="2">
        <v>43040</v>
      </c>
      <c r="C6160" t="s">
        <v>1836</v>
      </c>
      <c r="D6160" t="s">
        <v>1031</v>
      </c>
    </row>
    <row r="6161" spans="1:4" x14ac:dyDescent="0.2">
      <c r="A6161" t="s">
        <v>7761</v>
      </c>
      <c r="B6161" s="2">
        <v>43098</v>
      </c>
      <c r="C6161" t="s">
        <v>2101</v>
      </c>
      <c r="D6161" t="s">
        <v>1810</v>
      </c>
    </row>
    <row r="6162" spans="1:4" x14ac:dyDescent="0.2">
      <c r="A6162" t="s">
        <v>1409</v>
      </c>
      <c r="B6162" s="2">
        <v>43167</v>
      </c>
      <c r="C6162" t="s">
        <v>1930</v>
      </c>
      <c r="D6162" t="s">
        <v>1807</v>
      </c>
    </row>
    <row r="6163" spans="1:4" x14ac:dyDescent="0.2">
      <c r="A6163" t="s">
        <v>7762</v>
      </c>
      <c r="B6163" s="2">
        <v>43175</v>
      </c>
      <c r="C6163" t="s">
        <v>1836</v>
      </c>
      <c r="D6163" t="s">
        <v>1031</v>
      </c>
    </row>
    <row r="6164" spans="1:4" x14ac:dyDescent="0.2">
      <c r="A6164" t="s">
        <v>7763</v>
      </c>
      <c r="B6164" s="2">
        <v>43185</v>
      </c>
      <c r="C6164" t="s">
        <v>1816</v>
      </c>
      <c r="D6164" t="s">
        <v>1810</v>
      </c>
    </row>
    <row r="6165" spans="1:4" x14ac:dyDescent="0.2">
      <c r="A6165" t="s">
        <v>7764</v>
      </c>
      <c r="B6165" s="2">
        <v>43232</v>
      </c>
      <c r="C6165" t="s">
        <v>1863</v>
      </c>
      <c r="D6165" t="s">
        <v>1804</v>
      </c>
    </row>
    <row r="6166" spans="1:4" x14ac:dyDescent="0.2">
      <c r="A6166" t="s">
        <v>7765</v>
      </c>
      <c r="B6166" s="2">
        <v>43120</v>
      </c>
      <c r="C6166" t="s">
        <v>1930</v>
      </c>
      <c r="D6166" t="s">
        <v>1807</v>
      </c>
    </row>
    <row r="6167" spans="1:4" x14ac:dyDescent="0.2">
      <c r="A6167" t="s">
        <v>7766</v>
      </c>
      <c r="B6167" s="2">
        <v>43157</v>
      </c>
      <c r="C6167" t="s">
        <v>4155</v>
      </c>
      <c r="D6167" t="s">
        <v>1849</v>
      </c>
    </row>
    <row r="6168" spans="1:4" x14ac:dyDescent="0.2">
      <c r="A6168" t="s">
        <v>7767</v>
      </c>
      <c r="B6168" s="2">
        <v>43156</v>
      </c>
      <c r="C6168" t="s">
        <v>1825</v>
      </c>
      <c r="D6168" t="s">
        <v>1810</v>
      </c>
    </row>
    <row r="6169" spans="1:4" x14ac:dyDescent="0.2">
      <c r="A6169" t="s">
        <v>7768</v>
      </c>
      <c r="B6169" s="2">
        <v>43230</v>
      </c>
      <c r="C6169" t="s">
        <v>5966</v>
      </c>
      <c r="D6169" t="s">
        <v>1807</v>
      </c>
    </row>
    <row r="6170" spans="1:4" x14ac:dyDescent="0.2">
      <c r="A6170" t="s">
        <v>7769</v>
      </c>
      <c r="B6170" s="2">
        <v>43200</v>
      </c>
      <c r="C6170" t="s">
        <v>7770</v>
      </c>
      <c r="D6170" t="s">
        <v>1031</v>
      </c>
    </row>
    <row r="6171" spans="1:4" x14ac:dyDescent="0.2">
      <c r="A6171" t="s">
        <v>7771</v>
      </c>
      <c r="B6171" s="2">
        <v>43033</v>
      </c>
      <c r="C6171" t="s">
        <v>2576</v>
      </c>
      <c r="D6171" t="s">
        <v>1031</v>
      </c>
    </row>
    <row r="6172" spans="1:4" x14ac:dyDescent="0.2">
      <c r="A6172" t="s">
        <v>7772</v>
      </c>
      <c r="B6172" s="2">
        <v>43192</v>
      </c>
      <c r="C6172" t="s">
        <v>1928</v>
      </c>
      <c r="D6172" t="s">
        <v>1849</v>
      </c>
    </row>
    <row r="6173" spans="1:4" x14ac:dyDescent="0.2">
      <c r="A6173" t="s">
        <v>7773</v>
      </c>
      <c r="B6173" s="2">
        <v>43182</v>
      </c>
      <c r="C6173" t="s">
        <v>1836</v>
      </c>
      <c r="D6173" t="s">
        <v>1031</v>
      </c>
    </row>
    <row r="6174" spans="1:4" x14ac:dyDescent="0.2">
      <c r="A6174" t="s">
        <v>7774</v>
      </c>
      <c r="B6174" s="2">
        <v>43154</v>
      </c>
      <c r="C6174" t="s">
        <v>2014</v>
      </c>
      <c r="D6174" t="s">
        <v>1829</v>
      </c>
    </row>
    <row r="6175" spans="1:4" x14ac:dyDescent="0.2">
      <c r="A6175" t="s">
        <v>7775</v>
      </c>
      <c r="B6175" s="2">
        <v>43138</v>
      </c>
      <c r="C6175" t="s">
        <v>2058</v>
      </c>
      <c r="D6175" t="s">
        <v>1807</v>
      </c>
    </row>
    <row r="6176" spans="1:4" x14ac:dyDescent="0.2">
      <c r="A6176" t="s">
        <v>7776</v>
      </c>
      <c r="B6176" s="2">
        <v>43067</v>
      </c>
      <c r="C6176" t="s">
        <v>1889</v>
      </c>
      <c r="D6176" t="s">
        <v>1810</v>
      </c>
    </row>
    <row r="6177" spans="1:4" x14ac:dyDescent="0.2">
      <c r="A6177" t="s">
        <v>7777</v>
      </c>
      <c r="B6177" s="2">
        <v>43061</v>
      </c>
      <c r="C6177" t="s">
        <v>1803</v>
      </c>
      <c r="D6177" t="s">
        <v>1804</v>
      </c>
    </row>
    <row r="6178" spans="1:4" x14ac:dyDescent="0.2">
      <c r="A6178" t="s">
        <v>7778</v>
      </c>
      <c r="B6178" s="2">
        <v>43040</v>
      </c>
      <c r="C6178" t="s">
        <v>2576</v>
      </c>
      <c r="D6178" t="s">
        <v>1813</v>
      </c>
    </row>
    <row r="6179" spans="1:4" x14ac:dyDescent="0.2">
      <c r="A6179" t="s">
        <v>7779</v>
      </c>
      <c r="B6179" s="2">
        <v>43215</v>
      </c>
      <c r="C6179" t="s">
        <v>1836</v>
      </c>
      <c r="D6179" t="s">
        <v>1031</v>
      </c>
    </row>
    <row r="6180" spans="1:4" x14ac:dyDescent="0.2">
      <c r="A6180" t="s">
        <v>7780</v>
      </c>
      <c r="B6180" s="2">
        <v>43108</v>
      </c>
      <c r="C6180" t="s">
        <v>1816</v>
      </c>
      <c r="D6180" t="s">
        <v>160</v>
      </c>
    </row>
    <row r="6181" spans="1:4" x14ac:dyDescent="0.2">
      <c r="A6181" t="s">
        <v>7781</v>
      </c>
      <c r="B6181" s="2">
        <v>43193</v>
      </c>
      <c r="C6181" t="s">
        <v>1816</v>
      </c>
      <c r="D6181" t="s">
        <v>1807</v>
      </c>
    </row>
    <row r="6182" spans="1:4" x14ac:dyDescent="0.2">
      <c r="A6182" t="s">
        <v>7782</v>
      </c>
      <c r="B6182" s="2">
        <v>43200</v>
      </c>
      <c r="C6182" t="s">
        <v>1825</v>
      </c>
      <c r="D6182" t="s">
        <v>1807</v>
      </c>
    </row>
    <row r="6183" spans="1:4" x14ac:dyDescent="0.2">
      <c r="A6183" t="s">
        <v>7783</v>
      </c>
      <c r="B6183" s="2">
        <v>42936</v>
      </c>
      <c r="C6183" t="s">
        <v>3369</v>
      </c>
      <c r="D6183" t="s">
        <v>1813</v>
      </c>
    </row>
    <row r="6184" spans="1:4" x14ac:dyDescent="0.2">
      <c r="A6184" t="s">
        <v>7784</v>
      </c>
      <c r="B6184" s="2">
        <v>42928</v>
      </c>
      <c r="C6184" t="s">
        <v>3561</v>
      </c>
      <c r="D6184" t="s">
        <v>1840</v>
      </c>
    </row>
    <row r="6185" spans="1:4" x14ac:dyDescent="0.2">
      <c r="A6185" t="s">
        <v>7785</v>
      </c>
      <c r="B6185" s="2">
        <v>43217</v>
      </c>
      <c r="C6185" t="s">
        <v>2503</v>
      </c>
      <c r="D6185" t="s">
        <v>1849</v>
      </c>
    </row>
    <row r="6186" spans="1:4" x14ac:dyDescent="0.2">
      <c r="A6186" t="s">
        <v>7786</v>
      </c>
      <c r="B6186" s="2">
        <v>42975</v>
      </c>
      <c r="C6186" t="s">
        <v>1907</v>
      </c>
      <c r="D6186" t="s">
        <v>1807</v>
      </c>
    </row>
    <row r="6187" spans="1:4" x14ac:dyDescent="0.2">
      <c r="A6187" t="s">
        <v>7787</v>
      </c>
      <c r="B6187" s="2">
        <v>43169</v>
      </c>
      <c r="C6187" t="s">
        <v>1928</v>
      </c>
      <c r="D6187" t="s">
        <v>1840</v>
      </c>
    </row>
    <row r="6188" spans="1:4" x14ac:dyDescent="0.2">
      <c r="A6188" t="s">
        <v>7788</v>
      </c>
      <c r="B6188" s="2">
        <v>43200</v>
      </c>
      <c r="C6188" t="s">
        <v>1836</v>
      </c>
      <c r="D6188" t="s">
        <v>1031</v>
      </c>
    </row>
    <row r="6189" spans="1:4" x14ac:dyDescent="0.2">
      <c r="A6189" t="s">
        <v>7789</v>
      </c>
      <c r="B6189" s="2">
        <v>43052</v>
      </c>
      <c r="C6189" t="s">
        <v>2006</v>
      </c>
      <c r="D6189" t="s">
        <v>1813</v>
      </c>
    </row>
    <row r="6190" spans="1:4" x14ac:dyDescent="0.2">
      <c r="A6190" t="s">
        <v>7790</v>
      </c>
      <c r="B6190" s="2">
        <v>43207</v>
      </c>
      <c r="C6190" t="s">
        <v>1827</v>
      </c>
      <c r="D6190" t="s">
        <v>1807</v>
      </c>
    </row>
    <row r="6191" spans="1:4" x14ac:dyDescent="0.2">
      <c r="A6191" t="s">
        <v>7791</v>
      </c>
      <c r="B6191" s="2">
        <v>43234</v>
      </c>
      <c r="C6191" t="s">
        <v>1930</v>
      </c>
      <c r="D6191" t="s">
        <v>1810</v>
      </c>
    </row>
    <row r="6192" spans="1:4" x14ac:dyDescent="0.2">
      <c r="A6192" t="s">
        <v>7792</v>
      </c>
      <c r="B6192" s="2">
        <v>43123</v>
      </c>
      <c r="C6192" t="s">
        <v>1905</v>
      </c>
      <c r="D6192" t="s">
        <v>1804</v>
      </c>
    </row>
    <row r="6193" spans="1:4" x14ac:dyDescent="0.2">
      <c r="A6193" t="s">
        <v>7793</v>
      </c>
      <c r="B6193" s="2">
        <v>43194</v>
      </c>
      <c r="C6193" t="s">
        <v>2115</v>
      </c>
      <c r="D6193" t="s">
        <v>1804</v>
      </c>
    </row>
    <row r="6194" spans="1:4" x14ac:dyDescent="0.2">
      <c r="A6194" t="s">
        <v>7794</v>
      </c>
      <c r="B6194" s="2">
        <v>43243</v>
      </c>
      <c r="C6194" t="s">
        <v>1832</v>
      </c>
      <c r="D6194" t="s">
        <v>1810</v>
      </c>
    </row>
    <row r="6195" spans="1:4" x14ac:dyDescent="0.2">
      <c r="A6195" t="s">
        <v>7795</v>
      </c>
      <c r="B6195" s="2">
        <v>43234</v>
      </c>
      <c r="C6195" t="s">
        <v>1905</v>
      </c>
      <c r="D6195" t="s">
        <v>1810</v>
      </c>
    </row>
    <row r="6196" spans="1:4" x14ac:dyDescent="0.2">
      <c r="A6196" t="s">
        <v>7796</v>
      </c>
      <c r="B6196" s="2">
        <v>42997</v>
      </c>
      <c r="C6196" t="s">
        <v>1816</v>
      </c>
      <c r="D6196" t="s">
        <v>1810</v>
      </c>
    </row>
    <row r="6197" spans="1:4" x14ac:dyDescent="0.2">
      <c r="A6197" t="s">
        <v>7797</v>
      </c>
      <c r="B6197" s="2">
        <v>43139</v>
      </c>
      <c r="C6197" t="s">
        <v>1836</v>
      </c>
      <c r="D6197" t="s">
        <v>1031</v>
      </c>
    </row>
    <row r="6198" spans="1:4" x14ac:dyDescent="0.2">
      <c r="A6198" t="s">
        <v>7798</v>
      </c>
      <c r="B6198" s="2">
        <v>42988</v>
      </c>
      <c r="C6198" t="s">
        <v>1894</v>
      </c>
      <c r="D6198" t="s">
        <v>1804</v>
      </c>
    </row>
    <row r="6199" spans="1:4" x14ac:dyDescent="0.2">
      <c r="A6199" t="s">
        <v>7799</v>
      </c>
      <c r="B6199" s="2">
        <v>43215</v>
      </c>
      <c r="C6199" t="s">
        <v>1836</v>
      </c>
      <c r="D6199" t="s">
        <v>1031</v>
      </c>
    </row>
    <row r="6200" spans="1:4" x14ac:dyDescent="0.2">
      <c r="A6200" t="s">
        <v>7800</v>
      </c>
      <c r="B6200" s="2">
        <v>42948</v>
      </c>
      <c r="C6200" t="s">
        <v>2407</v>
      </c>
      <c r="D6200" t="s">
        <v>1840</v>
      </c>
    </row>
    <row r="6201" spans="1:4" x14ac:dyDescent="0.2">
      <c r="A6201" t="s">
        <v>7801</v>
      </c>
      <c r="B6201" s="2">
        <v>43103</v>
      </c>
      <c r="C6201" t="s">
        <v>1803</v>
      </c>
      <c r="D6201" t="s">
        <v>1804</v>
      </c>
    </row>
    <row r="6202" spans="1:4" x14ac:dyDescent="0.2">
      <c r="A6202" t="s">
        <v>7802</v>
      </c>
      <c r="B6202" s="2">
        <v>43037</v>
      </c>
      <c r="C6202" t="s">
        <v>1887</v>
      </c>
      <c r="D6202" t="s">
        <v>160</v>
      </c>
    </row>
    <row r="6203" spans="1:4" x14ac:dyDescent="0.2">
      <c r="A6203" t="s">
        <v>7803</v>
      </c>
      <c r="B6203" s="2">
        <v>43137</v>
      </c>
      <c r="C6203" t="s">
        <v>1836</v>
      </c>
      <c r="D6203" t="s">
        <v>1031</v>
      </c>
    </row>
    <row r="6204" spans="1:4" x14ac:dyDescent="0.2">
      <c r="A6204" t="s">
        <v>7804</v>
      </c>
      <c r="B6204" s="2">
        <v>43014</v>
      </c>
      <c r="C6204" t="s">
        <v>1825</v>
      </c>
      <c r="D6204" t="s">
        <v>1810</v>
      </c>
    </row>
    <row r="6205" spans="1:4" x14ac:dyDescent="0.2">
      <c r="A6205" t="s">
        <v>7805</v>
      </c>
      <c r="B6205" s="2">
        <v>43238</v>
      </c>
      <c r="C6205" t="s">
        <v>1832</v>
      </c>
      <c r="D6205" t="s">
        <v>1810</v>
      </c>
    </row>
    <row r="6206" spans="1:4" x14ac:dyDescent="0.2">
      <c r="A6206" t="s">
        <v>7806</v>
      </c>
      <c r="B6206" s="2">
        <v>43049</v>
      </c>
      <c r="C6206" t="s">
        <v>1803</v>
      </c>
      <c r="D6206" t="s">
        <v>1804</v>
      </c>
    </row>
    <row r="6207" spans="1:4" x14ac:dyDescent="0.2">
      <c r="A6207" t="s">
        <v>7807</v>
      </c>
      <c r="B6207" s="2">
        <v>43248</v>
      </c>
      <c r="C6207" t="s">
        <v>2576</v>
      </c>
      <c r="D6207" t="s">
        <v>1810</v>
      </c>
    </row>
    <row r="6208" spans="1:4" x14ac:dyDescent="0.2">
      <c r="A6208" t="s">
        <v>7808</v>
      </c>
      <c r="B6208" s="2">
        <v>42943</v>
      </c>
      <c r="C6208" t="s">
        <v>2066</v>
      </c>
      <c r="D6208" t="s">
        <v>1813</v>
      </c>
    </row>
    <row r="6209" spans="1:4" x14ac:dyDescent="0.2">
      <c r="A6209" t="s">
        <v>7809</v>
      </c>
      <c r="B6209" s="2">
        <v>43204</v>
      </c>
      <c r="C6209" t="s">
        <v>1905</v>
      </c>
      <c r="D6209" t="s">
        <v>1810</v>
      </c>
    </row>
    <row r="6210" spans="1:4" x14ac:dyDescent="0.2">
      <c r="A6210" t="s">
        <v>7810</v>
      </c>
      <c r="B6210" s="2">
        <v>43192</v>
      </c>
      <c r="C6210" t="s">
        <v>1836</v>
      </c>
      <c r="D6210" t="s">
        <v>1031</v>
      </c>
    </row>
    <row r="6211" spans="1:4" x14ac:dyDescent="0.2">
      <c r="A6211" t="s">
        <v>7811</v>
      </c>
      <c r="B6211" s="2">
        <v>43113</v>
      </c>
      <c r="C6211" t="s">
        <v>1905</v>
      </c>
      <c r="D6211" t="s">
        <v>1810</v>
      </c>
    </row>
    <row r="6212" spans="1:4" x14ac:dyDescent="0.2">
      <c r="A6212" t="s">
        <v>7812</v>
      </c>
      <c r="B6212" s="2">
        <v>43108</v>
      </c>
      <c r="C6212" t="s">
        <v>1803</v>
      </c>
      <c r="D6212" t="s">
        <v>1804</v>
      </c>
    </row>
    <row r="6213" spans="1:4" x14ac:dyDescent="0.2">
      <c r="A6213" t="s">
        <v>7813</v>
      </c>
      <c r="B6213" s="2">
        <v>43209</v>
      </c>
      <c r="C6213" t="s">
        <v>1863</v>
      </c>
      <c r="D6213" t="s">
        <v>1804</v>
      </c>
    </row>
    <row r="6214" spans="1:4" x14ac:dyDescent="0.2">
      <c r="A6214" t="s">
        <v>7814</v>
      </c>
      <c r="B6214" s="2">
        <v>43197</v>
      </c>
      <c r="C6214" t="s">
        <v>1863</v>
      </c>
      <c r="D6214" t="s">
        <v>1804</v>
      </c>
    </row>
    <row r="6215" spans="1:4" x14ac:dyDescent="0.2">
      <c r="A6215" t="s">
        <v>7815</v>
      </c>
      <c r="B6215" s="2">
        <v>43215</v>
      </c>
      <c r="C6215" t="s">
        <v>1915</v>
      </c>
      <c r="D6215" t="s">
        <v>1031</v>
      </c>
    </row>
    <row r="6216" spans="1:4" x14ac:dyDescent="0.2">
      <c r="A6216" t="s">
        <v>7816</v>
      </c>
      <c r="B6216" s="2">
        <v>42975</v>
      </c>
      <c r="C6216" t="s">
        <v>1892</v>
      </c>
      <c r="D6216" t="s">
        <v>1810</v>
      </c>
    </row>
    <row r="6217" spans="1:4" x14ac:dyDescent="0.2">
      <c r="A6217" t="s">
        <v>7817</v>
      </c>
      <c r="B6217" s="2">
        <v>43021</v>
      </c>
      <c r="C6217" t="s">
        <v>1816</v>
      </c>
      <c r="D6217" t="s">
        <v>1810</v>
      </c>
    </row>
    <row r="6218" spans="1:4" x14ac:dyDescent="0.2">
      <c r="A6218" t="s">
        <v>7818</v>
      </c>
      <c r="B6218" s="2">
        <v>42969</v>
      </c>
      <c r="C6218" t="s">
        <v>2074</v>
      </c>
      <c r="D6218" t="s">
        <v>1810</v>
      </c>
    </row>
    <row r="6219" spans="1:4" x14ac:dyDescent="0.2">
      <c r="A6219" t="s">
        <v>7819</v>
      </c>
      <c r="B6219" s="2">
        <v>42956</v>
      </c>
      <c r="C6219" t="s">
        <v>2576</v>
      </c>
      <c r="D6219" t="s">
        <v>1031</v>
      </c>
    </row>
    <row r="6220" spans="1:4" x14ac:dyDescent="0.2">
      <c r="A6220" t="s">
        <v>7820</v>
      </c>
      <c r="B6220" s="2">
        <v>43171</v>
      </c>
      <c r="C6220" t="s">
        <v>2045</v>
      </c>
      <c r="D6220" t="s">
        <v>1807</v>
      </c>
    </row>
    <row r="6221" spans="1:4" x14ac:dyDescent="0.2">
      <c r="A6221" t="s">
        <v>7821</v>
      </c>
      <c r="B6221" s="2">
        <v>43181</v>
      </c>
      <c r="C6221" t="s">
        <v>7822</v>
      </c>
      <c r="D6221" t="s">
        <v>1031</v>
      </c>
    </row>
    <row r="6222" spans="1:4" x14ac:dyDescent="0.2">
      <c r="A6222" t="s">
        <v>7823</v>
      </c>
      <c r="B6222" s="2">
        <v>43185</v>
      </c>
      <c r="C6222" t="s">
        <v>1863</v>
      </c>
      <c r="D6222" t="s">
        <v>1804</v>
      </c>
    </row>
    <row r="6223" spans="1:4" x14ac:dyDescent="0.2">
      <c r="A6223" t="s">
        <v>7824</v>
      </c>
      <c r="B6223" s="2">
        <v>43194</v>
      </c>
      <c r="C6223" t="s">
        <v>1814</v>
      </c>
      <c r="D6223" t="s">
        <v>1810</v>
      </c>
    </row>
    <row r="6224" spans="1:4" x14ac:dyDescent="0.2">
      <c r="A6224" t="s">
        <v>7825</v>
      </c>
      <c r="B6224" s="2">
        <v>43095</v>
      </c>
      <c r="C6224" t="s">
        <v>1930</v>
      </c>
      <c r="D6224" t="s">
        <v>1807</v>
      </c>
    </row>
    <row r="6225" spans="1:4" x14ac:dyDescent="0.2">
      <c r="A6225" t="s">
        <v>7826</v>
      </c>
      <c r="B6225" s="2">
        <v>43039</v>
      </c>
      <c r="C6225" t="s">
        <v>2014</v>
      </c>
      <c r="D6225" t="s">
        <v>1840</v>
      </c>
    </row>
    <row r="6226" spans="1:4" x14ac:dyDescent="0.2">
      <c r="A6226" t="s">
        <v>7827</v>
      </c>
      <c r="B6226" s="2">
        <v>43096</v>
      </c>
      <c r="C6226" t="s">
        <v>1867</v>
      </c>
      <c r="D6226" t="s">
        <v>1813</v>
      </c>
    </row>
    <row r="6227" spans="1:4" x14ac:dyDescent="0.2">
      <c r="A6227" t="s">
        <v>7828</v>
      </c>
      <c r="B6227" s="2">
        <v>43214</v>
      </c>
      <c r="C6227" t="s">
        <v>1863</v>
      </c>
      <c r="D6227" t="s">
        <v>1804</v>
      </c>
    </row>
    <row r="6228" spans="1:4" x14ac:dyDescent="0.2">
      <c r="A6228" t="s">
        <v>7829</v>
      </c>
      <c r="B6228" s="2">
        <v>43145</v>
      </c>
      <c r="C6228" t="s">
        <v>1930</v>
      </c>
      <c r="D6228" t="s">
        <v>1807</v>
      </c>
    </row>
    <row r="6229" spans="1:4" x14ac:dyDescent="0.2">
      <c r="A6229" t="s">
        <v>7830</v>
      </c>
      <c r="B6229" s="2">
        <v>43216</v>
      </c>
      <c r="C6229" t="s">
        <v>3092</v>
      </c>
      <c r="D6229" t="s">
        <v>1807</v>
      </c>
    </row>
    <row r="6230" spans="1:4" x14ac:dyDescent="0.2">
      <c r="A6230" t="s">
        <v>7831</v>
      </c>
      <c r="B6230" s="2">
        <v>42937</v>
      </c>
      <c r="C6230" t="s">
        <v>1974</v>
      </c>
      <c r="D6230" t="s">
        <v>1849</v>
      </c>
    </row>
    <row r="6231" spans="1:4" x14ac:dyDescent="0.2">
      <c r="A6231" t="s">
        <v>7832</v>
      </c>
      <c r="B6231" s="2">
        <v>43229</v>
      </c>
      <c r="C6231" t="s">
        <v>1827</v>
      </c>
      <c r="D6231" t="s">
        <v>1807</v>
      </c>
    </row>
    <row r="6232" spans="1:4" x14ac:dyDescent="0.2">
      <c r="A6232" t="s">
        <v>7833</v>
      </c>
      <c r="B6232" s="2">
        <v>43192</v>
      </c>
      <c r="C6232" t="s">
        <v>2115</v>
      </c>
      <c r="D6232" t="s">
        <v>1804</v>
      </c>
    </row>
    <row r="6233" spans="1:4" x14ac:dyDescent="0.2">
      <c r="A6233" t="s">
        <v>7834</v>
      </c>
      <c r="B6233" s="2">
        <v>43126</v>
      </c>
      <c r="C6233" t="s">
        <v>1803</v>
      </c>
      <c r="D6233" t="s">
        <v>1804</v>
      </c>
    </row>
    <row r="6234" spans="1:4" x14ac:dyDescent="0.2">
      <c r="A6234" t="s">
        <v>7835</v>
      </c>
      <c r="B6234" s="2">
        <v>43175</v>
      </c>
      <c r="C6234" t="s">
        <v>1865</v>
      </c>
      <c r="D6234" t="s">
        <v>1807</v>
      </c>
    </row>
    <row r="6235" spans="1:4" x14ac:dyDescent="0.2">
      <c r="A6235" t="s">
        <v>7836</v>
      </c>
      <c r="B6235" s="2">
        <v>43166</v>
      </c>
      <c r="C6235" t="s">
        <v>1885</v>
      </c>
      <c r="D6235" t="s">
        <v>1810</v>
      </c>
    </row>
    <row r="6236" spans="1:4" x14ac:dyDescent="0.2">
      <c r="A6236" t="s">
        <v>7837</v>
      </c>
      <c r="B6236" s="2">
        <v>43234</v>
      </c>
      <c r="C6236" t="s">
        <v>1836</v>
      </c>
      <c r="D6236" t="s">
        <v>1031</v>
      </c>
    </row>
    <row r="6237" spans="1:4" x14ac:dyDescent="0.2">
      <c r="A6237" t="s">
        <v>7838</v>
      </c>
      <c r="B6237" s="2">
        <v>43119</v>
      </c>
      <c r="C6237" t="s">
        <v>1816</v>
      </c>
      <c r="D6237" t="s">
        <v>1807</v>
      </c>
    </row>
    <row r="6238" spans="1:4" x14ac:dyDescent="0.2">
      <c r="A6238" t="s">
        <v>7839</v>
      </c>
      <c r="B6238" s="2">
        <v>43138</v>
      </c>
      <c r="C6238" t="s">
        <v>2058</v>
      </c>
      <c r="D6238" t="s">
        <v>1807</v>
      </c>
    </row>
    <row r="6239" spans="1:4" x14ac:dyDescent="0.2">
      <c r="A6239" t="s">
        <v>7840</v>
      </c>
      <c r="B6239" s="2">
        <v>43009</v>
      </c>
      <c r="C6239" t="s">
        <v>1816</v>
      </c>
      <c r="D6239" t="s">
        <v>1810</v>
      </c>
    </row>
    <row r="6240" spans="1:4" x14ac:dyDescent="0.2">
      <c r="A6240" t="s">
        <v>7841</v>
      </c>
      <c r="B6240" s="2">
        <v>43194</v>
      </c>
      <c r="C6240" t="s">
        <v>5352</v>
      </c>
      <c r="D6240" t="s">
        <v>1810</v>
      </c>
    </row>
    <row r="6241" spans="1:4" x14ac:dyDescent="0.2">
      <c r="A6241" t="s">
        <v>7842</v>
      </c>
      <c r="B6241" s="2">
        <v>43026</v>
      </c>
      <c r="C6241" t="s">
        <v>1816</v>
      </c>
      <c r="D6241" t="s">
        <v>1804</v>
      </c>
    </row>
    <row r="6242" spans="1:4" x14ac:dyDescent="0.2">
      <c r="A6242" t="s">
        <v>7843</v>
      </c>
      <c r="B6242" s="2">
        <v>43181</v>
      </c>
      <c r="C6242" t="s">
        <v>2291</v>
      </c>
      <c r="D6242" t="s">
        <v>1807</v>
      </c>
    </row>
    <row r="6243" spans="1:4" x14ac:dyDescent="0.2">
      <c r="A6243" t="s">
        <v>7844</v>
      </c>
      <c r="B6243" s="2">
        <v>43105</v>
      </c>
      <c r="C6243" t="s">
        <v>2256</v>
      </c>
      <c r="D6243" t="s">
        <v>1810</v>
      </c>
    </row>
    <row r="6244" spans="1:4" x14ac:dyDescent="0.2">
      <c r="A6244" t="s">
        <v>7845</v>
      </c>
      <c r="B6244" s="2">
        <v>43138</v>
      </c>
      <c r="C6244" t="s">
        <v>3827</v>
      </c>
      <c r="D6244" t="s">
        <v>1813</v>
      </c>
    </row>
    <row r="6245" spans="1:4" x14ac:dyDescent="0.2">
      <c r="A6245" t="s">
        <v>7846</v>
      </c>
      <c r="B6245" s="2">
        <v>43224</v>
      </c>
      <c r="C6245" t="s">
        <v>1857</v>
      </c>
      <c r="D6245" t="s">
        <v>1804</v>
      </c>
    </row>
    <row r="6246" spans="1:4" x14ac:dyDescent="0.2">
      <c r="A6246" t="s">
        <v>7847</v>
      </c>
      <c r="B6246" s="2">
        <v>43136</v>
      </c>
      <c r="C6246" t="s">
        <v>3827</v>
      </c>
      <c r="D6246" t="s">
        <v>1849</v>
      </c>
    </row>
    <row r="6247" spans="1:4" x14ac:dyDescent="0.2">
      <c r="A6247" t="s">
        <v>7848</v>
      </c>
      <c r="B6247" s="2">
        <v>43178</v>
      </c>
      <c r="C6247" t="s">
        <v>1987</v>
      </c>
      <c r="D6247" t="s">
        <v>1807</v>
      </c>
    </row>
    <row r="6248" spans="1:4" x14ac:dyDescent="0.2">
      <c r="A6248" t="s">
        <v>1411</v>
      </c>
      <c r="B6248" s="2">
        <v>43248</v>
      </c>
      <c r="C6248" t="s">
        <v>1836</v>
      </c>
      <c r="D6248" t="s">
        <v>1031</v>
      </c>
    </row>
    <row r="6249" spans="1:4" x14ac:dyDescent="0.2">
      <c r="A6249" t="s">
        <v>7849</v>
      </c>
      <c r="B6249" s="2">
        <v>43157</v>
      </c>
      <c r="C6249" t="s">
        <v>2291</v>
      </c>
      <c r="D6249" t="s">
        <v>1810</v>
      </c>
    </row>
    <row r="6250" spans="1:4" x14ac:dyDescent="0.2">
      <c r="A6250" t="s">
        <v>1413</v>
      </c>
      <c r="B6250" s="2">
        <v>43188</v>
      </c>
      <c r="C6250" t="s">
        <v>1996</v>
      </c>
      <c r="D6250" t="s">
        <v>1804</v>
      </c>
    </row>
    <row r="6251" spans="1:4" x14ac:dyDescent="0.2">
      <c r="A6251" t="s">
        <v>7850</v>
      </c>
      <c r="B6251" s="2">
        <v>43129</v>
      </c>
      <c r="C6251" t="s">
        <v>2108</v>
      </c>
      <c r="D6251" t="s">
        <v>1807</v>
      </c>
    </row>
    <row r="6252" spans="1:4" x14ac:dyDescent="0.2">
      <c r="A6252" t="s">
        <v>7851</v>
      </c>
      <c r="B6252" s="2">
        <v>43179</v>
      </c>
      <c r="C6252" t="s">
        <v>2062</v>
      </c>
      <c r="D6252" t="s">
        <v>1813</v>
      </c>
    </row>
    <row r="6253" spans="1:4" x14ac:dyDescent="0.2">
      <c r="A6253" t="s">
        <v>7852</v>
      </c>
      <c r="B6253" s="2">
        <v>43040</v>
      </c>
      <c r="C6253" t="s">
        <v>1939</v>
      </c>
      <c r="D6253" t="s">
        <v>1807</v>
      </c>
    </row>
    <row r="6254" spans="1:4" x14ac:dyDescent="0.2">
      <c r="A6254" t="s">
        <v>7853</v>
      </c>
      <c r="B6254" s="2">
        <v>43240</v>
      </c>
      <c r="C6254" t="s">
        <v>1825</v>
      </c>
      <c r="D6254" t="s">
        <v>1804</v>
      </c>
    </row>
    <row r="6255" spans="1:4" x14ac:dyDescent="0.2">
      <c r="A6255" t="s">
        <v>1415</v>
      </c>
      <c r="B6255" s="2">
        <v>43173</v>
      </c>
      <c r="C6255" t="s">
        <v>7854</v>
      </c>
      <c r="D6255" t="s">
        <v>1031</v>
      </c>
    </row>
    <row r="6256" spans="1:4" x14ac:dyDescent="0.2">
      <c r="A6256" t="s">
        <v>7855</v>
      </c>
      <c r="B6256" s="2">
        <v>43242</v>
      </c>
      <c r="C6256" t="s">
        <v>1863</v>
      </c>
      <c r="D6256" t="s">
        <v>1804</v>
      </c>
    </row>
    <row r="6257" spans="1:4" x14ac:dyDescent="0.2">
      <c r="A6257" t="s">
        <v>7856</v>
      </c>
      <c r="B6257" s="2">
        <v>43176</v>
      </c>
      <c r="C6257" t="s">
        <v>1854</v>
      </c>
      <c r="D6257" t="s">
        <v>1810</v>
      </c>
    </row>
    <row r="6258" spans="1:4" x14ac:dyDescent="0.2">
      <c r="A6258" t="s">
        <v>7857</v>
      </c>
      <c r="B6258" s="2">
        <v>43168</v>
      </c>
      <c r="C6258" t="s">
        <v>7858</v>
      </c>
      <c r="D6258" t="s">
        <v>1031</v>
      </c>
    </row>
    <row r="6259" spans="1:4" x14ac:dyDescent="0.2">
      <c r="A6259" t="s">
        <v>7859</v>
      </c>
      <c r="B6259" s="2">
        <v>43177</v>
      </c>
      <c r="C6259" t="s">
        <v>1928</v>
      </c>
      <c r="D6259" t="s">
        <v>1807</v>
      </c>
    </row>
    <row r="6260" spans="1:4" x14ac:dyDescent="0.2">
      <c r="A6260" t="s">
        <v>7860</v>
      </c>
      <c r="B6260" s="2">
        <v>43210</v>
      </c>
      <c r="C6260" t="s">
        <v>1836</v>
      </c>
      <c r="D6260" t="s">
        <v>1807</v>
      </c>
    </row>
    <row r="6261" spans="1:4" x14ac:dyDescent="0.2">
      <c r="A6261" t="s">
        <v>7861</v>
      </c>
      <c r="B6261" s="2">
        <v>43204</v>
      </c>
      <c r="C6261" t="s">
        <v>1863</v>
      </c>
      <c r="D6261" t="s">
        <v>1804</v>
      </c>
    </row>
    <row r="6262" spans="1:4" x14ac:dyDescent="0.2">
      <c r="A6262" t="s">
        <v>7862</v>
      </c>
      <c r="B6262" s="2">
        <v>43172</v>
      </c>
      <c r="C6262" t="s">
        <v>2058</v>
      </c>
      <c r="D6262" t="s">
        <v>1807</v>
      </c>
    </row>
    <row r="6263" spans="1:4" x14ac:dyDescent="0.2">
      <c r="A6263" t="s">
        <v>1417</v>
      </c>
      <c r="B6263" s="2">
        <v>43230</v>
      </c>
      <c r="C6263" t="s">
        <v>1836</v>
      </c>
      <c r="D6263" t="s">
        <v>1031</v>
      </c>
    </row>
    <row r="6264" spans="1:4" x14ac:dyDescent="0.2">
      <c r="A6264" t="s">
        <v>7863</v>
      </c>
      <c r="B6264" s="2">
        <v>43209</v>
      </c>
      <c r="C6264" t="s">
        <v>1831</v>
      </c>
      <c r="D6264" t="s">
        <v>1840</v>
      </c>
    </row>
    <row r="6265" spans="1:4" x14ac:dyDescent="0.2">
      <c r="A6265" t="s">
        <v>7864</v>
      </c>
      <c r="B6265" s="2">
        <v>43212</v>
      </c>
      <c r="C6265" t="s">
        <v>1863</v>
      </c>
      <c r="D6265" t="s">
        <v>1804</v>
      </c>
    </row>
    <row r="6266" spans="1:4" x14ac:dyDescent="0.2">
      <c r="A6266" t="s">
        <v>7865</v>
      </c>
      <c r="B6266" s="2">
        <v>43116</v>
      </c>
      <c r="C6266" t="s">
        <v>1836</v>
      </c>
      <c r="D6266" t="s">
        <v>1840</v>
      </c>
    </row>
    <row r="6267" spans="1:4" x14ac:dyDescent="0.2">
      <c r="A6267" t="s">
        <v>7866</v>
      </c>
      <c r="B6267" s="2">
        <v>43246</v>
      </c>
      <c r="C6267" t="s">
        <v>1816</v>
      </c>
      <c r="D6267" t="s">
        <v>1810</v>
      </c>
    </row>
    <row r="6268" spans="1:4" x14ac:dyDescent="0.2">
      <c r="A6268" t="s">
        <v>7867</v>
      </c>
      <c r="B6268" s="2">
        <v>43105</v>
      </c>
      <c r="C6268" t="s">
        <v>1814</v>
      </c>
      <c r="D6268" t="s">
        <v>1810</v>
      </c>
    </row>
    <row r="6269" spans="1:4" x14ac:dyDescent="0.2">
      <c r="A6269" t="s">
        <v>7868</v>
      </c>
      <c r="B6269" s="2">
        <v>43248</v>
      </c>
      <c r="C6269" t="s">
        <v>1930</v>
      </c>
      <c r="D6269" t="s">
        <v>1807</v>
      </c>
    </row>
    <row r="6270" spans="1:4" x14ac:dyDescent="0.2">
      <c r="A6270" t="s">
        <v>7869</v>
      </c>
      <c r="B6270" s="2">
        <v>42993</v>
      </c>
      <c r="C6270" t="s">
        <v>2108</v>
      </c>
      <c r="D6270" t="s">
        <v>1910</v>
      </c>
    </row>
    <row r="6271" spans="1:4" x14ac:dyDescent="0.2">
      <c r="A6271" t="s">
        <v>7870</v>
      </c>
      <c r="B6271" s="2">
        <v>43164</v>
      </c>
      <c r="C6271" t="s">
        <v>1816</v>
      </c>
      <c r="D6271" t="s">
        <v>1810</v>
      </c>
    </row>
    <row r="6272" spans="1:4" x14ac:dyDescent="0.2">
      <c r="A6272" t="s">
        <v>7871</v>
      </c>
      <c r="B6272" s="2">
        <v>43175</v>
      </c>
      <c r="C6272" t="s">
        <v>1928</v>
      </c>
      <c r="D6272" t="s">
        <v>1807</v>
      </c>
    </row>
    <row r="6273" spans="1:4" x14ac:dyDescent="0.2">
      <c r="A6273" t="s">
        <v>1419</v>
      </c>
      <c r="B6273" s="2">
        <v>43060</v>
      </c>
      <c r="C6273" t="s">
        <v>1930</v>
      </c>
      <c r="D6273" t="s">
        <v>1807</v>
      </c>
    </row>
    <row r="6274" spans="1:4" x14ac:dyDescent="0.2">
      <c r="A6274" t="s">
        <v>7872</v>
      </c>
      <c r="B6274" s="2">
        <v>43192</v>
      </c>
      <c r="C6274" t="s">
        <v>1836</v>
      </c>
      <c r="D6274" t="s">
        <v>1031</v>
      </c>
    </row>
    <row r="6275" spans="1:4" x14ac:dyDescent="0.2">
      <c r="A6275" t="s">
        <v>7873</v>
      </c>
      <c r="B6275" s="2">
        <v>43166</v>
      </c>
      <c r="C6275" t="s">
        <v>1831</v>
      </c>
      <c r="D6275" t="s">
        <v>160</v>
      </c>
    </row>
    <row r="6276" spans="1:4" x14ac:dyDescent="0.2">
      <c r="A6276" t="s">
        <v>7874</v>
      </c>
      <c r="B6276" s="2">
        <v>43180</v>
      </c>
      <c r="C6276" t="s">
        <v>2196</v>
      </c>
      <c r="D6276" t="s">
        <v>1810</v>
      </c>
    </row>
    <row r="6277" spans="1:4" x14ac:dyDescent="0.2">
      <c r="A6277" t="s">
        <v>7875</v>
      </c>
      <c r="B6277" s="2">
        <v>43175</v>
      </c>
      <c r="C6277" t="s">
        <v>1816</v>
      </c>
      <c r="D6277" t="s">
        <v>1807</v>
      </c>
    </row>
    <row r="6278" spans="1:4" x14ac:dyDescent="0.2">
      <c r="A6278" t="s">
        <v>7876</v>
      </c>
      <c r="B6278" s="2">
        <v>43209</v>
      </c>
      <c r="C6278" t="s">
        <v>1836</v>
      </c>
      <c r="D6278" t="s">
        <v>1810</v>
      </c>
    </row>
    <row r="6279" spans="1:4" x14ac:dyDescent="0.2">
      <c r="A6279" t="s">
        <v>7877</v>
      </c>
      <c r="B6279" s="2">
        <v>43209</v>
      </c>
      <c r="C6279" t="s">
        <v>1832</v>
      </c>
      <c r="D6279" t="s">
        <v>1807</v>
      </c>
    </row>
    <row r="6280" spans="1:4" x14ac:dyDescent="0.2">
      <c r="A6280" t="s">
        <v>7878</v>
      </c>
      <c r="B6280" s="2">
        <v>43215</v>
      </c>
      <c r="C6280" t="s">
        <v>1836</v>
      </c>
      <c r="D6280" t="s">
        <v>1031</v>
      </c>
    </row>
    <row r="6281" spans="1:4" x14ac:dyDescent="0.2">
      <c r="A6281" t="s">
        <v>7879</v>
      </c>
      <c r="B6281" s="2">
        <v>43124</v>
      </c>
      <c r="C6281" t="s">
        <v>1812</v>
      </c>
      <c r="D6281" t="s">
        <v>1829</v>
      </c>
    </row>
    <row r="6282" spans="1:4" x14ac:dyDescent="0.2">
      <c r="A6282" t="s">
        <v>7880</v>
      </c>
      <c r="B6282" s="2">
        <v>42978</v>
      </c>
      <c r="C6282" t="s">
        <v>2303</v>
      </c>
      <c r="D6282" t="s">
        <v>1810</v>
      </c>
    </row>
    <row r="6283" spans="1:4" x14ac:dyDescent="0.2">
      <c r="A6283" t="s">
        <v>7881</v>
      </c>
      <c r="B6283" s="2">
        <v>43209</v>
      </c>
      <c r="C6283" t="s">
        <v>1863</v>
      </c>
      <c r="D6283" t="s">
        <v>1804</v>
      </c>
    </row>
    <row r="6284" spans="1:4" x14ac:dyDescent="0.2">
      <c r="A6284" t="s">
        <v>1421</v>
      </c>
      <c r="B6284" s="2">
        <v>43210</v>
      </c>
      <c r="C6284" t="s">
        <v>1863</v>
      </c>
      <c r="D6284" t="s">
        <v>1804</v>
      </c>
    </row>
    <row r="6285" spans="1:4" x14ac:dyDescent="0.2">
      <c r="A6285" t="s">
        <v>7882</v>
      </c>
      <c r="B6285" s="2">
        <v>43200</v>
      </c>
      <c r="C6285" t="s">
        <v>2901</v>
      </c>
      <c r="D6285" t="s">
        <v>1807</v>
      </c>
    </row>
    <row r="6286" spans="1:4" x14ac:dyDescent="0.2">
      <c r="A6286" t="s">
        <v>1423</v>
      </c>
      <c r="B6286" s="2">
        <v>43109</v>
      </c>
      <c r="C6286" t="s">
        <v>1836</v>
      </c>
      <c r="D6286" t="s">
        <v>1031</v>
      </c>
    </row>
    <row r="6287" spans="1:4" x14ac:dyDescent="0.2">
      <c r="A6287" t="s">
        <v>7883</v>
      </c>
      <c r="B6287" s="2">
        <v>43125</v>
      </c>
      <c r="C6287" t="s">
        <v>1836</v>
      </c>
      <c r="D6287" t="s">
        <v>1849</v>
      </c>
    </row>
    <row r="6288" spans="1:4" x14ac:dyDescent="0.2">
      <c r="A6288" t="s">
        <v>7884</v>
      </c>
      <c r="B6288" s="2">
        <v>43144</v>
      </c>
      <c r="C6288" t="s">
        <v>3827</v>
      </c>
      <c r="D6288" t="s">
        <v>1849</v>
      </c>
    </row>
    <row r="6289" spans="1:4" x14ac:dyDescent="0.2">
      <c r="A6289" t="s">
        <v>7885</v>
      </c>
      <c r="B6289" s="2">
        <v>43214</v>
      </c>
      <c r="C6289" t="s">
        <v>1863</v>
      </c>
      <c r="D6289" t="s">
        <v>1804</v>
      </c>
    </row>
    <row r="6290" spans="1:4" x14ac:dyDescent="0.2">
      <c r="A6290" t="s">
        <v>7886</v>
      </c>
      <c r="B6290" s="2">
        <v>42983</v>
      </c>
      <c r="C6290" t="s">
        <v>2187</v>
      </c>
      <c r="D6290" t="s">
        <v>1807</v>
      </c>
    </row>
    <row r="6291" spans="1:4" x14ac:dyDescent="0.2">
      <c r="A6291" t="s">
        <v>1425</v>
      </c>
      <c r="B6291" s="2">
        <v>43174</v>
      </c>
      <c r="C6291" t="s">
        <v>1993</v>
      </c>
      <c r="D6291" t="s">
        <v>1796</v>
      </c>
    </row>
    <row r="6292" spans="1:4" x14ac:dyDescent="0.2">
      <c r="A6292" t="s">
        <v>7887</v>
      </c>
      <c r="B6292" s="2">
        <v>43153</v>
      </c>
      <c r="C6292" t="s">
        <v>1816</v>
      </c>
      <c r="D6292" t="s">
        <v>1810</v>
      </c>
    </row>
    <row r="6293" spans="1:4" x14ac:dyDescent="0.2">
      <c r="A6293" t="s">
        <v>1427</v>
      </c>
      <c r="B6293" s="2">
        <v>43231</v>
      </c>
      <c r="C6293" t="s">
        <v>1816</v>
      </c>
      <c r="D6293" t="s">
        <v>1810</v>
      </c>
    </row>
    <row r="6294" spans="1:4" x14ac:dyDescent="0.2">
      <c r="A6294" t="s">
        <v>7888</v>
      </c>
      <c r="B6294" s="2">
        <v>43152</v>
      </c>
      <c r="C6294" t="s">
        <v>2591</v>
      </c>
      <c r="D6294" t="s">
        <v>1813</v>
      </c>
    </row>
    <row r="6295" spans="1:4" x14ac:dyDescent="0.2">
      <c r="A6295" t="s">
        <v>1429</v>
      </c>
      <c r="B6295" s="2">
        <v>43173</v>
      </c>
      <c r="C6295" t="s">
        <v>1915</v>
      </c>
      <c r="D6295" t="s">
        <v>1807</v>
      </c>
    </row>
    <row r="6296" spans="1:4" x14ac:dyDescent="0.2">
      <c r="A6296" t="s">
        <v>7889</v>
      </c>
      <c r="B6296" s="2">
        <v>43202</v>
      </c>
      <c r="C6296" t="s">
        <v>7890</v>
      </c>
      <c r="D6296" t="s">
        <v>1807</v>
      </c>
    </row>
    <row r="6297" spans="1:4" x14ac:dyDescent="0.2">
      <c r="A6297" t="s">
        <v>7891</v>
      </c>
      <c r="B6297" s="2">
        <v>42951</v>
      </c>
      <c r="C6297" t="s">
        <v>2074</v>
      </c>
      <c r="D6297" t="s">
        <v>1810</v>
      </c>
    </row>
    <row r="6298" spans="1:4" x14ac:dyDescent="0.2">
      <c r="A6298" t="s">
        <v>7892</v>
      </c>
      <c r="B6298" s="2">
        <v>43161</v>
      </c>
      <c r="C6298" t="s">
        <v>1867</v>
      </c>
      <c r="D6298" t="s">
        <v>1840</v>
      </c>
    </row>
    <row r="6299" spans="1:4" x14ac:dyDescent="0.2">
      <c r="A6299" t="s">
        <v>7893</v>
      </c>
      <c r="B6299" s="2">
        <v>43091</v>
      </c>
      <c r="C6299" t="s">
        <v>1803</v>
      </c>
      <c r="D6299" t="s">
        <v>1804</v>
      </c>
    </row>
    <row r="6300" spans="1:4" x14ac:dyDescent="0.2">
      <c r="A6300" t="s">
        <v>7894</v>
      </c>
      <c r="B6300" s="2">
        <v>43142</v>
      </c>
      <c r="C6300" t="s">
        <v>1803</v>
      </c>
      <c r="D6300" t="s">
        <v>1804</v>
      </c>
    </row>
    <row r="6301" spans="1:4" x14ac:dyDescent="0.2">
      <c r="A6301" t="s">
        <v>7895</v>
      </c>
      <c r="B6301" s="2">
        <v>43029</v>
      </c>
      <c r="C6301" t="s">
        <v>1816</v>
      </c>
      <c r="D6301" t="s">
        <v>1829</v>
      </c>
    </row>
    <row r="6302" spans="1:4" x14ac:dyDescent="0.2">
      <c r="A6302" t="s">
        <v>1431</v>
      </c>
      <c r="B6302" s="2">
        <v>43180</v>
      </c>
      <c r="C6302" t="s">
        <v>1836</v>
      </c>
      <c r="D6302" t="s">
        <v>1031</v>
      </c>
    </row>
    <row r="6303" spans="1:4" x14ac:dyDescent="0.2">
      <c r="A6303" t="s">
        <v>7896</v>
      </c>
      <c r="B6303" s="2">
        <v>43167</v>
      </c>
      <c r="C6303" t="s">
        <v>1915</v>
      </c>
      <c r="D6303" t="s">
        <v>1807</v>
      </c>
    </row>
    <row r="6304" spans="1:4" x14ac:dyDescent="0.2">
      <c r="A6304" t="s">
        <v>7897</v>
      </c>
      <c r="B6304" s="2">
        <v>43158</v>
      </c>
      <c r="C6304" t="s">
        <v>2108</v>
      </c>
      <c r="D6304" t="s">
        <v>1813</v>
      </c>
    </row>
    <row r="6305" spans="1:4" x14ac:dyDescent="0.2">
      <c r="A6305" t="s">
        <v>7898</v>
      </c>
      <c r="B6305" s="2">
        <v>43128</v>
      </c>
      <c r="C6305" t="s">
        <v>1803</v>
      </c>
      <c r="D6305" t="s">
        <v>1804</v>
      </c>
    </row>
    <row r="6306" spans="1:4" x14ac:dyDescent="0.2">
      <c r="A6306" t="s">
        <v>7899</v>
      </c>
      <c r="B6306" s="2">
        <v>43073</v>
      </c>
      <c r="C6306" t="s">
        <v>3515</v>
      </c>
      <c r="D6306" t="s">
        <v>1804</v>
      </c>
    </row>
    <row r="6307" spans="1:4" x14ac:dyDescent="0.2">
      <c r="A6307" t="s">
        <v>7900</v>
      </c>
      <c r="B6307" s="2">
        <v>43210</v>
      </c>
      <c r="C6307" t="s">
        <v>1863</v>
      </c>
      <c r="D6307" t="s">
        <v>1804</v>
      </c>
    </row>
    <row r="6308" spans="1:4" x14ac:dyDescent="0.2">
      <c r="A6308" t="s">
        <v>7901</v>
      </c>
      <c r="B6308" s="2">
        <v>43168</v>
      </c>
      <c r="C6308" t="s">
        <v>1836</v>
      </c>
      <c r="D6308" t="s">
        <v>1031</v>
      </c>
    </row>
    <row r="6309" spans="1:4" x14ac:dyDescent="0.2">
      <c r="A6309" t="s">
        <v>7902</v>
      </c>
      <c r="B6309" s="2">
        <v>43204</v>
      </c>
      <c r="C6309" t="s">
        <v>1827</v>
      </c>
      <c r="D6309" t="s">
        <v>1807</v>
      </c>
    </row>
    <row r="6310" spans="1:4" x14ac:dyDescent="0.2">
      <c r="A6310" t="s">
        <v>7903</v>
      </c>
      <c r="B6310" s="2">
        <v>42971</v>
      </c>
      <c r="C6310" t="s">
        <v>2096</v>
      </c>
      <c r="D6310" t="s">
        <v>1807</v>
      </c>
    </row>
    <row r="6311" spans="1:4" x14ac:dyDescent="0.2">
      <c r="A6311" t="s">
        <v>7904</v>
      </c>
      <c r="B6311" s="2">
        <v>43233</v>
      </c>
      <c r="C6311" t="s">
        <v>1863</v>
      </c>
      <c r="D6311" t="s">
        <v>1804</v>
      </c>
    </row>
    <row r="6312" spans="1:4" x14ac:dyDescent="0.2">
      <c r="A6312" t="s">
        <v>7905</v>
      </c>
      <c r="B6312" s="2">
        <v>43139</v>
      </c>
      <c r="C6312" t="s">
        <v>1930</v>
      </c>
      <c r="D6312" t="s">
        <v>1807</v>
      </c>
    </row>
    <row r="6313" spans="1:4" x14ac:dyDescent="0.2">
      <c r="A6313" t="s">
        <v>7906</v>
      </c>
      <c r="B6313" s="2">
        <v>43181</v>
      </c>
      <c r="C6313" t="s">
        <v>1930</v>
      </c>
      <c r="D6313" t="s">
        <v>1807</v>
      </c>
    </row>
    <row r="6314" spans="1:4" x14ac:dyDescent="0.2">
      <c r="A6314" t="s">
        <v>7907</v>
      </c>
      <c r="B6314" s="2">
        <v>43183</v>
      </c>
      <c r="C6314" t="s">
        <v>3561</v>
      </c>
      <c r="D6314" t="s">
        <v>1810</v>
      </c>
    </row>
    <row r="6315" spans="1:4" x14ac:dyDescent="0.2">
      <c r="A6315" t="s">
        <v>7908</v>
      </c>
      <c r="B6315" s="2">
        <v>43144</v>
      </c>
      <c r="C6315" t="s">
        <v>1885</v>
      </c>
      <c r="D6315" t="s">
        <v>1810</v>
      </c>
    </row>
    <row r="6316" spans="1:4" x14ac:dyDescent="0.2">
      <c r="A6316" t="s">
        <v>7909</v>
      </c>
      <c r="B6316" s="2">
        <v>43055</v>
      </c>
      <c r="C6316" t="s">
        <v>1867</v>
      </c>
      <c r="D6316" t="s">
        <v>1810</v>
      </c>
    </row>
    <row r="6317" spans="1:4" x14ac:dyDescent="0.2">
      <c r="A6317" t="s">
        <v>7910</v>
      </c>
      <c r="B6317" s="2">
        <v>43171</v>
      </c>
      <c r="C6317" t="s">
        <v>1885</v>
      </c>
      <c r="D6317" t="s">
        <v>1807</v>
      </c>
    </row>
    <row r="6318" spans="1:4" x14ac:dyDescent="0.2">
      <c r="A6318" t="s">
        <v>7911</v>
      </c>
      <c r="B6318" s="2">
        <v>42993</v>
      </c>
      <c r="C6318" t="s">
        <v>1816</v>
      </c>
      <c r="D6318" t="s">
        <v>1810</v>
      </c>
    </row>
    <row r="6319" spans="1:4" x14ac:dyDescent="0.2">
      <c r="A6319" t="s">
        <v>7912</v>
      </c>
      <c r="B6319" s="2">
        <v>43123</v>
      </c>
      <c r="C6319" t="s">
        <v>1825</v>
      </c>
      <c r="D6319" t="s">
        <v>1810</v>
      </c>
    </row>
    <row r="6320" spans="1:4" x14ac:dyDescent="0.2">
      <c r="A6320" t="s">
        <v>7913</v>
      </c>
      <c r="B6320" s="2">
        <v>43237</v>
      </c>
      <c r="C6320" t="s">
        <v>1902</v>
      </c>
      <c r="D6320" t="s">
        <v>1810</v>
      </c>
    </row>
    <row r="6321" spans="1:4" x14ac:dyDescent="0.2">
      <c r="A6321" t="s">
        <v>7914</v>
      </c>
      <c r="B6321" s="2">
        <v>43046</v>
      </c>
      <c r="C6321" t="s">
        <v>1907</v>
      </c>
      <c r="D6321" t="s">
        <v>1807</v>
      </c>
    </row>
    <row r="6322" spans="1:4" x14ac:dyDescent="0.2">
      <c r="A6322" t="s">
        <v>7915</v>
      </c>
      <c r="B6322" s="2">
        <v>43207</v>
      </c>
      <c r="C6322" t="s">
        <v>1863</v>
      </c>
      <c r="D6322" t="s">
        <v>1804</v>
      </c>
    </row>
    <row r="6323" spans="1:4" x14ac:dyDescent="0.2">
      <c r="A6323" t="s">
        <v>1433</v>
      </c>
      <c r="B6323" s="2">
        <v>43206</v>
      </c>
      <c r="C6323" t="s">
        <v>1816</v>
      </c>
      <c r="D6323" t="s">
        <v>1807</v>
      </c>
    </row>
    <row r="6324" spans="1:4" x14ac:dyDescent="0.2">
      <c r="A6324" t="s">
        <v>7916</v>
      </c>
      <c r="B6324" s="2">
        <v>43090</v>
      </c>
      <c r="C6324" t="s">
        <v>1803</v>
      </c>
      <c r="D6324" t="s">
        <v>1804</v>
      </c>
    </row>
    <row r="6325" spans="1:4" x14ac:dyDescent="0.2">
      <c r="A6325" t="s">
        <v>7917</v>
      </c>
      <c r="B6325" s="2">
        <v>43102</v>
      </c>
      <c r="C6325" t="s">
        <v>1987</v>
      </c>
      <c r="D6325" t="s">
        <v>1807</v>
      </c>
    </row>
    <row r="6326" spans="1:4" x14ac:dyDescent="0.2">
      <c r="A6326" t="s">
        <v>7918</v>
      </c>
      <c r="B6326" s="2">
        <v>43248</v>
      </c>
      <c r="C6326" t="s">
        <v>1827</v>
      </c>
      <c r="D6326" t="s">
        <v>1807</v>
      </c>
    </row>
    <row r="6327" spans="1:4" x14ac:dyDescent="0.2">
      <c r="A6327" t="s">
        <v>7919</v>
      </c>
      <c r="B6327" s="2">
        <v>43244</v>
      </c>
      <c r="C6327" t="s">
        <v>1863</v>
      </c>
      <c r="D6327" t="s">
        <v>1804</v>
      </c>
    </row>
    <row r="6328" spans="1:4" x14ac:dyDescent="0.2">
      <c r="A6328" t="s">
        <v>7920</v>
      </c>
      <c r="B6328" s="2">
        <v>43160</v>
      </c>
      <c r="C6328" t="s">
        <v>1825</v>
      </c>
      <c r="D6328" t="s">
        <v>1810</v>
      </c>
    </row>
    <row r="6329" spans="1:4" x14ac:dyDescent="0.2">
      <c r="A6329" t="s">
        <v>7921</v>
      </c>
      <c r="B6329" s="2">
        <v>43246</v>
      </c>
      <c r="C6329" t="s">
        <v>1816</v>
      </c>
      <c r="D6329" t="s">
        <v>1810</v>
      </c>
    </row>
    <row r="6330" spans="1:4" x14ac:dyDescent="0.2">
      <c r="A6330" t="s">
        <v>7922</v>
      </c>
      <c r="B6330" s="2">
        <v>43228</v>
      </c>
      <c r="C6330" t="s">
        <v>1909</v>
      </c>
      <c r="D6330" t="s">
        <v>1810</v>
      </c>
    </row>
    <row r="6331" spans="1:4" x14ac:dyDescent="0.2">
      <c r="A6331" t="s">
        <v>1435</v>
      </c>
      <c r="B6331" s="2">
        <v>43196</v>
      </c>
      <c r="C6331" t="s">
        <v>1816</v>
      </c>
      <c r="D6331" t="s">
        <v>1840</v>
      </c>
    </row>
    <row r="6332" spans="1:4" x14ac:dyDescent="0.2">
      <c r="A6332" t="s">
        <v>7923</v>
      </c>
      <c r="B6332" s="2">
        <v>43222</v>
      </c>
      <c r="C6332" t="s">
        <v>2070</v>
      </c>
      <c r="D6332" t="s">
        <v>1813</v>
      </c>
    </row>
    <row r="6333" spans="1:4" x14ac:dyDescent="0.2">
      <c r="A6333" t="s">
        <v>7924</v>
      </c>
      <c r="B6333" s="2">
        <v>43132</v>
      </c>
      <c r="C6333" t="s">
        <v>1836</v>
      </c>
      <c r="D6333" t="s">
        <v>1031</v>
      </c>
    </row>
    <row r="6334" spans="1:4" x14ac:dyDescent="0.2">
      <c r="A6334" t="s">
        <v>7925</v>
      </c>
      <c r="B6334" s="2">
        <v>43011</v>
      </c>
      <c r="C6334" t="s">
        <v>2242</v>
      </c>
      <c r="D6334" t="s">
        <v>1810</v>
      </c>
    </row>
    <row r="6335" spans="1:4" x14ac:dyDescent="0.2">
      <c r="A6335" t="s">
        <v>1437</v>
      </c>
      <c r="B6335" s="2">
        <v>43130</v>
      </c>
      <c r="C6335" t="s">
        <v>1905</v>
      </c>
      <c r="D6335" t="s">
        <v>1810</v>
      </c>
    </row>
    <row r="6336" spans="1:4" x14ac:dyDescent="0.2">
      <c r="A6336" t="s">
        <v>1439</v>
      </c>
      <c r="B6336" s="2">
        <v>43181</v>
      </c>
      <c r="C6336" t="s">
        <v>1816</v>
      </c>
      <c r="D6336" t="s">
        <v>1810</v>
      </c>
    </row>
    <row r="6337" spans="1:4" x14ac:dyDescent="0.2">
      <c r="A6337" t="s">
        <v>7926</v>
      </c>
      <c r="B6337" s="2">
        <v>42975</v>
      </c>
      <c r="C6337" t="s">
        <v>1836</v>
      </c>
      <c r="D6337" t="s">
        <v>1810</v>
      </c>
    </row>
    <row r="6338" spans="1:4" x14ac:dyDescent="0.2">
      <c r="A6338" t="s">
        <v>7927</v>
      </c>
      <c r="B6338" s="2">
        <v>43045</v>
      </c>
      <c r="C6338" t="s">
        <v>3515</v>
      </c>
      <c r="D6338" t="s">
        <v>1804</v>
      </c>
    </row>
    <row r="6339" spans="1:4" x14ac:dyDescent="0.2">
      <c r="A6339" t="s">
        <v>7928</v>
      </c>
      <c r="B6339" s="2">
        <v>43242</v>
      </c>
      <c r="C6339" t="s">
        <v>1809</v>
      </c>
      <c r="D6339" t="s">
        <v>1031</v>
      </c>
    </row>
    <row r="6340" spans="1:4" x14ac:dyDescent="0.2">
      <c r="A6340" t="s">
        <v>7929</v>
      </c>
      <c r="B6340" s="2">
        <v>43030</v>
      </c>
      <c r="C6340" t="s">
        <v>1806</v>
      </c>
      <c r="D6340" t="s">
        <v>1807</v>
      </c>
    </row>
    <row r="6341" spans="1:4" x14ac:dyDescent="0.2">
      <c r="A6341" t="s">
        <v>7930</v>
      </c>
      <c r="B6341" s="2">
        <v>43187</v>
      </c>
      <c r="C6341" t="s">
        <v>1905</v>
      </c>
      <c r="D6341" t="s">
        <v>1810</v>
      </c>
    </row>
    <row r="6342" spans="1:4" x14ac:dyDescent="0.2">
      <c r="A6342" t="s">
        <v>1441</v>
      </c>
      <c r="B6342" s="2">
        <v>43175</v>
      </c>
      <c r="C6342" t="s">
        <v>1836</v>
      </c>
      <c r="D6342" t="s">
        <v>1807</v>
      </c>
    </row>
    <row r="6343" spans="1:4" x14ac:dyDescent="0.2">
      <c r="A6343" t="s">
        <v>7931</v>
      </c>
      <c r="B6343" s="2">
        <v>43116</v>
      </c>
      <c r="C6343" t="s">
        <v>1831</v>
      </c>
      <c r="D6343" t="s">
        <v>160</v>
      </c>
    </row>
    <row r="6344" spans="1:4" x14ac:dyDescent="0.2">
      <c r="A6344" t="s">
        <v>7932</v>
      </c>
      <c r="B6344" s="2">
        <v>43131</v>
      </c>
      <c r="C6344" t="s">
        <v>1803</v>
      </c>
      <c r="D6344" t="s">
        <v>1804</v>
      </c>
    </row>
    <row r="6345" spans="1:4" x14ac:dyDescent="0.2">
      <c r="A6345" t="s">
        <v>7933</v>
      </c>
      <c r="B6345" s="2">
        <v>43037</v>
      </c>
      <c r="C6345" t="s">
        <v>1803</v>
      </c>
      <c r="D6345" t="s">
        <v>1804</v>
      </c>
    </row>
    <row r="6346" spans="1:4" x14ac:dyDescent="0.2">
      <c r="A6346" t="s">
        <v>7934</v>
      </c>
      <c r="B6346" s="2">
        <v>43215</v>
      </c>
      <c r="C6346" t="s">
        <v>1816</v>
      </c>
      <c r="D6346" t="s">
        <v>1813</v>
      </c>
    </row>
    <row r="6347" spans="1:4" x14ac:dyDescent="0.2">
      <c r="A6347" t="s">
        <v>7935</v>
      </c>
      <c r="B6347" s="2">
        <v>43123</v>
      </c>
      <c r="C6347" t="s">
        <v>7936</v>
      </c>
      <c r="D6347" t="s">
        <v>1810</v>
      </c>
    </row>
    <row r="6348" spans="1:4" x14ac:dyDescent="0.2">
      <c r="A6348" t="s">
        <v>7937</v>
      </c>
      <c r="B6348" s="2">
        <v>43187</v>
      </c>
      <c r="C6348" t="s">
        <v>2901</v>
      </c>
      <c r="D6348" t="s">
        <v>1810</v>
      </c>
    </row>
    <row r="6349" spans="1:4" x14ac:dyDescent="0.2">
      <c r="A6349" t="s">
        <v>7938</v>
      </c>
      <c r="B6349" s="2">
        <v>43088</v>
      </c>
      <c r="C6349" t="s">
        <v>1803</v>
      </c>
      <c r="D6349" t="s">
        <v>1804</v>
      </c>
    </row>
    <row r="6350" spans="1:4" x14ac:dyDescent="0.2">
      <c r="A6350" t="s">
        <v>7939</v>
      </c>
      <c r="B6350" s="2">
        <v>42926</v>
      </c>
      <c r="C6350" t="s">
        <v>1880</v>
      </c>
      <c r="D6350" t="s">
        <v>1810</v>
      </c>
    </row>
    <row r="6351" spans="1:4" x14ac:dyDescent="0.2">
      <c r="A6351" t="s">
        <v>7940</v>
      </c>
      <c r="B6351" s="2">
        <v>43248</v>
      </c>
      <c r="C6351" t="s">
        <v>1905</v>
      </c>
      <c r="D6351" t="s">
        <v>1840</v>
      </c>
    </row>
    <row r="6352" spans="1:4" x14ac:dyDescent="0.2">
      <c r="A6352" t="s">
        <v>7941</v>
      </c>
      <c r="B6352" s="2">
        <v>43248</v>
      </c>
      <c r="C6352" t="s">
        <v>2831</v>
      </c>
      <c r="D6352" t="s">
        <v>1031</v>
      </c>
    </row>
    <row r="6353" spans="1:4" x14ac:dyDescent="0.2">
      <c r="A6353" t="s">
        <v>7942</v>
      </c>
      <c r="B6353" s="2">
        <v>42934</v>
      </c>
      <c r="C6353" t="s">
        <v>3019</v>
      </c>
      <c r="D6353" t="s">
        <v>1807</v>
      </c>
    </row>
    <row r="6354" spans="1:4" x14ac:dyDescent="0.2">
      <c r="A6354" t="s">
        <v>7943</v>
      </c>
      <c r="B6354" s="2">
        <v>43241</v>
      </c>
      <c r="C6354" t="s">
        <v>1827</v>
      </c>
      <c r="D6354" t="s">
        <v>1807</v>
      </c>
    </row>
    <row r="6355" spans="1:4" x14ac:dyDescent="0.2">
      <c r="A6355" t="s">
        <v>7944</v>
      </c>
      <c r="B6355" s="2">
        <v>42954</v>
      </c>
      <c r="C6355" t="s">
        <v>1836</v>
      </c>
      <c r="D6355" t="s">
        <v>1031</v>
      </c>
    </row>
    <row r="6356" spans="1:4" x14ac:dyDescent="0.2">
      <c r="A6356" t="s">
        <v>7945</v>
      </c>
      <c r="B6356" s="2">
        <v>43150</v>
      </c>
      <c r="C6356" t="s">
        <v>1987</v>
      </c>
      <c r="D6356" t="s">
        <v>1807</v>
      </c>
    </row>
    <row r="6357" spans="1:4" x14ac:dyDescent="0.2">
      <c r="A6357" t="s">
        <v>7946</v>
      </c>
      <c r="B6357" s="2">
        <v>42955</v>
      </c>
      <c r="C6357" t="s">
        <v>3369</v>
      </c>
      <c r="D6357" t="s">
        <v>1810</v>
      </c>
    </row>
    <row r="6358" spans="1:4" x14ac:dyDescent="0.2">
      <c r="A6358" t="s">
        <v>7947</v>
      </c>
      <c r="B6358" s="2">
        <v>43198</v>
      </c>
      <c r="C6358" t="s">
        <v>7948</v>
      </c>
      <c r="D6358" t="s">
        <v>1804</v>
      </c>
    </row>
    <row r="6359" spans="1:4" x14ac:dyDescent="0.2">
      <c r="A6359" t="s">
        <v>1443</v>
      </c>
      <c r="B6359" s="2">
        <v>43167</v>
      </c>
      <c r="C6359" t="s">
        <v>2187</v>
      </c>
      <c r="D6359" t="s">
        <v>1810</v>
      </c>
    </row>
    <row r="6360" spans="1:4" x14ac:dyDescent="0.2">
      <c r="A6360" t="s">
        <v>1445</v>
      </c>
      <c r="B6360" s="2">
        <v>43165</v>
      </c>
      <c r="C6360" t="s">
        <v>2462</v>
      </c>
      <c r="D6360" t="s">
        <v>1031</v>
      </c>
    </row>
    <row r="6361" spans="1:4" x14ac:dyDescent="0.2">
      <c r="A6361" t="s">
        <v>7949</v>
      </c>
      <c r="B6361" s="2">
        <v>43140</v>
      </c>
      <c r="C6361" t="s">
        <v>1816</v>
      </c>
      <c r="D6361" t="s">
        <v>1810</v>
      </c>
    </row>
    <row r="6362" spans="1:4" x14ac:dyDescent="0.2">
      <c r="A6362" t="s">
        <v>7950</v>
      </c>
      <c r="B6362" s="2">
        <v>43249</v>
      </c>
      <c r="C6362" t="s">
        <v>1832</v>
      </c>
      <c r="D6362" t="s">
        <v>1810</v>
      </c>
    </row>
    <row r="6363" spans="1:4" x14ac:dyDescent="0.2">
      <c r="A6363" t="s">
        <v>7951</v>
      </c>
      <c r="B6363" s="2">
        <v>43171</v>
      </c>
      <c r="C6363" t="s">
        <v>1930</v>
      </c>
      <c r="D6363" t="s">
        <v>1807</v>
      </c>
    </row>
    <row r="6364" spans="1:4" x14ac:dyDescent="0.2">
      <c r="A6364" t="s">
        <v>7952</v>
      </c>
      <c r="B6364" s="2">
        <v>43150</v>
      </c>
      <c r="C6364" t="s">
        <v>1836</v>
      </c>
      <c r="D6364" t="s">
        <v>1031</v>
      </c>
    </row>
    <row r="6365" spans="1:4" x14ac:dyDescent="0.2">
      <c r="A6365" t="s">
        <v>1447</v>
      </c>
      <c r="B6365" s="2">
        <v>43232</v>
      </c>
      <c r="C6365" t="s">
        <v>1832</v>
      </c>
      <c r="D6365" t="s">
        <v>1807</v>
      </c>
    </row>
    <row r="6366" spans="1:4" x14ac:dyDescent="0.2">
      <c r="A6366" t="s">
        <v>7953</v>
      </c>
      <c r="B6366" s="2">
        <v>43167</v>
      </c>
      <c r="C6366" t="s">
        <v>1816</v>
      </c>
      <c r="D6366" t="s">
        <v>1804</v>
      </c>
    </row>
    <row r="6367" spans="1:4" x14ac:dyDescent="0.2">
      <c r="A6367" t="s">
        <v>7954</v>
      </c>
      <c r="B6367" s="2">
        <v>43222</v>
      </c>
      <c r="C6367" t="s">
        <v>1909</v>
      </c>
      <c r="D6367" t="s">
        <v>1796</v>
      </c>
    </row>
    <row r="6368" spans="1:4" x14ac:dyDescent="0.2">
      <c r="A6368" t="s">
        <v>7955</v>
      </c>
      <c r="B6368" s="2">
        <v>42969</v>
      </c>
      <c r="C6368" t="s">
        <v>1964</v>
      </c>
      <c r="D6368" t="s">
        <v>1813</v>
      </c>
    </row>
    <row r="6369" spans="1:4" x14ac:dyDescent="0.2">
      <c r="A6369" t="s">
        <v>7956</v>
      </c>
      <c r="B6369" s="2">
        <v>42937</v>
      </c>
      <c r="C6369" t="s">
        <v>1843</v>
      </c>
      <c r="D6369" t="s">
        <v>1807</v>
      </c>
    </row>
    <row r="6370" spans="1:4" x14ac:dyDescent="0.2">
      <c r="A6370" t="s">
        <v>7957</v>
      </c>
      <c r="B6370" s="2">
        <v>43007</v>
      </c>
      <c r="C6370" t="s">
        <v>1894</v>
      </c>
      <c r="D6370" t="s">
        <v>1804</v>
      </c>
    </row>
    <row r="6371" spans="1:4" x14ac:dyDescent="0.2">
      <c r="A6371" t="s">
        <v>7958</v>
      </c>
      <c r="B6371" s="2">
        <v>43123</v>
      </c>
      <c r="C6371" t="s">
        <v>1836</v>
      </c>
      <c r="D6371" t="s">
        <v>1810</v>
      </c>
    </row>
    <row r="6372" spans="1:4" x14ac:dyDescent="0.2">
      <c r="A6372" t="s">
        <v>7959</v>
      </c>
      <c r="B6372" s="2">
        <v>43239</v>
      </c>
      <c r="C6372" t="s">
        <v>1863</v>
      </c>
      <c r="D6372" t="s">
        <v>1804</v>
      </c>
    </row>
    <row r="6373" spans="1:4" x14ac:dyDescent="0.2">
      <c r="A6373" t="s">
        <v>7960</v>
      </c>
      <c r="B6373" s="2">
        <v>43090</v>
      </c>
      <c r="C6373" t="s">
        <v>1803</v>
      </c>
      <c r="D6373" t="s">
        <v>1804</v>
      </c>
    </row>
    <row r="6374" spans="1:4" x14ac:dyDescent="0.2">
      <c r="A6374" t="s">
        <v>7961</v>
      </c>
      <c r="B6374" s="2">
        <v>43222</v>
      </c>
      <c r="C6374" t="s">
        <v>1909</v>
      </c>
      <c r="D6374" t="s">
        <v>1813</v>
      </c>
    </row>
    <row r="6375" spans="1:4" x14ac:dyDescent="0.2">
      <c r="A6375" t="s">
        <v>1449</v>
      </c>
      <c r="B6375" s="2">
        <v>43173</v>
      </c>
      <c r="C6375" t="s">
        <v>1930</v>
      </c>
      <c r="D6375" t="s">
        <v>1807</v>
      </c>
    </row>
    <row r="6376" spans="1:4" x14ac:dyDescent="0.2">
      <c r="A6376" t="s">
        <v>7962</v>
      </c>
      <c r="B6376" s="2">
        <v>43163</v>
      </c>
      <c r="C6376" t="s">
        <v>1816</v>
      </c>
      <c r="D6376" t="s">
        <v>1810</v>
      </c>
    </row>
    <row r="6377" spans="1:4" x14ac:dyDescent="0.2">
      <c r="A6377" t="s">
        <v>7963</v>
      </c>
      <c r="B6377" s="2">
        <v>43006</v>
      </c>
      <c r="C6377" t="s">
        <v>1894</v>
      </c>
      <c r="D6377" t="s">
        <v>1804</v>
      </c>
    </row>
    <row r="6378" spans="1:4" x14ac:dyDescent="0.2">
      <c r="A6378" t="s">
        <v>7964</v>
      </c>
      <c r="B6378" s="2">
        <v>43250</v>
      </c>
      <c r="C6378" t="s">
        <v>2283</v>
      </c>
      <c r="D6378" t="s">
        <v>1810</v>
      </c>
    </row>
    <row r="6379" spans="1:4" x14ac:dyDescent="0.2">
      <c r="A6379" t="s">
        <v>7965</v>
      </c>
      <c r="B6379" s="2">
        <v>43175</v>
      </c>
      <c r="C6379" t="s">
        <v>1816</v>
      </c>
      <c r="D6379" t="s">
        <v>1807</v>
      </c>
    </row>
    <row r="6380" spans="1:4" x14ac:dyDescent="0.2">
      <c r="A6380" t="s">
        <v>7966</v>
      </c>
      <c r="B6380" s="2">
        <v>43171</v>
      </c>
      <c r="C6380" t="s">
        <v>1816</v>
      </c>
      <c r="D6380" t="s">
        <v>1810</v>
      </c>
    </row>
    <row r="6381" spans="1:4" x14ac:dyDescent="0.2">
      <c r="A6381" t="s">
        <v>7967</v>
      </c>
      <c r="B6381" s="2">
        <v>43097</v>
      </c>
      <c r="C6381" t="s">
        <v>1803</v>
      </c>
      <c r="D6381" t="s">
        <v>1804</v>
      </c>
    </row>
    <row r="6382" spans="1:4" x14ac:dyDescent="0.2">
      <c r="A6382" t="s">
        <v>7968</v>
      </c>
      <c r="B6382" s="2">
        <v>42962</v>
      </c>
      <c r="C6382" t="s">
        <v>1836</v>
      </c>
      <c r="D6382" t="s">
        <v>1031</v>
      </c>
    </row>
    <row r="6383" spans="1:4" x14ac:dyDescent="0.2">
      <c r="A6383" t="s">
        <v>7969</v>
      </c>
      <c r="B6383" s="2">
        <v>43179</v>
      </c>
      <c r="C6383" t="s">
        <v>1921</v>
      </c>
      <c r="D6383" t="s">
        <v>1840</v>
      </c>
    </row>
    <row r="6384" spans="1:4" x14ac:dyDescent="0.2">
      <c r="A6384" t="s">
        <v>7970</v>
      </c>
      <c r="B6384" s="2">
        <v>43227</v>
      </c>
      <c r="C6384" t="s">
        <v>1827</v>
      </c>
      <c r="D6384" t="s">
        <v>1807</v>
      </c>
    </row>
    <row r="6385" spans="1:4" x14ac:dyDescent="0.2">
      <c r="A6385" t="s">
        <v>7971</v>
      </c>
      <c r="B6385" s="2">
        <v>43245</v>
      </c>
      <c r="C6385" t="s">
        <v>1827</v>
      </c>
      <c r="D6385" t="s">
        <v>1810</v>
      </c>
    </row>
    <row r="6386" spans="1:4" x14ac:dyDescent="0.2">
      <c r="A6386" t="s">
        <v>7972</v>
      </c>
      <c r="B6386" s="2">
        <v>43229</v>
      </c>
      <c r="C6386" t="s">
        <v>1816</v>
      </c>
      <c r="D6386" t="s">
        <v>1810</v>
      </c>
    </row>
    <row r="6387" spans="1:4" x14ac:dyDescent="0.2">
      <c r="A6387" t="s">
        <v>7973</v>
      </c>
      <c r="B6387" s="2">
        <v>43166</v>
      </c>
      <c r="C6387" t="s">
        <v>7974</v>
      </c>
      <c r="D6387" t="s">
        <v>1031</v>
      </c>
    </row>
    <row r="6388" spans="1:4" x14ac:dyDescent="0.2">
      <c r="A6388" t="s">
        <v>7975</v>
      </c>
      <c r="B6388" s="2">
        <v>43215</v>
      </c>
      <c r="C6388" t="s">
        <v>1836</v>
      </c>
      <c r="D6388" t="s">
        <v>1810</v>
      </c>
    </row>
    <row r="6389" spans="1:4" x14ac:dyDescent="0.2">
      <c r="A6389" t="s">
        <v>7976</v>
      </c>
      <c r="B6389" s="2">
        <v>43193</v>
      </c>
      <c r="C6389" t="s">
        <v>1863</v>
      </c>
      <c r="D6389" t="s">
        <v>1804</v>
      </c>
    </row>
    <row r="6390" spans="1:4" x14ac:dyDescent="0.2">
      <c r="A6390" t="s">
        <v>7977</v>
      </c>
      <c r="B6390" s="2">
        <v>43133</v>
      </c>
      <c r="C6390" t="s">
        <v>1825</v>
      </c>
      <c r="D6390" t="s">
        <v>1810</v>
      </c>
    </row>
    <row r="6391" spans="1:4" x14ac:dyDescent="0.2">
      <c r="A6391" t="s">
        <v>7978</v>
      </c>
      <c r="B6391" s="2">
        <v>42973</v>
      </c>
      <c r="C6391" t="s">
        <v>3419</v>
      </c>
      <c r="D6391" t="s">
        <v>1031</v>
      </c>
    </row>
    <row r="6392" spans="1:4" x14ac:dyDescent="0.2">
      <c r="A6392" t="s">
        <v>7979</v>
      </c>
      <c r="B6392" s="2">
        <v>43067</v>
      </c>
      <c r="C6392" t="s">
        <v>1905</v>
      </c>
      <c r="D6392" t="s">
        <v>1804</v>
      </c>
    </row>
    <row r="6393" spans="1:4" x14ac:dyDescent="0.2">
      <c r="A6393" t="s">
        <v>7980</v>
      </c>
      <c r="B6393" s="2">
        <v>42963</v>
      </c>
      <c r="C6393" t="s">
        <v>1892</v>
      </c>
      <c r="D6393" t="s">
        <v>1810</v>
      </c>
    </row>
    <row r="6394" spans="1:4" x14ac:dyDescent="0.2">
      <c r="A6394" t="s">
        <v>7981</v>
      </c>
      <c r="B6394" s="2">
        <v>43188</v>
      </c>
      <c r="C6394" t="s">
        <v>1863</v>
      </c>
      <c r="D6394" t="s">
        <v>1804</v>
      </c>
    </row>
    <row r="6395" spans="1:4" x14ac:dyDescent="0.2">
      <c r="A6395" t="s">
        <v>7982</v>
      </c>
      <c r="B6395" s="2">
        <v>42970</v>
      </c>
      <c r="C6395" t="s">
        <v>2143</v>
      </c>
      <c r="D6395" t="s">
        <v>1840</v>
      </c>
    </row>
    <row r="6396" spans="1:4" x14ac:dyDescent="0.2">
      <c r="A6396" t="s">
        <v>7983</v>
      </c>
      <c r="B6396" s="2">
        <v>43193</v>
      </c>
      <c r="C6396" t="s">
        <v>3090</v>
      </c>
      <c r="D6396" t="s">
        <v>1840</v>
      </c>
    </row>
    <row r="6397" spans="1:4" x14ac:dyDescent="0.2">
      <c r="A6397" t="s">
        <v>7984</v>
      </c>
      <c r="B6397" s="2">
        <v>42957</v>
      </c>
      <c r="C6397" t="s">
        <v>1867</v>
      </c>
      <c r="D6397" t="s">
        <v>1031</v>
      </c>
    </row>
    <row r="6398" spans="1:4" x14ac:dyDescent="0.2">
      <c r="A6398" t="s">
        <v>7985</v>
      </c>
      <c r="B6398" s="2">
        <v>43208</v>
      </c>
      <c r="C6398" t="s">
        <v>1867</v>
      </c>
      <c r="D6398" t="s">
        <v>1810</v>
      </c>
    </row>
    <row r="6399" spans="1:4" x14ac:dyDescent="0.2">
      <c r="A6399" t="s">
        <v>7986</v>
      </c>
      <c r="B6399" s="2">
        <v>43214</v>
      </c>
      <c r="C6399" t="s">
        <v>1816</v>
      </c>
      <c r="D6399" t="s">
        <v>1807</v>
      </c>
    </row>
    <row r="6400" spans="1:4" x14ac:dyDescent="0.2">
      <c r="A6400" t="s">
        <v>7987</v>
      </c>
      <c r="B6400" s="2">
        <v>43244</v>
      </c>
      <c r="C6400" t="s">
        <v>1859</v>
      </c>
      <c r="D6400" t="s">
        <v>1810</v>
      </c>
    </row>
    <row r="6401" spans="1:4" x14ac:dyDescent="0.2">
      <c r="A6401" t="s">
        <v>7988</v>
      </c>
      <c r="B6401" s="2">
        <v>43232</v>
      </c>
      <c r="C6401" t="s">
        <v>1863</v>
      </c>
      <c r="D6401" t="s">
        <v>1804</v>
      </c>
    </row>
    <row r="6402" spans="1:4" x14ac:dyDescent="0.2">
      <c r="A6402" t="s">
        <v>7989</v>
      </c>
      <c r="B6402" s="2">
        <v>43219</v>
      </c>
      <c r="C6402" t="s">
        <v>2445</v>
      </c>
      <c r="D6402" t="s">
        <v>1813</v>
      </c>
    </row>
    <row r="6403" spans="1:4" x14ac:dyDescent="0.2">
      <c r="A6403" t="s">
        <v>7990</v>
      </c>
      <c r="B6403" s="2">
        <v>43200</v>
      </c>
      <c r="C6403" t="s">
        <v>1863</v>
      </c>
      <c r="D6403" t="s">
        <v>1804</v>
      </c>
    </row>
    <row r="6404" spans="1:4" x14ac:dyDescent="0.2">
      <c r="A6404" t="s">
        <v>7991</v>
      </c>
      <c r="B6404" s="2">
        <v>42950</v>
      </c>
      <c r="C6404" t="s">
        <v>1843</v>
      </c>
      <c r="D6404" t="s">
        <v>1807</v>
      </c>
    </row>
    <row r="6405" spans="1:4" x14ac:dyDescent="0.2">
      <c r="A6405" t="s">
        <v>7992</v>
      </c>
      <c r="B6405" s="2">
        <v>43167</v>
      </c>
      <c r="C6405" t="s">
        <v>1831</v>
      </c>
      <c r="D6405" t="s">
        <v>160</v>
      </c>
    </row>
    <row r="6406" spans="1:4" x14ac:dyDescent="0.2">
      <c r="A6406" t="s">
        <v>7993</v>
      </c>
      <c r="B6406" s="2">
        <v>42954</v>
      </c>
      <c r="C6406" t="s">
        <v>1836</v>
      </c>
      <c r="D6406" t="s">
        <v>1031</v>
      </c>
    </row>
    <row r="6407" spans="1:4" x14ac:dyDescent="0.2">
      <c r="A6407" t="s">
        <v>7994</v>
      </c>
      <c r="B6407" s="2">
        <v>43241</v>
      </c>
      <c r="C6407" t="s">
        <v>4199</v>
      </c>
      <c r="D6407" t="s">
        <v>1796</v>
      </c>
    </row>
    <row r="6408" spans="1:4" x14ac:dyDescent="0.2">
      <c r="A6408" t="s">
        <v>7995</v>
      </c>
      <c r="B6408" s="2">
        <v>42966</v>
      </c>
      <c r="C6408" t="s">
        <v>1894</v>
      </c>
      <c r="D6408" t="s">
        <v>1804</v>
      </c>
    </row>
    <row r="6409" spans="1:4" x14ac:dyDescent="0.2">
      <c r="A6409" t="s">
        <v>7996</v>
      </c>
      <c r="B6409" s="2">
        <v>43144</v>
      </c>
      <c r="C6409" t="s">
        <v>1825</v>
      </c>
      <c r="D6409" t="s">
        <v>1810</v>
      </c>
    </row>
    <row r="6410" spans="1:4" x14ac:dyDescent="0.2">
      <c r="A6410" t="s">
        <v>7997</v>
      </c>
      <c r="B6410" s="2">
        <v>43032</v>
      </c>
      <c r="C6410" t="s">
        <v>4373</v>
      </c>
      <c r="D6410" t="s">
        <v>1804</v>
      </c>
    </row>
    <row r="6411" spans="1:4" x14ac:dyDescent="0.2">
      <c r="A6411" t="s">
        <v>7998</v>
      </c>
      <c r="B6411" s="2">
        <v>43238</v>
      </c>
      <c r="C6411" t="s">
        <v>1905</v>
      </c>
      <c r="D6411" t="s">
        <v>1840</v>
      </c>
    </row>
    <row r="6412" spans="1:4" x14ac:dyDescent="0.2">
      <c r="A6412" t="s">
        <v>7999</v>
      </c>
      <c r="B6412" s="2">
        <v>43147</v>
      </c>
      <c r="C6412" t="s">
        <v>1867</v>
      </c>
      <c r="D6412" t="s">
        <v>160</v>
      </c>
    </row>
    <row r="6413" spans="1:4" x14ac:dyDescent="0.2">
      <c r="A6413" t="s">
        <v>8000</v>
      </c>
      <c r="B6413" s="2">
        <v>43048</v>
      </c>
      <c r="C6413" t="s">
        <v>2998</v>
      </c>
      <c r="D6413" t="s">
        <v>1810</v>
      </c>
    </row>
    <row r="6414" spans="1:4" x14ac:dyDescent="0.2">
      <c r="A6414" t="s">
        <v>8001</v>
      </c>
      <c r="B6414" s="2">
        <v>43122</v>
      </c>
      <c r="C6414" t="s">
        <v>1816</v>
      </c>
      <c r="D6414" t="s">
        <v>1810</v>
      </c>
    </row>
    <row r="6415" spans="1:4" x14ac:dyDescent="0.2">
      <c r="A6415" t="s">
        <v>8002</v>
      </c>
      <c r="B6415" s="2">
        <v>43187</v>
      </c>
      <c r="C6415" t="s">
        <v>2402</v>
      </c>
      <c r="D6415" t="s">
        <v>1849</v>
      </c>
    </row>
    <row r="6416" spans="1:4" x14ac:dyDescent="0.2">
      <c r="A6416" t="s">
        <v>8003</v>
      </c>
      <c r="B6416" s="2">
        <v>43228</v>
      </c>
      <c r="C6416" t="s">
        <v>1836</v>
      </c>
      <c r="D6416" t="s">
        <v>1810</v>
      </c>
    </row>
    <row r="6417" spans="1:4" x14ac:dyDescent="0.2">
      <c r="A6417" t="s">
        <v>8004</v>
      </c>
      <c r="B6417" s="2">
        <v>43241</v>
      </c>
      <c r="C6417" t="s">
        <v>1816</v>
      </c>
      <c r="D6417" t="s">
        <v>1810</v>
      </c>
    </row>
    <row r="6418" spans="1:4" x14ac:dyDescent="0.2">
      <c r="A6418" t="s">
        <v>8005</v>
      </c>
      <c r="B6418" s="2">
        <v>43025</v>
      </c>
      <c r="C6418" t="s">
        <v>1836</v>
      </c>
      <c r="D6418" t="s">
        <v>1031</v>
      </c>
    </row>
    <row r="6419" spans="1:4" x14ac:dyDescent="0.2">
      <c r="A6419" t="s">
        <v>8006</v>
      </c>
      <c r="B6419" s="2">
        <v>43214</v>
      </c>
      <c r="C6419" t="s">
        <v>1827</v>
      </c>
      <c r="D6419" t="s">
        <v>1807</v>
      </c>
    </row>
    <row r="6420" spans="1:4" x14ac:dyDescent="0.2">
      <c r="A6420" t="s">
        <v>8007</v>
      </c>
      <c r="B6420" s="2">
        <v>43073</v>
      </c>
      <c r="C6420" t="s">
        <v>1880</v>
      </c>
      <c r="D6420" t="s">
        <v>1813</v>
      </c>
    </row>
    <row r="6421" spans="1:4" x14ac:dyDescent="0.2">
      <c r="A6421" t="s">
        <v>8008</v>
      </c>
      <c r="B6421" s="2">
        <v>43103</v>
      </c>
      <c r="C6421" t="s">
        <v>1803</v>
      </c>
      <c r="D6421" t="s">
        <v>1804</v>
      </c>
    </row>
    <row r="6422" spans="1:4" x14ac:dyDescent="0.2">
      <c r="A6422" t="s">
        <v>8009</v>
      </c>
      <c r="B6422" s="2">
        <v>43179</v>
      </c>
      <c r="C6422" t="s">
        <v>1831</v>
      </c>
      <c r="D6422" t="s">
        <v>160</v>
      </c>
    </row>
    <row r="6423" spans="1:4" x14ac:dyDescent="0.2">
      <c r="A6423" t="s">
        <v>8010</v>
      </c>
      <c r="B6423" s="2">
        <v>43038</v>
      </c>
      <c r="C6423" t="s">
        <v>1885</v>
      </c>
      <c r="D6423" t="s">
        <v>1810</v>
      </c>
    </row>
    <row r="6424" spans="1:4" x14ac:dyDescent="0.2">
      <c r="A6424" t="s">
        <v>8011</v>
      </c>
      <c r="B6424" s="2">
        <v>43202</v>
      </c>
      <c r="C6424" t="s">
        <v>1905</v>
      </c>
      <c r="D6424" t="s">
        <v>1840</v>
      </c>
    </row>
    <row r="6425" spans="1:4" x14ac:dyDescent="0.2">
      <c r="A6425" t="s">
        <v>8012</v>
      </c>
      <c r="B6425" s="2">
        <v>43107</v>
      </c>
      <c r="C6425" t="s">
        <v>1816</v>
      </c>
      <c r="D6425" t="s">
        <v>1810</v>
      </c>
    </row>
    <row r="6426" spans="1:4" x14ac:dyDescent="0.2">
      <c r="A6426" t="s">
        <v>8013</v>
      </c>
      <c r="B6426" s="2">
        <v>43217</v>
      </c>
      <c r="C6426" t="s">
        <v>1831</v>
      </c>
      <c r="D6426" t="s">
        <v>1031</v>
      </c>
    </row>
    <row r="6427" spans="1:4" x14ac:dyDescent="0.2">
      <c r="A6427" t="s">
        <v>8014</v>
      </c>
      <c r="B6427" s="2">
        <v>43031</v>
      </c>
      <c r="C6427" t="s">
        <v>2152</v>
      </c>
      <c r="D6427" t="s">
        <v>1829</v>
      </c>
    </row>
    <row r="6428" spans="1:4" x14ac:dyDescent="0.2">
      <c r="A6428" t="s">
        <v>8015</v>
      </c>
      <c r="B6428" s="2">
        <v>43055</v>
      </c>
      <c r="C6428" t="s">
        <v>3515</v>
      </c>
      <c r="D6428" t="s">
        <v>1804</v>
      </c>
    </row>
    <row r="6429" spans="1:4" x14ac:dyDescent="0.2">
      <c r="A6429" t="s">
        <v>8016</v>
      </c>
      <c r="B6429" s="2">
        <v>43240</v>
      </c>
      <c r="C6429" t="s">
        <v>2831</v>
      </c>
      <c r="D6429" t="s">
        <v>1807</v>
      </c>
    </row>
    <row r="6430" spans="1:4" x14ac:dyDescent="0.2">
      <c r="A6430" t="s">
        <v>1451</v>
      </c>
      <c r="B6430" s="2">
        <v>43159</v>
      </c>
      <c r="C6430" t="s">
        <v>1907</v>
      </c>
      <c r="D6430" t="s">
        <v>1807</v>
      </c>
    </row>
    <row r="6431" spans="1:4" x14ac:dyDescent="0.2">
      <c r="A6431" t="s">
        <v>8017</v>
      </c>
      <c r="B6431" s="2">
        <v>43009</v>
      </c>
      <c r="C6431" t="s">
        <v>2216</v>
      </c>
      <c r="D6431" t="s">
        <v>1807</v>
      </c>
    </row>
    <row r="6432" spans="1:4" x14ac:dyDescent="0.2">
      <c r="A6432" t="s">
        <v>8018</v>
      </c>
      <c r="B6432" s="2">
        <v>43178</v>
      </c>
      <c r="C6432" t="s">
        <v>1930</v>
      </c>
      <c r="D6432" t="s">
        <v>1807</v>
      </c>
    </row>
    <row r="6433" spans="1:4" x14ac:dyDescent="0.2">
      <c r="A6433" t="s">
        <v>8019</v>
      </c>
      <c r="B6433" s="2">
        <v>43060</v>
      </c>
      <c r="C6433" t="s">
        <v>2650</v>
      </c>
      <c r="D6433" t="s">
        <v>1810</v>
      </c>
    </row>
    <row r="6434" spans="1:4" x14ac:dyDescent="0.2">
      <c r="A6434" t="s">
        <v>8020</v>
      </c>
      <c r="B6434" s="2">
        <v>43242</v>
      </c>
      <c r="C6434" t="s">
        <v>1836</v>
      </c>
      <c r="D6434" t="s">
        <v>1810</v>
      </c>
    </row>
    <row r="6435" spans="1:4" x14ac:dyDescent="0.2">
      <c r="A6435" t="s">
        <v>8021</v>
      </c>
      <c r="B6435" s="2">
        <v>43138</v>
      </c>
      <c r="C6435" t="s">
        <v>1816</v>
      </c>
      <c r="D6435" t="s">
        <v>1031</v>
      </c>
    </row>
    <row r="6436" spans="1:4" x14ac:dyDescent="0.2">
      <c r="A6436" t="s">
        <v>8022</v>
      </c>
      <c r="B6436" s="2">
        <v>43147</v>
      </c>
      <c r="C6436" t="s">
        <v>1816</v>
      </c>
      <c r="D6436" t="s">
        <v>1840</v>
      </c>
    </row>
    <row r="6437" spans="1:4" x14ac:dyDescent="0.2">
      <c r="A6437" t="s">
        <v>8023</v>
      </c>
      <c r="B6437" s="2">
        <v>43143</v>
      </c>
      <c r="C6437" t="s">
        <v>1803</v>
      </c>
      <c r="D6437" t="s">
        <v>1804</v>
      </c>
    </row>
    <row r="6438" spans="1:4" x14ac:dyDescent="0.2">
      <c r="A6438" t="s">
        <v>8024</v>
      </c>
      <c r="B6438" s="2">
        <v>43207</v>
      </c>
      <c r="C6438" t="s">
        <v>1825</v>
      </c>
      <c r="D6438" t="s">
        <v>1810</v>
      </c>
    </row>
    <row r="6439" spans="1:4" x14ac:dyDescent="0.2">
      <c r="A6439" t="s">
        <v>8025</v>
      </c>
      <c r="B6439" s="2">
        <v>43192</v>
      </c>
      <c r="C6439" t="s">
        <v>1863</v>
      </c>
      <c r="D6439" t="s">
        <v>1804</v>
      </c>
    </row>
    <row r="6440" spans="1:4" x14ac:dyDescent="0.2">
      <c r="A6440" t="s">
        <v>8026</v>
      </c>
      <c r="B6440" s="2">
        <v>43178</v>
      </c>
      <c r="C6440" t="s">
        <v>2154</v>
      </c>
      <c r="D6440" t="s">
        <v>1810</v>
      </c>
    </row>
    <row r="6441" spans="1:4" x14ac:dyDescent="0.2">
      <c r="A6441" t="s">
        <v>1453</v>
      </c>
      <c r="B6441" s="2">
        <v>43161</v>
      </c>
      <c r="C6441" t="s">
        <v>1836</v>
      </c>
      <c r="D6441" t="s">
        <v>1810</v>
      </c>
    </row>
    <row r="6442" spans="1:4" x14ac:dyDescent="0.2">
      <c r="A6442" t="s">
        <v>8027</v>
      </c>
      <c r="B6442" s="2">
        <v>43238</v>
      </c>
      <c r="C6442" t="s">
        <v>1816</v>
      </c>
      <c r="D6442" t="s">
        <v>1829</v>
      </c>
    </row>
    <row r="6443" spans="1:4" x14ac:dyDescent="0.2">
      <c r="A6443" t="s">
        <v>8028</v>
      </c>
      <c r="B6443" s="2">
        <v>43173</v>
      </c>
      <c r="C6443" t="s">
        <v>1928</v>
      </c>
      <c r="D6443" t="s">
        <v>1810</v>
      </c>
    </row>
    <row r="6444" spans="1:4" x14ac:dyDescent="0.2">
      <c r="A6444" t="s">
        <v>8029</v>
      </c>
      <c r="B6444" s="2">
        <v>42995</v>
      </c>
      <c r="C6444" t="s">
        <v>1894</v>
      </c>
      <c r="D6444" t="s">
        <v>1804</v>
      </c>
    </row>
    <row r="6445" spans="1:4" x14ac:dyDescent="0.2">
      <c r="A6445" t="s">
        <v>8030</v>
      </c>
      <c r="B6445" s="2">
        <v>42956</v>
      </c>
      <c r="C6445" t="s">
        <v>1806</v>
      </c>
      <c r="D6445" t="s">
        <v>1840</v>
      </c>
    </row>
    <row r="6446" spans="1:4" x14ac:dyDescent="0.2">
      <c r="A6446" t="s">
        <v>8031</v>
      </c>
      <c r="B6446" s="2">
        <v>43124</v>
      </c>
      <c r="C6446" t="s">
        <v>1993</v>
      </c>
      <c r="D6446" t="s">
        <v>1840</v>
      </c>
    </row>
    <row r="6447" spans="1:4" x14ac:dyDescent="0.2">
      <c r="A6447" t="s">
        <v>8032</v>
      </c>
      <c r="B6447" s="2">
        <v>42930</v>
      </c>
      <c r="C6447" t="s">
        <v>1974</v>
      </c>
      <c r="D6447" t="s">
        <v>1807</v>
      </c>
    </row>
    <row r="6448" spans="1:4" x14ac:dyDescent="0.2">
      <c r="A6448" t="s">
        <v>8033</v>
      </c>
      <c r="B6448" s="2">
        <v>43111</v>
      </c>
      <c r="C6448" t="s">
        <v>1803</v>
      </c>
      <c r="D6448" t="s">
        <v>1804</v>
      </c>
    </row>
    <row r="6449" spans="1:4" x14ac:dyDescent="0.2">
      <c r="A6449" t="s">
        <v>8034</v>
      </c>
      <c r="B6449" s="2">
        <v>43053</v>
      </c>
      <c r="C6449" t="s">
        <v>1836</v>
      </c>
      <c r="D6449" t="s">
        <v>1031</v>
      </c>
    </row>
    <row r="6450" spans="1:4" x14ac:dyDescent="0.2">
      <c r="A6450" t="s">
        <v>8035</v>
      </c>
      <c r="B6450" s="2">
        <v>43062</v>
      </c>
      <c r="C6450" t="s">
        <v>1939</v>
      </c>
      <c r="D6450" t="s">
        <v>1807</v>
      </c>
    </row>
    <row r="6451" spans="1:4" x14ac:dyDescent="0.2">
      <c r="A6451" t="s">
        <v>8036</v>
      </c>
      <c r="B6451" s="2">
        <v>43237</v>
      </c>
      <c r="C6451" t="s">
        <v>1816</v>
      </c>
      <c r="D6451" t="s">
        <v>1804</v>
      </c>
    </row>
    <row r="6452" spans="1:4" x14ac:dyDescent="0.2">
      <c r="A6452" t="s">
        <v>8037</v>
      </c>
      <c r="B6452" s="2">
        <v>43104</v>
      </c>
      <c r="C6452" t="s">
        <v>2324</v>
      </c>
      <c r="D6452" t="s">
        <v>1031</v>
      </c>
    </row>
    <row r="6453" spans="1:4" x14ac:dyDescent="0.2">
      <c r="A6453" t="s">
        <v>8038</v>
      </c>
      <c r="B6453" s="2">
        <v>43102</v>
      </c>
      <c r="C6453" t="s">
        <v>1803</v>
      </c>
      <c r="D6453" t="s">
        <v>1804</v>
      </c>
    </row>
    <row r="6454" spans="1:4" x14ac:dyDescent="0.2">
      <c r="A6454" t="s">
        <v>8039</v>
      </c>
      <c r="B6454" s="2">
        <v>43037</v>
      </c>
      <c r="C6454" t="s">
        <v>1921</v>
      </c>
      <c r="D6454" t="s">
        <v>1810</v>
      </c>
    </row>
    <row r="6455" spans="1:4" x14ac:dyDescent="0.2">
      <c r="A6455" t="s">
        <v>1455</v>
      </c>
      <c r="B6455" s="2">
        <v>43111</v>
      </c>
      <c r="C6455" t="s">
        <v>1816</v>
      </c>
      <c r="D6455" t="s">
        <v>1810</v>
      </c>
    </row>
    <row r="6456" spans="1:4" x14ac:dyDescent="0.2">
      <c r="A6456" t="s">
        <v>8040</v>
      </c>
      <c r="B6456" s="2">
        <v>43152</v>
      </c>
      <c r="C6456" t="s">
        <v>1816</v>
      </c>
      <c r="D6456" t="s">
        <v>1807</v>
      </c>
    </row>
    <row r="6457" spans="1:4" x14ac:dyDescent="0.2">
      <c r="A6457" t="s">
        <v>8041</v>
      </c>
      <c r="B6457" s="2">
        <v>43206</v>
      </c>
      <c r="C6457" t="s">
        <v>1832</v>
      </c>
      <c r="D6457" t="s">
        <v>1807</v>
      </c>
    </row>
    <row r="6458" spans="1:4" x14ac:dyDescent="0.2">
      <c r="A6458" t="s">
        <v>1457</v>
      </c>
      <c r="B6458" s="2">
        <v>43221</v>
      </c>
      <c r="C6458" t="s">
        <v>1827</v>
      </c>
      <c r="D6458" t="s">
        <v>1807</v>
      </c>
    </row>
    <row r="6459" spans="1:4" x14ac:dyDescent="0.2">
      <c r="A6459" t="s">
        <v>8042</v>
      </c>
      <c r="B6459" s="2">
        <v>43245</v>
      </c>
      <c r="C6459" t="s">
        <v>2831</v>
      </c>
      <c r="D6459" t="s">
        <v>1807</v>
      </c>
    </row>
    <row r="6460" spans="1:4" x14ac:dyDescent="0.2">
      <c r="A6460" t="s">
        <v>1459</v>
      </c>
      <c r="B6460" s="2">
        <v>43076</v>
      </c>
      <c r="C6460" t="s">
        <v>1885</v>
      </c>
      <c r="D6460" t="s">
        <v>1807</v>
      </c>
    </row>
    <row r="6461" spans="1:4" x14ac:dyDescent="0.2">
      <c r="A6461" t="s">
        <v>1461</v>
      </c>
      <c r="B6461" s="2">
        <v>43200</v>
      </c>
      <c r="C6461" t="s">
        <v>4290</v>
      </c>
      <c r="D6461" t="s">
        <v>1807</v>
      </c>
    </row>
    <row r="6462" spans="1:4" x14ac:dyDescent="0.2">
      <c r="A6462" t="s">
        <v>8043</v>
      </c>
      <c r="B6462" s="2">
        <v>43212</v>
      </c>
      <c r="C6462" t="s">
        <v>2831</v>
      </c>
      <c r="D6462" t="s">
        <v>1807</v>
      </c>
    </row>
    <row r="6463" spans="1:4" x14ac:dyDescent="0.2">
      <c r="A6463" t="s">
        <v>8044</v>
      </c>
      <c r="B6463" s="2">
        <v>43024</v>
      </c>
      <c r="C6463" t="s">
        <v>2657</v>
      </c>
      <c r="D6463" t="s">
        <v>1031</v>
      </c>
    </row>
    <row r="6464" spans="1:4" x14ac:dyDescent="0.2">
      <c r="A6464" t="s">
        <v>8045</v>
      </c>
      <c r="B6464" s="2">
        <v>43201</v>
      </c>
      <c r="C6464" t="s">
        <v>1827</v>
      </c>
      <c r="D6464" t="s">
        <v>1807</v>
      </c>
    </row>
    <row r="6465" spans="1:4" x14ac:dyDescent="0.2">
      <c r="A6465" t="s">
        <v>8046</v>
      </c>
      <c r="B6465" s="2">
        <v>43185</v>
      </c>
      <c r="C6465" t="s">
        <v>1825</v>
      </c>
      <c r="D6465" t="s">
        <v>1810</v>
      </c>
    </row>
    <row r="6466" spans="1:4" x14ac:dyDescent="0.2">
      <c r="A6466" t="s">
        <v>8047</v>
      </c>
      <c r="B6466" s="2">
        <v>43243</v>
      </c>
      <c r="C6466" t="s">
        <v>1909</v>
      </c>
      <c r="D6466" t="s">
        <v>1804</v>
      </c>
    </row>
    <row r="6467" spans="1:4" x14ac:dyDescent="0.2">
      <c r="A6467" t="s">
        <v>8048</v>
      </c>
      <c r="B6467" s="2">
        <v>43210</v>
      </c>
      <c r="C6467" t="s">
        <v>1836</v>
      </c>
      <c r="D6467" t="s">
        <v>1031</v>
      </c>
    </row>
    <row r="6468" spans="1:4" x14ac:dyDescent="0.2">
      <c r="A6468" t="s">
        <v>8049</v>
      </c>
      <c r="B6468" s="2">
        <v>43244</v>
      </c>
      <c r="C6468" t="s">
        <v>1905</v>
      </c>
      <c r="D6468" t="s">
        <v>1810</v>
      </c>
    </row>
    <row r="6469" spans="1:4" x14ac:dyDescent="0.2">
      <c r="A6469" t="s">
        <v>8050</v>
      </c>
      <c r="B6469" s="2">
        <v>43228</v>
      </c>
      <c r="C6469" t="s">
        <v>1863</v>
      </c>
      <c r="D6469" t="s">
        <v>1804</v>
      </c>
    </row>
    <row r="6470" spans="1:4" x14ac:dyDescent="0.2">
      <c r="A6470" t="s">
        <v>8051</v>
      </c>
      <c r="B6470" s="2">
        <v>43030</v>
      </c>
      <c r="C6470" t="s">
        <v>1867</v>
      </c>
      <c r="D6470" t="s">
        <v>1807</v>
      </c>
    </row>
    <row r="6471" spans="1:4" x14ac:dyDescent="0.2">
      <c r="A6471" t="s">
        <v>8052</v>
      </c>
      <c r="B6471" s="2">
        <v>43206</v>
      </c>
      <c r="C6471" t="s">
        <v>1816</v>
      </c>
      <c r="D6471" t="s">
        <v>1810</v>
      </c>
    </row>
    <row r="6472" spans="1:4" x14ac:dyDescent="0.2">
      <c r="A6472" t="s">
        <v>8053</v>
      </c>
      <c r="B6472" s="2">
        <v>43156</v>
      </c>
      <c r="C6472" t="s">
        <v>1803</v>
      </c>
      <c r="D6472" t="s">
        <v>1804</v>
      </c>
    </row>
    <row r="6473" spans="1:4" x14ac:dyDescent="0.2">
      <c r="A6473" t="s">
        <v>8054</v>
      </c>
      <c r="B6473" s="2">
        <v>43235</v>
      </c>
      <c r="C6473" t="s">
        <v>1836</v>
      </c>
      <c r="D6473" t="s">
        <v>1031</v>
      </c>
    </row>
    <row r="6474" spans="1:4" x14ac:dyDescent="0.2">
      <c r="A6474" t="s">
        <v>8055</v>
      </c>
      <c r="B6474" s="2">
        <v>43126</v>
      </c>
      <c r="C6474" t="s">
        <v>1803</v>
      </c>
      <c r="D6474" t="s">
        <v>1804</v>
      </c>
    </row>
    <row r="6475" spans="1:4" x14ac:dyDescent="0.2">
      <c r="A6475" t="s">
        <v>8056</v>
      </c>
      <c r="B6475" s="2">
        <v>43177</v>
      </c>
      <c r="C6475" t="s">
        <v>2023</v>
      </c>
      <c r="D6475" t="s">
        <v>1804</v>
      </c>
    </row>
    <row r="6476" spans="1:4" x14ac:dyDescent="0.2">
      <c r="A6476" t="s">
        <v>8057</v>
      </c>
      <c r="B6476" s="2">
        <v>43165</v>
      </c>
      <c r="C6476" t="s">
        <v>8058</v>
      </c>
      <c r="D6476" t="s">
        <v>1031</v>
      </c>
    </row>
    <row r="6477" spans="1:4" x14ac:dyDescent="0.2">
      <c r="A6477" t="s">
        <v>8059</v>
      </c>
      <c r="B6477" s="2">
        <v>42986</v>
      </c>
      <c r="C6477" t="s">
        <v>2576</v>
      </c>
      <c r="D6477" t="s">
        <v>1031</v>
      </c>
    </row>
    <row r="6478" spans="1:4" x14ac:dyDescent="0.2">
      <c r="A6478" t="s">
        <v>8060</v>
      </c>
      <c r="B6478" s="2">
        <v>43119</v>
      </c>
      <c r="C6478" t="s">
        <v>8061</v>
      </c>
      <c r="D6478" t="s">
        <v>1810</v>
      </c>
    </row>
    <row r="6479" spans="1:4" x14ac:dyDescent="0.2">
      <c r="A6479" t="s">
        <v>8062</v>
      </c>
      <c r="B6479" s="2">
        <v>43024</v>
      </c>
      <c r="C6479" t="s">
        <v>2242</v>
      </c>
      <c r="D6479" t="s">
        <v>1840</v>
      </c>
    </row>
    <row r="6480" spans="1:4" x14ac:dyDescent="0.2">
      <c r="A6480" t="s">
        <v>8063</v>
      </c>
      <c r="B6480" s="2">
        <v>43038</v>
      </c>
      <c r="C6480" t="s">
        <v>8064</v>
      </c>
      <c r="D6480" t="s">
        <v>1807</v>
      </c>
    </row>
    <row r="6481" spans="1:4" x14ac:dyDescent="0.2">
      <c r="A6481" t="s">
        <v>8065</v>
      </c>
      <c r="B6481" s="2">
        <v>43205</v>
      </c>
      <c r="C6481" t="s">
        <v>2170</v>
      </c>
      <c r="D6481" t="s">
        <v>1804</v>
      </c>
    </row>
    <row r="6482" spans="1:4" x14ac:dyDescent="0.2">
      <c r="A6482" t="s">
        <v>8066</v>
      </c>
      <c r="B6482" s="2">
        <v>42965</v>
      </c>
      <c r="C6482" t="s">
        <v>1915</v>
      </c>
      <c r="D6482" t="s">
        <v>1810</v>
      </c>
    </row>
    <row r="6483" spans="1:4" x14ac:dyDescent="0.2">
      <c r="A6483" t="s">
        <v>8067</v>
      </c>
      <c r="B6483" s="2">
        <v>43154</v>
      </c>
      <c r="C6483" t="s">
        <v>1803</v>
      </c>
      <c r="D6483" t="s">
        <v>1804</v>
      </c>
    </row>
    <row r="6484" spans="1:4" x14ac:dyDescent="0.2">
      <c r="A6484" t="s">
        <v>8068</v>
      </c>
      <c r="B6484" s="2">
        <v>43025</v>
      </c>
      <c r="C6484" t="s">
        <v>1887</v>
      </c>
      <c r="D6484" t="s">
        <v>1813</v>
      </c>
    </row>
    <row r="6485" spans="1:4" x14ac:dyDescent="0.2">
      <c r="A6485" t="s">
        <v>8069</v>
      </c>
      <c r="B6485" s="2">
        <v>43230</v>
      </c>
      <c r="C6485" t="s">
        <v>1863</v>
      </c>
      <c r="D6485" t="s">
        <v>1804</v>
      </c>
    </row>
    <row r="6486" spans="1:4" x14ac:dyDescent="0.2">
      <c r="A6486" t="s">
        <v>8070</v>
      </c>
      <c r="B6486" s="2">
        <v>43126</v>
      </c>
      <c r="C6486" t="s">
        <v>1889</v>
      </c>
      <c r="D6486" t="s">
        <v>1840</v>
      </c>
    </row>
    <row r="6487" spans="1:4" x14ac:dyDescent="0.2">
      <c r="A6487" t="s">
        <v>8071</v>
      </c>
      <c r="B6487" s="2">
        <v>43084</v>
      </c>
      <c r="C6487" t="s">
        <v>1803</v>
      </c>
      <c r="D6487" t="s">
        <v>1031</v>
      </c>
    </row>
    <row r="6488" spans="1:4" x14ac:dyDescent="0.2">
      <c r="A6488" t="s">
        <v>8072</v>
      </c>
      <c r="B6488" s="2">
        <v>42928</v>
      </c>
      <c r="C6488" t="s">
        <v>1900</v>
      </c>
      <c r="D6488" t="s">
        <v>1807</v>
      </c>
    </row>
    <row r="6489" spans="1:4" x14ac:dyDescent="0.2">
      <c r="A6489" t="s">
        <v>8073</v>
      </c>
      <c r="B6489" s="2">
        <v>43090</v>
      </c>
      <c r="C6489" t="s">
        <v>1836</v>
      </c>
      <c r="D6489" t="s">
        <v>1031</v>
      </c>
    </row>
    <row r="6490" spans="1:4" x14ac:dyDescent="0.2">
      <c r="A6490" t="s">
        <v>1463</v>
      </c>
      <c r="B6490" s="2">
        <v>43214</v>
      </c>
      <c r="C6490" t="s">
        <v>1863</v>
      </c>
      <c r="D6490" t="s">
        <v>1804</v>
      </c>
    </row>
    <row r="6491" spans="1:4" x14ac:dyDescent="0.2">
      <c r="A6491" t="s">
        <v>8074</v>
      </c>
      <c r="B6491" s="2">
        <v>43239</v>
      </c>
      <c r="C6491" t="s">
        <v>2303</v>
      </c>
      <c r="D6491" t="s">
        <v>1840</v>
      </c>
    </row>
    <row r="6492" spans="1:4" x14ac:dyDescent="0.2">
      <c r="A6492" t="s">
        <v>8075</v>
      </c>
      <c r="B6492" s="2">
        <v>43222</v>
      </c>
      <c r="C6492" t="s">
        <v>1867</v>
      </c>
      <c r="D6492" t="s">
        <v>1829</v>
      </c>
    </row>
    <row r="6493" spans="1:4" x14ac:dyDescent="0.2">
      <c r="A6493" t="s">
        <v>8076</v>
      </c>
      <c r="B6493" s="2">
        <v>43225</v>
      </c>
      <c r="C6493" t="s">
        <v>1863</v>
      </c>
      <c r="D6493" t="s">
        <v>1804</v>
      </c>
    </row>
    <row r="6494" spans="1:4" x14ac:dyDescent="0.2">
      <c r="A6494" t="s">
        <v>1465</v>
      </c>
      <c r="B6494" s="2">
        <v>43187</v>
      </c>
      <c r="C6494" t="s">
        <v>8077</v>
      </c>
      <c r="D6494" t="s">
        <v>1031</v>
      </c>
    </row>
    <row r="6495" spans="1:4" x14ac:dyDescent="0.2">
      <c r="A6495" t="s">
        <v>8078</v>
      </c>
      <c r="B6495" s="2">
        <v>43179</v>
      </c>
      <c r="C6495" t="s">
        <v>1907</v>
      </c>
      <c r="D6495" t="s">
        <v>1810</v>
      </c>
    </row>
    <row r="6496" spans="1:4" x14ac:dyDescent="0.2">
      <c r="A6496" t="s">
        <v>8079</v>
      </c>
      <c r="B6496" s="2">
        <v>43208</v>
      </c>
      <c r="C6496" t="s">
        <v>4290</v>
      </c>
      <c r="D6496" t="s">
        <v>1807</v>
      </c>
    </row>
    <row r="6497" spans="1:4" x14ac:dyDescent="0.2">
      <c r="A6497" t="s">
        <v>8080</v>
      </c>
      <c r="B6497" s="2">
        <v>43168</v>
      </c>
      <c r="C6497" t="s">
        <v>1816</v>
      </c>
      <c r="D6497" t="s">
        <v>1840</v>
      </c>
    </row>
    <row r="6498" spans="1:4" x14ac:dyDescent="0.2">
      <c r="A6498" t="s">
        <v>8081</v>
      </c>
      <c r="B6498" s="2">
        <v>43175</v>
      </c>
      <c r="C6498" t="s">
        <v>2303</v>
      </c>
      <c r="D6498" t="s">
        <v>1031</v>
      </c>
    </row>
    <row r="6499" spans="1:4" x14ac:dyDescent="0.2">
      <c r="A6499" t="s">
        <v>8082</v>
      </c>
      <c r="B6499" s="2">
        <v>43133</v>
      </c>
      <c r="C6499" t="s">
        <v>1905</v>
      </c>
      <c r="D6499" t="s">
        <v>1810</v>
      </c>
    </row>
    <row r="6500" spans="1:4" x14ac:dyDescent="0.2">
      <c r="A6500" t="s">
        <v>8083</v>
      </c>
      <c r="B6500" s="2">
        <v>43193</v>
      </c>
      <c r="C6500" t="s">
        <v>2035</v>
      </c>
      <c r="D6500" t="s">
        <v>1804</v>
      </c>
    </row>
    <row r="6501" spans="1:4" x14ac:dyDescent="0.2">
      <c r="A6501" t="s">
        <v>8084</v>
      </c>
      <c r="B6501" s="2">
        <v>42976</v>
      </c>
      <c r="C6501" t="s">
        <v>1836</v>
      </c>
      <c r="D6501" t="s">
        <v>1031</v>
      </c>
    </row>
    <row r="6502" spans="1:4" x14ac:dyDescent="0.2">
      <c r="A6502" t="s">
        <v>8085</v>
      </c>
      <c r="B6502" s="2">
        <v>43208</v>
      </c>
      <c r="C6502" t="s">
        <v>2158</v>
      </c>
      <c r="D6502" t="s">
        <v>1813</v>
      </c>
    </row>
    <row r="6503" spans="1:4" x14ac:dyDescent="0.2">
      <c r="A6503" t="s">
        <v>1467</v>
      </c>
      <c r="B6503" s="2">
        <v>43130</v>
      </c>
      <c r="C6503" t="s">
        <v>1902</v>
      </c>
      <c r="D6503" t="s">
        <v>1910</v>
      </c>
    </row>
    <row r="6504" spans="1:4" x14ac:dyDescent="0.2">
      <c r="A6504" t="s">
        <v>8086</v>
      </c>
      <c r="B6504" s="2">
        <v>43029</v>
      </c>
      <c r="C6504" t="s">
        <v>1905</v>
      </c>
      <c r="D6504" t="s">
        <v>1810</v>
      </c>
    </row>
    <row r="6505" spans="1:4" x14ac:dyDescent="0.2">
      <c r="A6505" t="s">
        <v>8087</v>
      </c>
      <c r="B6505" s="2">
        <v>42920</v>
      </c>
      <c r="C6505" t="s">
        <v>1867</v>
      </c>
      <c r="D6505" t="s">
        <v>1910</v>
      </c>
    </row>
    <row r="6506" spans="1:4" x14ac:dyDescent="0.2">
      <c r="A6506" t="s">
        <v>8088</v>
      </c>
      <c r="B6506" s="2">
        <v>43028</v>
      </c>
      <c r="C6506" t="s">
        <v>3732</v>
      </c>
      <c r="D6506" t="s">
        <v>1849</v>
      </c>
    </row>
    <row r="6507" spans="1:4" x14ac:dyDescent="0.2">
      <c r="A6507" t="s">
        <v>8089</v>
      </c>
      <c r="B6507" s="2">
        <v>43178</v>
      </c>
      <c r="C6507" t="s">
        <v>1836</v>
      </c>
      <c r="D6507" t="s">
        <v>1031</v>
      </c>
    </row>
    <row r="6508" spans="1:4" x14ac:dyDescent="0.2">
      <c r="A6508" t="s">
        <v>8090</v>
      </c>
      <c r="B6508" s="2">
        <v>43248</v>
      </c>
      <c r="C6508" t="s">
        <v>1836</v>
      </c>
      <c r="D6508" t="s">
        <v>1807</v>
      </c>
    </row>
    <row r="6509" spans="1:4" x14ac:dyDescent="0.2">
      <c r="A6509" t="s">
        <v>8091</v>
      </c>
      <c r="B6509" s="2">
        <v>43229</v>
      </c>
      <c r="C6509" t="s">
        <v>1828</v>
      </c>
      <c r="D6509" t="s">
        <v>1840</v>
      </c>
    </row>
    <row r="6510" spans="1:4" x14ac:dyDescent="0.2">
      <c r="A6510" t="s">
        <v>8092</v>
      </c>
      <c r="B6510" s="2">
        <v>42965</v>
      </c>
      <c r="C6510" t="s">
        <v>1825</v>
      </c>
      <c r="D6510" t="s">
        <v>1810</v>
      </c>
    </row>
    <row r="6511" spans="1:4" x14ac:dyDescent="0.2">
      <c r="A6511" t="s">
        <v>8093</v>
      </c>
      <c r="B6511" s="2">
        <v>42952</v>
      </c>
      <c r="C6511" t="s">
        <v>1867</v>
      </c>
      <c r="D6511" t="s">
        <v>1810</v>
      </c>
    </row>
    <row r="6512" spans="1:4" x14ac:dyDescent="0.2">
      <c r="A6512" t="s">
        <v>1469</v>
      </c>
      <c r="B6512" s="2">
        <v>43203</v>
      </c>
      <c r="C6512" t="s">
        <v>1863</v>
      </c>
      <c r="D6512" t="s">
        <v>1810</v>
      </c>
    </row>
    <row r="6513" spans="1:4" x14ac:dyDescent="0.2">
      <c r="A6513" t="s">
        <v>8094</v>
      </c>
      <c r="B6513" s="2">
        <v>43212</v>
      </c>
      <c r="C6513" t="s">
        <v>1809</v>
      </c>
      <c r="D6513" t="s">
        <v>1849</v>
      </c>
    </row>
    <row r="6514" spans="1:4" x14ac:dyDescent="0.2">
      <c r="A6514" t="s">
        <v>8095</v>
      </c>
      <c r="B6514" s="2">
        <v>42987</v>
      </c>
      <c r="C6514" t="s">
        <v>1894</v>
      </c>
      <c r="D6514" t="s">
        <v>1804</v>
      </c>
    </row>
    <row r="6515" spans="1:4" x14ac:dyDescent="0.2">
      <c r="A6515" t="s">
        <v>8096</v>
      </c>
      <c r="B6515" s="2">
        <v>43229</v>
      </c>
      <c r="C6515" t="s">
        <v>1863</v>
      </c>
      <c r="D6515" t="s">
        <v>1804</v>
      </c>
    </row>
    <row r="6516" spans="1:4" x14ac:dyDescent="0.2">
      <c r="A6516" t="s">
        <v>8097</v>
      </c>
      <c r="B6516" s="2">
        <v>43198</v>
      </c>
      <c r="C6516" t="s">
        <v>1816</v>
      </c>
      <c r="D6516" t="s">
        <v>1807</v>
      </c>
    </row>
    <row r="6517" spans="1:4" x14ac:dyDescent="0.2">
      <c r="A6517" t="s">
        <v>8098</v>
      </c>
      <c r="B6517" s="2">
        <v>43176</v>
      </c>
      <c r="C6517" t="s">
        <v>4061</v>
      </c>
      <c r="D6517" t="s">
        <v>1807</v>
      </c>
    </row>
    <row r="6518" spans="1:4" x14ac:dyDescent="0.2">
      <c r="A6518" t="s">
        <v>8099</v>
      </c>
      <c r="B6518" s="2">
        <v>43066</v>
      </c>
      <c r="C6518" t="s">
        <v>1930</v>
      </c>
      <c r="D6518" t="s">
        <v>1807</v>
      </c>
    </row>
    <row r="6519" spans="1:4" x14ac:dyDescent="0.2">
      <c r="A6519" t="s">
        <v>8100</v>
      </c>
      <c r="B6519" s="2">
        <v>43150</v>
      </c>
      <c r="C6519" t="s">
        <v>1905</v>
      </c>
      <c r="D6519" t="s">
        <v>1810</v>
      </c>
    </row>
    <row r="6520" spans="1:4" x14ac:dyDescent="0.2">
      <c r="A6520" t="s">
        <v>8101</v>
      </c>
      <c r="B6520" s="2">
        <v>43233</v>
      </c>
      <c r="C6520" t="s">
        <v>3800</v>
      </c>
      <c r="D6520" t="s">
        <v>1829</v>
      </c>
    </row>
    <row r="6521" spans="1:4" x14ac:dyDescent="0.2">
      <c r="A6521" t="s">
        <v>8102</v>
      </c>
      <c r="B6521" s="2">
        <v>43160</v>
      </c>
      <c r="C6521" t="s">
        <v>1816</v>
      </c>
      <c r="D6521" t="s">
        <v>1810</v>
      </c>
    </row>
    <row r="6522" spans="1:4" x14ac:dyDescent="0.2">
      <c r="A6522" t="s">
        <v>8103</v>
      </c>
      <c r="B6522" s="2">
        <v>43173</v>
      </c>
      <c r="C6522" t="s">
        <v>1907</v>
      </c>
      <c r="D6522" t="s">
        <v>1807</v>
      </c>
    </row>
    <row r="6523" spans="1:4" x14ac:dyDescent="0.2">
      <c r="A6523" t="s">
        <v>8104</v>
      </c>
      <c r="B6523" s="2">
        <v>43130</v>
      </c>
      <c r="C6523" t="s">
        <v>1907</v>
      </c>
      <c r="D6523" t="s">
        <v>1810</v>
      </c>
    </row>
    <row r="6524" spans="1:4" x14ac:dyDescent="0.2">
      <c r="A6524" t="s">
        <v>8105</v>
      </c>
      <c r="B6524" s="2">
        <v>42999</v>
      </c>
      <c r="C6524" t="s">
        <v>1859</v>
      </c>
      <c r="D6524" t="s">
        <v>1810</v>
      </c>
    </row>
    <row r="6525" spans="1:4" x14ac:dyDescent="0.2">
      <c r="A6525" t="s">
        <v>8106</v>
      </c>
      <c r="B6525" s="2">
        <v>43108</v>
      </c>
      <c r="C6525" t="s">
        <v>1836</v>
      </c>
      <c r="D6525" t="s">
        <v>1031</v>
      </c>
    </row>
    <row r="6526" spans="1:4" x14ac:dyDescent="0.2">
      <c r="A6526" t="s">
        <v>8107</v>
      </c>
      <c r="B6526" s="2">
        <v>43053</v>
      </c>
      <c r="C6526" t="s">
        <v>1836</v>
      </c>
      <c r="D6526" t="s">
        <v>1031</v>
      </c>
    </row>
    <row r="6527" spans="1:4" x14ac:dyDescent="0.2">
      <c r="A6527" t="s">
        <v>8108</v>
      </c>
      <c r="B6527" s="2">
        <v>43229</v>
      </c>
      <c r="C6527" t="s">
        <v>1857</v>
      </c>
      <c r="D6527" t="s">
        <v>1804</v>
      </c>
    </row>
    <row r="6528" spans="1:4" x14ac:dyDescent="0.2">
      <c r="A6528" t="s">
        <v>8109</v>
      </c>
      <c r="B6528" s="2">
        <v>43213</v>
      </c>
      <c r="C6528" t="s">
        <v>1832</v>
      </c>
      <c r="D6528" t="s">
        <v>1807</v>
      </c>
    </row>
    <row r="6529" spans="1:4" x14ac:dyDescent="0.2">
      <c r="A6529" t="s">
        <v>8110</v>
      </c>
      <c r="B6529" s="2">
        <v>43228</v>
      </c>
      <c r="C6529" t="s">
        <v>1832</v>
      </c>
      <c r="D6529" t="s">
        <v>1810</v>
      </c>
    </row>
    <row r="6530" spans="1:4" x14ac:dyDescent="0.2">
      <c r="A6530" t="s">
        <v>8111</v>
      </c>
      <c r="B6530" s="2">
        <v>42940</v>
      </c>
      <c r="C6530" t="s">
        <v>1836</v>
      </c>
      <c r="D6530" t="s">
        <v>1031</v>
      </c>
    </row>
    <row r="6531" spans="1:4" x14ac:dyDescent="0.2">
      <c r="A6531" t="s">
        <v>8112</v>
      </c>
      <c r="B6531" s="2">
        <v>43180</v>
      </c>
      <c r="C6531" t="s">
        <v>2058</v>
      </c>
      <c r="D6531" t="s">
        <v>1810</v>
      </c>
    </row>
    <row r="6532" spans="1:4" x14ac:dyDescent="0.2">
      <c r="A6532" t="s">
        <v>1471</v>
      </c>
      <c r="B6532" s="2">
        <v>43218</v>
      </c>
      <c r="C6532" t="s">
        <v>1816</v>
      </c>
      <c r="D6532" t="s">
        <v>1810</v>
      </c>
    </row>
    <row r="6533" spans="1:4" x14ac:dyDescent="0.2">
      <c r="A6533" t="s">
        <v>1474</v>
      </c>
      <c r="B6533" s="2">
        <v>43147</v>
      </c>
      <c r="C6533" t="s">
        <v>1836</v>
      </c>
      <c r="D6533" t="s">
        <v>1031</v>
      </c>
    </row>
    <row r="6534" spans="1:4" x14ac:dyDescent="0.2">
      <c r="A6534" t="s">
        <v>8113</v>
      </c>
      <c r="B6534" s="2">
        <v>43136</v>
      </c>
      <c r="C6534" t="s">
        <v>1836</v>
      </c>
      <c r="D6534" t="s">
        <v>1807</v>
      </c>
    </row>
    <row r="6535" spans="1:4" x14ac:dyDescent="0.2">
      <c r="A6535" t="s">
        <v>1476</v>
      </c>
      <c r="B6535" s="2">
        <v>43129</v>
      </c>
      <c r="C6535" t="s">
        <v>3409</v>
      </c>
      <c r="D6535" t="s">
        <v>1829</v>
      </c>
    </row>
    <row r="6536" spans="1:4" x14ac:dyDescent="0.2">
      <c r="A6536" t="s">
        <v>8114</v>
      </c>
      <c r="B6536" s="2">
        <v>43143</v>
      </c>
      <c r="C6536" t="s">
        <v>2349</v>
      </c>
      <c r="D6536" t="s">
        <v>1796</v>
      </c>
    </row>
    <row r="6537" spans="1:4" x14ac:dyDescent="0.2">
      <c r="A6537" t="s">
        <v>8115</v>
      </c>
      <c r="B6537" s="2">
        <v>43200</v>
      </c>
      <c r="C6537" t="s">
        <v>1905</v>
      </c>
      <c r="D6537" t="s">
        <v>1810</v>
      </c>
    </row>
    <row r="6538" spans="1:4" x14ac:dyDescent="0.2">
      <c r="A6538" t="s">
        <v>8116</v>
      </c>
      <c r="B6538" s="2">
        <v>43082</v>
      </c>
      <c r="C6538" t="s">
        <v>3457</v>
      </c>
      <c r="D6538" t="s">
        <v>1829</v>
      </c>
    </row>
    <row r="6539" spans="1:4" x14ac:dyDescent="0.2">
      <c r="A6539" t="s">
        <v>8117</v>
      </c>
      <c r="B6539" s="2">
        <v>43243</v>
      </c>
      <c r="C6539" t="s">
        <v>1863</v>
      </c>
      <c r="D6539" t="s">
        <v>1804</v>
      </c>
    </row>
    <row r="6540" spans="1:4" x14ac:dyDescent="0.2">
      <c r="A6540" t="s">
        <v>8118</v>
      </c>
      <c r="B6540" s="2">
        <v>43183</v>
      </c>
      <c r="C6540" t="s">
        <v>2324</v>
      </c>
      <c r="D6540" t="s">
        <v>1813</v>
      </c>
    </row>
    <row r="6541" spans="1:4" x14ac:dyDescent="0.2">
      <c r="A6541" t="s">
        <v>8119</v>
      </c>
      <c r="B6541" s="2">
        <v>43235</v>
      </c>
      <c r="C6541" t="s">
        <v>1818</v>
      </c>
      <c r="D6541" t="s">
        <v>1031</v>
      </c>
    </row>
    <row r="6542" spans="1:4" x14ac:dyDescent="0.2">
      <c r="A6542" t="s">
        <v>8120</v>
      </c>
      <c r="B6542" s="2">
        <v>43171</v>
      </c>
      <c r="C6542" t="s">
        <v>1803</v>
      </c>
      <c r="D6542" t="s">
        <v>1804</v>
      </c>
    </row>
    <row r="6543" spans="1:4" x14ac:dyDescent="0.2">
      <c r="A6543" t="s">
        <v>8121</v>
      </c>
      <c r="B6543" s="2">
        <v>43124</v>
      </c>
      <c r="C6543" t="s">
        <v>1930</v>
      </c>
      <c r="D6543" t="s">
        <v>1829</v>
      </c>
    </row>
    <row r="6544" spans="1:4" x14ac:dyDescent="0.2">
      <c r="A6544" t="s">
        <v>8122</v>
      </c>
      <c r="B6544" s="2">
        <v>43185</v>
      </c>
      <c r="C6544" t="s">
        <v>1905</v>
      </c>
      <c r="D6544" t="s">
        <v>1810</v>
      </c>
    </row>
    <row r="6545" spans="1:4" x14ac:dyDescent="0.2">
      <c r="A6545" t="s">
        <v>8123</v>
      </c>
      <c r="B6545" s="2">
        <v>43245</v>
      </c>
      <c r="C6545" t="s">
        <v>1825</v>
      </c>
      <c r="D6545" t="s">
        <v>1810</v>
      </c>
    </row>
    <row r="6546" spans="1:4" x14ac:dyDescent="0.2">
      <c r="A6546" t="s">
        <v>8124</v>
      </c>
      <c r="B6546" s="2">
        <v>43066</v>
      </c>
      <c r="C6546" t="s">
        <v>2324</v>
      </c>
      <c r="D6546" t="s">
        <v>1031</v>
      </c>
    </row>
    <row r="6547" spans="1:4" x14ac:dyDescent="0.2">
      <c r="A6547" t="s">
        <v>8125</v>
      </c>
      <c r="B6547" s="2">
        <v>43216</v>
      </c>
      <c r="C6547" t="s">
        <v>3092</v>
      </c>
      <c r="D6547" t="s">
        <v>1031</v>
      </c>
    </row>
    <row r="6548" spans="1:4" x14ac:dyDescent="0.2">
      <c r="A6548" t="s">
        <v>8126</v>
      </c>
      <c r="B6548" s="2">
        <v>43010</v>
      </c>
      <c r="C6548" t="s">
        <v>2152</v>
      </c>
      <c r="D6548" t="s">
        <v>1813</v>
      </c>
    </row>
    <row r="6549" spans="1:4" x14ac:dyDescent="0.2">
      <c r="A6549" t="s">
        <v>8127</v>
      </c>
      <c r="B6549" s="2">
        <v>43138</v>
      </c>
      <c r="C6549" t="s">
        <v>1921</v>
      </c>
      <c r="D6549" t="s">
        <v>1810</v>
      </c>
    </row>
    <row r="6550" spans="1:4" x14ac:dyDescent="0.2">
      <c r="A6550" t="s">
        <v>8128</v>
      </c>
      <c r="B6550" s="2">
        <v>43075</v>
      </c>
      <c r="C6550" t="s">
        <v>8129</v>
      </c>
      <c r="D6550" t="s">
        <v>1813</v>
      </c>
    </row>
    <row r="6551" spans="1:4" x14ac:dyDescent="0.2">
      <c r="A6551" t="s">
        <v>8130</v>
      </c>
      <c r="B6551" s="2">
        <v>43130</v>
      </c>
      <c r="C6551" t="s">
        <v>2303</v>
      </c>
      <c r="D6551" t="s">
        <v>1810</v>
      </c>
    </row>
    <row r="6552" spans="1:4" x14ac:dyDescent="0.2">
      <c r="A6552" t="s">
        <v>8131</v>
      </c>
      <c r="B6552" s="2">
        <v>43137</v>
      </c>
      <c r="C6552" t="s">
        <v>3827</v>
      </c>
      <c r="D6552" t="s">
        <v>1813</v>
      </c>
    </row>
    <row r="6553" spans="1:4" x14ac:dyDescent="0.2">
      <c r="A6553" t="s">
        <v>8132</v>
      </c>
      <c r="B6553" s="2">
        <v>43115</v>
      </c>
      <c r="C6553" t="s">
        <v>1809</v>
      </c>
      <c r="D6553" t="s">
        <v>1810</v>
      </c>
    </row>
    <row r="6554" spans="1:4" x14ac:dyDescent="0.2">
      <c r="A6554" t="s">
        <v>8133</v>
      </c>
      <c r="B6554" s="2">
        <v>43241</v>
      </c>
      <c r="C6554" t="s">
        <v>1928</v>
      </c>
      <c r="D6554" t="s">
        <v>1813</v>
      </c>
    </row>
    <row r="6555" spans="1:4" x14ac:dyDescent="0.2">
      <c r="A6555" t="s">
        <v>8134</v>
      </c>
      <c r="B6555" s="2">
        <v>43247</v>
      </c>
      <c r="C6555" t="s">
        <v>1816</v>
      </c>
      <c r="D6555" t="s">
        <v>1810</v>
      </c>
    </row>
    <row r="6556" spans="1:4" x14ac:dyDescent="0.2">
      <c r="A6556" t="s">
        <v>8135</v>
      </c>
      <c r="B6556" s="2">
        <v>43033</v>
      </c>
      <c r="C6556" t="s">
        <v>8136</v>
      </c>
      <c r="D6556" t="s">
        <v>1031</v>
      </c>
    </row>
    <row r="6557" spans="1:4" x14ac:dyDescent="0.2">
      <c r="A6557" t="s">
        <v>8137</v>
      </c>
      <c r="B6557" s="2">
        <v>43137</v>
      </c>
      <c r="C6557" t="s">
        <v>1930</v>
      </c>
      <c r="D6557" t="s">
        <v>1807</v>
      </c>
    </row>
    <row r="6558" spans="1:4" x14ac:dyDescent="0.2">
      <c r="A6558" t="s">
        <v>1478</v>
      </c>
      <c r="B6558" s="2">
        <v>43192</v>
      </c>
      <c r="C6558" t="s">
        <v>2048</v>
      </c>
      <c r="D6558" t="s">
        <v>1810</v>
      </c>
    </row>
    <row r="6559" spans="1:4" x14ac:dyDescent="0.2">
      <c r="A6559" t="s">
        <v>8138</v>
      </c>
      <c r="B6559" s="2">
        <v>43157</v>
      </c>
      <c r="C6559" t="s">
        <v>2344</v>
      </c>
      <c r="D6559" t="s">
        <v>1813</v>
      </c>
    </row>
    <row r="6560" spans="1:4" x14ac:dyDescent="0.2">
      <c r="A6560" t="s">
        <v>8139</v>
      </c>
      <c r="B6560" s="2">
        <v>43193</v>
      </c>
      <c r="C6560" t="s">
        <v>1863</v>
      </c>
      <c r="D6560" t="s">
        <v>1804</v>
      </c>
    </row>
    <row r="6561" spans="1:4" x14ac:dyDescent="0.2">
      <c r="A6561" t="s">
        <v>8140</v>
      </c>
      <c r="B6561" s="2">
        <v>43136</v>
      </c>
      <c r="C6561" t="s">
        <v>1930</v>
      </c>
      <c r="D6561" t="s">
        <v>1807</v>
      </c>
    </row>
    <row r="6562" spans="1:4" x14ac:dyDescent="0.2">
      <c r="A6562" t="s">
        <v>8141</v>
      </c>
      <c r="B6562" s="2">
        <v>43154</v>
      </c>
      <c r="C6562" t="s">
        <v>8142</v>
      </c>
      <c r="D6562" t="s">
        <v>1807</v>
      </c>
    </row>
    <row r="6563" spans="1:4" x14ac:dyDescent="0.2">
      <c r="A6563" t="s">
        <v>8143</v>
      </c>
      <c r="B6563" s="2">
        <v>42936</v>
      </c>
      <c r="C6563" t="s">
        <v>1836</v>
      </c>
      <c r="D6563" t="s">
        <v>1031</v>
      </c>
    </row>
    <row r="6564" spans="1:4" x14ac:dyDescent="0.2">
      <c r="A6564" t="s">
        <v>8144</v>
      </c>
      <c r="B6564" s="2">
        <v>43208</v>
      </c>
      <c r="C6564" t="s">
        <v>1863</v>
      </c>
      <c r="D6564" t="s">
        <v>1804</v>
      </c>
    </row>
    <row r="6565" spans="1:4" x14ac:dyDescent="0.2">
      <c r="A6565" t="s">
        <v>8145</v>
      </c>
      <c r="B6565" s="2">
        <v>43118</v>
      </c>
      <c r="C6565" t="s">
        <v>1809</v>
      </c>
      <c r="D6565" t="s">
        <v>1810</v>
      </c>
    </row>
    <row r="6566" spans="1:4" x14ac:dyDescent="0.2">
      <c r="A6566" t="s">
        <v>8146</v>
      </c>
      <c r="B6566" s="2">
        <v>43063</v>
      </c>
      <c r="C6566" t="s">
        <v>2303</v>
      </c>
      <c r="D6566" t="s">
        <v>1810</v>
      </c>
    </row>
    <row r="6567" spans="1:4" x14ac:dyDescent="0.2">
      <c r="A6567" t="s">
        <v>1480</v>
      </c>
      <c r="B6567" s="2">
        <v>43124</v>
      </c>
      <c r="C6567" t="s">
        <v>1921</v>
      </c>
      <c r="D6567" t="s">
        <v>1796</v>
      </c>
    </row>
    <row r="6568" spans="1:4" x14ac:dyDescent="0.2">
      <c r="A6568" t="s">
        <v>8147</v>
      </c>
      <c r="B6568" s="2">
        <v>43207</v>
      </c>
      <c r="C6568" t="s">
        <v>2620</v>
      </c>
      <c r="D6568" t="s">
        <v>1807</v>
      </c>
    </row>
    <row r="6569" spans="1:4" x14ac:dyDescent="0.2">
      <c r="A6569" t="s">
        <v>8148</v>
      </c>
      <c r="B6569" s="2">
        <v>43181</v>
      </c>
      <c r="C6569" t="s">
        <v>1867</v>
      </c>
      <c r="D6569" t="s">
        <v>1807</v>
      </c>
    </row>
    <row r="6570" spans="1:4" x14ac:dyDescent="0.2">
      <c r="A6570" t="s">
        <v>1482</v>
      </c>
      <c r="B6570" s="2">
        <v>43187</v>
      </c>
      <c r="C6570" t="s">
        <v>1905</v>
      </c>
      <c r="D6570" t="s">
        <v>1810</v>
      </c>
    </row>
    <row r="6571" spans="1:4" x14ac:dyDescent="0.2">
      <c r="A6571" t="s">
        <v>8149</v>
      </c>
      <c r="B6571" s="2">
        <v>42991</v>
      </c>
      <c r="C6571" t="s">
        <v>2276</v>
      </c>
      <c r="D6571" t="s">
        <v>1813</v>
      </c>
    </row>
    <row r="6572" spans="1:4" x14ac:dyDescent="0.2">
      <c r="A6572" t="s">
        <v>8150</v>
      </c>
      <c r="B6572" s="2">
        <v>42956</v>
      </c>
      <c r="C6572" t="s">
        <v>1843</v>
      </c>
      <c r="D6572" t="s">
        <v>1840</v>
      </c>
    </row>
    <row r="6573" spans="1:4" x14ac:dyDescent="0.2">
      <c r="A6573" t="s">
        <v>8151</v>
      </c>
      <c r="B6573" s="2">
        <v>43045</v>
      </c>
      <c r="C6573" t="s">
        <v>1902</v>
      </c>
      <c r="D6573" t="s">
        <v>1813</v>
      </c>
    </row>
    <row r="6574" spans="1:4" x14ac:dyDescent="0.2">
      <c r="A6574" t="s">
        <v>8152</v>
      </c>
      <c r="B6574" s="2">
        <v>42940</v>
      </c>
      <c r="C6574" t="s">
        <v>3419</v>
      </c>
      <c r="D6574" t="s">
        <v>1031</v>
      </c>
    </row>
    <row r="6575" spans="1:4" x14ac:dyDescent="0.2">
      <c r="A6575" t="s">
        <v>8153</v>
      </c>
      <c r="B6575" s="2">
        <v>43062</v>
      </c>
      <c r="C6575" t="s">
        <v>2152</v>
      </c>
      <c r="D6575" t="s">
        <v>1829</v>
      </c>
    </row>
    <row r="6576" spans="1:4" x14ac:dyDescent="0.2">
      <c r="A6576" t="s">
        <v>8154</v>
      </c>
      <c r="B6576" s="2">
        <v>43235</v>
      </c>
      <c r="C6576" t="s">
        <v>1905</v>
      </c>
      <c r="D6576" t="s">
        <v>1849</v>
      </c>
    </row>
    <row r="6577" spans="1:4" x14ac:dyDescent="0.2">
      <c r="A6577" t="s">
        <v>8155</v>
      </c>
      <c r="B6577" s="2">
        <v>42954</v>
      </c>
      <c r="C6577" t="s">
        <v>1843</v>
      </c>
      <c r="D6577" t="s">
        <v>1807</v>
      </c>
    </row>
    <row r="6578" spans="1:4" x14ac:dyDescent="0.2">
      <c r="A6578" t="s">
        <v>8156</v>
      </c>
      <c r="B6578" s="2">
        <v>43234</v>
      </c>
      <c r="C6578" t="s">
        <v>1816</v>
      </c>
      <c r="D6578" t="s">
        <v>1807</v>
      </c>
    </row>
    <row r="6579" spans="1:4" x14ac:dyDescent="0.2">
      <c r="A6579" t="s">
        <v>1484</v>
      </c>
      <c r="B6579" s="2">
        <v>43188</v>
      </c>
      <c r="C6579" t="s">
        <v>1836</v>
      </c>
      <c r="D6579" t="s">
        <v>1031</v>
      </c>
    </row>
    <row r="6580" spans="1:4" x14ac:dyDescent="0.2">
      <c r="A6580" t="s">
        <v>8157</v>
      </c>
      <c r="B6580" s="2">
        <v>43042</v>
      </c>
      <c r="C6580" t="s">
        <v>1867</v>
      </c>
      <c r="D6580" t="s">
        <v>160</v>
      </c>
    </row>
    <row r="6581" spans="1:4" x14ac:dyDescent="0.2">
      <c r="A6581" t="s">
        <v>8158</v>
      </c>
      <c r="B6581" s="2">
        <v>42947</v>
      </c>
      <c r="C6581" t="s">
        <v>1987</v>
      </c>
      <c r="D6581" t="s">
        <v>1910</v>
      </c>
    </row>
    <row r="6582" spans="1:4" x14ac:dyDescent="0.2">
      <c r="A6582" t="s">
        <v>8159</v>
      </c>
      <c r="B6582" s="2">
        <v>43167</v>
      </c>
      <c r="C6582" t="s">
        <v>1836</v>
      </c>
      <c r="D6582" t="s">
        <v>1031</v>
      </c>
    </row>
    <row r="6583" spans="1:4" x14ac:dyDescent="0.2">
      <c r="A6583" t="s">
        <v>8160</v>
      </c>
      <c r="B6583" s="2">
        <v>43105</v>
      </c>
      <c r="C6583" t="s">
        <v>1905</v>
      </c>
      <c r="D6583" t="s">
        <v>1810</v>
      </c>
    </row>
    <row r="6584" spans="1:4" x14ac:dyDescent="0.2">
      <c r="A6584" t="s">
        <v>8161</v>
      </c>
      <c r="B6584" s="2">
        <v>43174</v>
      </c>
      <c r="C6584" t="s">
        <v>1905</v>
      </c>
      <c r="D6584" t="s">
        <v>1804</v>
      </c>
    </row>
    <row r="6585" spans="1:4" x14ac:dyDescent="0.2">
      <c r="A6585" t="s">
        <v>8162</v>
      </c>
      <c r="B6585" s="2">
        <v>43126</v>
      </c>
      <c r="C6585" t="s">
        <v>1812</v>
      </c>
      <c r="D6585" t="s">
        <v>1813</v>
      </c>
    </row>
    <row r="6586" spans="1:4" x14ac:dyDescent="0.2">
      <c r="A6586" t="s">
        <v>8163</v>
      </c>
      <c r="B6586" s="2">
        <v>43107</v>
      </c>
      <c r="C6586" t="s">
        <v>1930</v>
      </c>
      <c r="D6586" t="s">
        <v>1807</v>
      </c>
    </row>
    <row r="6587" spans="1:4" x14ac:dyDescent="0.2">
      <c r="A6587" t="s">
        <v>8164</v>
      </c>
      <c r="B6587" s="2">
        <v>43241</v>
      </c>
      <c r="C6587" t="s">
        <v>1863</v>
      </c>
      <c r="D6587" t="s">
        <v>1804</v>
      </c>
    </row>
    <row r="6588" spans="1:4" x14ac:dyDescent="0.2">
      <c r="A6588" t="s">
        <v>8165</v>
      </c>
      <c r="B6588" s="2">
        <v>42993</v>
      </c>
      <c r="C6588" t="s">
        <v>8166</v>
      </c>
      <c r="D6588" t="s">
        <v>1031</v>
      </c>
    </row>
    <row r="6589" spans="1:4" x14ac:dyDescent="0.2">
      <c r="A6589" t="s">
        <v>8167</v>
      </c>
      <c r="B6589" s="2">
        <v>43166</v>
      </c>
      <c r="C6589" t="s">
        <v>1816</v>
      </c>
      <c r="D6589" t="s">
        <v>1807</v>
      </c>
    </row>
    <row r="6590" spans="1:4" x14ac:dyDescent="0.2">
      <c r="A6590" t="s">
        <v>8168</v>
      </c>
      <c r="B6590" s="2">
        <v>43242</v>
      </c>
      <c r="C6590" t="s">
        <v>1836</v>
      </c>
      <c r="D6590" t="s">
        <v>1031</v>
      </c>
    </row>
    <row r="6591" spans="1:4" x14ac:dyDescent="0.2">
      <c r="A6591" t="s">
        <v>8169</v>
      </c>
      <c r="B6591" s="2">
        <v>42977</v>
      </c>
      <c r="C6591" t="s">
        <v>2552</v>
      </c>
      <c r="D6591" t="s">
        <v>1807</v>
      </c>
    </row>
    <row r="6592" spans="1:4" x14ac:dyDescent="0.2">
      <c r="A6592" t="s">
        <v>1486</v>
      </c>
      <c r="B6592" s="2">
        <v>43199</v>
      </c>
      <c r="C6592" t="s">
        <v>1836</v>
      </c>
      <c r="D6592" t="s">
        <v>1031</v>
      </c>
    </row>
    <row r="6593" spans="1:4" x14ac:dyDescent="0.2">
      <c r="A6593" t="s">
        <v>1488</v>
      </c>
      <c r="B6593" s="2">
        <v>43193</v>
      </c>
      <c r="C6593" t="s">
        <v>2014</v>
      </c>
      <c r="D6593" t="s">
        <v>1840</v>
      </c>
    </row>
    <row r="6594" spans="1:4" x14ac:dyDescent="0.2">
      <c r="A6594" t="s">
        <v>1490</v>
      </c>
      <c r="B6594" s="2">
        <v>43164</v>
      </c>
      <c r="C6594" t="s">
        <v>1803</v>
      </c>
      <c r="D6594" t="s">
        <v>1804</v>
      </c>
    </row>
    <row r="6595" spans="1:4" x14ac:dyDescent="0.2">
      <c r="A6595" t="s">
        <v>8170</v>
      </c>
      <c r="B6595" s="2">
        <v>43153</v>
      </c>
      <c r="C6595" t="s">
        <v>2249</v>
      </c>
      <c r="D6595" t="s">
        <v>1807</v>
      </c>
    </row>
    <row r="6596" spans="1:4" x14ac:dyDescent="0.2">
      <c r="A6596" t="s">
        <v>8171</v>
      </c>
      <c r="B6596" s="2">
        <v>43240</v>
      </c>
      <c r="C6596" t="s">
        <v>1816</v>
      </c>
      <c r="D6596" t="s">
        <v>1829</v>
      </c>
    </row>
    <row r="6597" spans="1:4" x14ac:dyDescent="0.2">
      <c r="A6597" t="s">
        <v>8172</v>
      </c>
      <c r="B6597" s="2">
        <v>43211</v>
      </c>
      <c r="C6597" t="s">
        <v>1996</v>
      </c>
      <c r="D6597" t="s">
        <v>1807</v>
      </c>
    </row>
    <row r="6598" spans="1:4" x14ac:dyDescent="0.2">
      <c r="A6598" t="s">
        <v>8173</v>
      </c>
      <c r="B6598" s="2">
        <v>43165</v>
      </c>
      <c r="C6598" t="s">
        <v>1836</v>
      </c>
      <c r="D6598" t="s">
        <v>1031</v>
      </c>
    </row>
    <row r="6599" spans="1:4" x14ac:dyDescent="0.2">
      <c r="A6599" t="s">
        <v>8174</v>
      </c>
      <c r="B6599" s="2">
        <v>43035</v>
      </c>
      <c r="C6599" t="s">
        <v>1825</v>
      </c>
      <c r="D6599" t="s">
        <v>1810</v>
      </c>
    </row>
    <row r="6600" spans="1:4" x14ac:dyDescent="0.2">
      <c r="A6600" t="s">
        <v>1492</v>
      </c>
      <c r="B6600" s="2">
        <v>43207</v>
      </c>
      <c r="C6600" t="s">
        <v>1816</v>
      </c>
      <c r="D6600" t="s">
        <v>1810</v>
      </c>
    </row>
    <row r="6601" spans="1:4" x14ac:dyDescent="0.2">
      <c r="A6601" t="s">
        <v>8175</v>
      </c>
      <c r="B6601" s="2">
        <v>43126</v>
      </c>
      <c r="C6601" t="s">
        <v>1993</v>
      </c>
      <c r="D6601" t="s">
        <v>1810</v>
      </c>
    </row>
    <row r="6602" spans="1:4" x14ac:dyDescent="0.2">
      <c r="A6602" t="s">
        <v>8176</v>
      </c>
      <c r="B6602" s="2">
        <v>43022</v>
      </c>
      <c r="C6602" t="s">
        <v>1905</v>
      </c>
      <c r="D6602" t="s">
        <v>1810</v>
      </c>
    </row>
    <row r="6603" spans="1:4" x14ac:dyDescent="0.2">
      <c r="A6603" t="s">
        <v>1494</v>
      </c>
      <c r="B6603" s="2">
        <v>43113</v>
      </c>
      <c r="C6603" t="s">
        <v>1905</v>
      </c>
      <c r="D6603" t="s">
        <v>1829</v>
      </c>
    </row>
    <row r="6604" spans="1:4" x14ac:dyDescent="0.2">
      <c r="A6604" t="s">
        <v>8177</v>
      </c>
      <c r="B6604" s="2">
        <v>43193</v>
      </c>
      <c r="C6604" t="s">
        <v>1836</v>
      </c>
      <c r="D6604" t="s">
        <v>1810</v>
      </c>
    </row>
    <row r="6605" spans="1:4" x14ac:dyDescent="0.2">
      <c r="A6605" t="s">
        <v>8178</v>
      </c>
      <c r="B6605" s="2">
        <v>43007</v>
      </c>
      <c r="C6605" t="s">
        <v>2750</v>
      </c>
      <c r="D6605" t="s">
        <v>1807</v>
      </c>
    </row>
    <row r="6606" spans="1:4" x14ac:dyDescent="0.2">
      <c r="A6606" t="s">
        <v>8179</v>
      </c>
      <c r="B6606" s="2">
        <v>43032</v>
      </c>
      <c r="C6606" t="s">
        <v>1806</v>
      </c>
      <c r="D6606" t="s">
        <v>1810</v>
      </c>
    </row>
    <row r="6607" spans="1:4" x14ac:dyDescent="0.2">
      <c r="A6607" t="s">
        <v>1496</v>
      </c>
      <c r="B6607" s="2">
        <v>43184</v>
      </c>
      <c r="C6607" t="s">
        <v>4061</v>
      </c>
      <c r="D6607" t="s">
        <v>1807</v>
      </c>
    </row>
    <row r="6608" spans="1:4" x14ac:dyDescent="0.2">
      <c r="A6608" t="s">
        <v>8180</v>
      </c>
      <c r="B6608" s="2">
        <v>43165</v>
      </c>
      <c r="C6608" t="s">
        <v>1816</v>
      </c>
      <c r="D6608" t="s">
        <v>1829</v>
      </c>
    </row>
    <row r="6609" spans="1:4" x14ac:dyDescent="0.2">
      <c r="A6609" t="s">
        <v>8181</v>
      </c>
      <c r="B6609" s="2">
        <v>43210</v>
      </c>
      <c r="C6609" t="s">
        <v>1816</v>
      </c>
      <c r="D6609" t="s">
        <v>1810</v>
      </c>
    </row>
    <row r="6610" spans="1:4" x14ac:dyDescent="0.2">
      <c r="A6610" t="s">
        <v>1498</v>
      </c>
      <c r="B6610" s="2">
        <v>43187</v>
      </c>
      <c r="C6610" t="s">
        <v>1828</v>
      </c>
      <c r="D6610" t="s">
        <v>1807</v>
      </c>
    </row>
    <row r="6611" spans="1:4" x14ac:dyDescent="0.2">
      <c r="A6611" t="s">
        <v>8182</v>
      </c>
      <c r="B6611" s="2">
        <v>43151</v>
      </c>
      <c r="C6611" t="s">
        <v>2591</v>
      </c>
      <c r="D6611" t="s">
        <v>1813</v>
      </c>
    </row>
    <row r="6612" spans="1:4" x14ac:dyDescent="0.2">
      <c r="A6612" t="s">
        <v>1500</v>
      </c>
      <c r="B6612" s="2">
        <v>43236</v>
      </c>
      <c r="C6612" t="s">
        <v>1905</v>
      </c>
      <c r="D6612" t="s">
        <v>1810</v>
      </c>
    </row>
    <row r="6613" spans="1:4" x14ac:dyDescent="0.2">
      <c r="A6613" t="s">
        <v>8183</v>
      </c>
      <c r="B6613" s="2">
        <v>43105</v>
      </c>
      <c r="C6613" t="s">
        <v>1836</v>
      </c>
      <c r="D6613" t="s">
        <v>1807</v>
      </c>
    </row>
    <row r="6614" spans="1:4" x14ac:dyDescent="0.2">
      <c r="A6614" t="s">
        <v>8184</v>
      </c>
      <c r="B6614" s="2">
        <v>43061</v>
      </c>
      <c r="C6614" t="s">
        <v>1905</v>
      </c>
      <c r="D6614" t="s">
        <v>1810</v>
      </c>
    </row>
    <row r="6615" spans="1:4" x14ac:dyDescent="0.2">
      <c r="A6615" t="s">
        <v>8185</v>
      </c>
      <c r="B6615" s="2">
        <v>43159</v>
      </c>
      <c r="C6615" t="s">
        <v>2014</v>
      </c>
      <c r="D6615" t="s">
        <v>1840</v>
      </c>
    </row>
    <row r="6616" spans="1:4" x14ac:dyDescent="0.2">
      <c r="A6616" t="s">
        <v>8186</v>
      </c>
      <c r="B6616" s="2">
        <v>43161</v>
      </c>
      <c r="C6616" t="s">
        <v>1809</v>
      </c>
      <c r="D6616" t="s">
        <v>1810</v>
      </c>
    </row>
    <row r="6617" spans="1:4" x14ac:dyDescent="0.2">
      <c r="A6617" t="s">
        <v>8187</v>
      </c>
      <c r="B6617" s="2">
        <v>43131</v>
      </c>
      <c r="C6617" t="s">
        <v>1816</v>
      </c>
      <c r="D6617" t="s">
        <v>1810</v>
      </c>
    </row>
    <row r="6618" spans="1:4" x14ac:dyDescent="0.2">
      <c r="A6618" t="s">
        <v>8188</v>
      </c>
      <c r="B6618" s="2">
        <v>43173</v>
      </c>
      <c r="C6618" t="s">
        <v>1885</v>
      </c>
      <c r="D6618" t="s">
        <v>1807</v>
      </c>
    </row>
    <row r="6619" spans="1:4" x14ac:dyDescent="0.2">
      <c r="A6619" t="s">
        <v>8189</v>
      </c>
      <c r="B6619" s="2">
        <v>43161</v>
      </c>
      <c r="C6619" t="s">
        <v>8190</v>
      </c>
      <c r="D6619" t="s">
        <v>1810</v>
      </c>
    </row>
    <row r="6620" spans="1:4" x14ac:dyDescent="0.2">
      <c r="A6620" t="s">
        <v>8191</v>
      </c>
      <c r="B6620" s="2">
        <v>43117</v>
      </c>
      <c r="C6620" t="s">
        <v>1803</v>
      </c>
      <c r="D6620" t="s">
        <v>1804</v>
      </c>
    </row>
    <row r="6621" spans="1:4" x14ac:dyDescent="0.2">
      <c r="A6621" t="s">
        <v>8192</v>
      </c>
      <c r="B6621" s="2">
        <v>43249</v>
      </c>
      <c r="C6621" t="s">
        <v>1836</v>
      </c>
      <c r="D6621" t="s">
        <v>1807</v>
      </c>
    </row>
    <row r="6622" spans="1:4" x14ac:dyDescent="0.2">
      <c r="A6622" t="s">
        <v>8193</v>
      </c>
      <c r="B6622" s="2">
        <v>43120</v>
      </c>
      <c r="C6622" t="s">
        <v>1825</v>
      </c>
      <c r="D6622" t="s">
        <v>1810</v>
      </c>
    </row>
    <row r="6623" spans="1:4" x14ac:dyDescent="0.2">
      <c r="A6623" t="s">
        <v>8194</v>
      </c>
      <c r="B6623" s="2">
        <v>43208</v>
      </c>
      <c r="C6623" t="s">
        <v>2158</v>
      </c>
      <c r="D6623" t="s">
        <v>1810</v>
      </c>
    </row>
    <row r="6624" spans="1:4" x14ac:dyDescent="0.2">
      <c r="A6624" t="s">
        <v>8195</v>
      </c>
      <c r="B6624" s="2">
        <v>42963</v>
      </c>
      <c r="C6624" t="s">
        <v>1825</v>
      </c>
      <c r="D6624" t="s">
        <v>1810</v>
      </c>
    </row>
    <row r="6625" spans="1:4" x14ac:dyDescent="0.2">
      <c r="A6625" t="s">
        <v>8196</v>
      </c>
      <c r="B6625" s="2">
        <v>43228</v>
      </c>
      <c r="C6625" t="s">
        <v>2342</v>
      </c>
      <c r="D6625" t="s">
        <v>1910</v>
      </c>
    </row>
    <row r="6626" spans="1:4" x14ac:dyDescent="0.2">
      <c r="A6626" t="s">
        <v>1502</v>
      </c>
      <c r="B6626" s="2">
        <v>43123</v>
      </c>
      <c r="C6626" t="s">
        <v>1816</v>
      </c>
      <c r="D6626" t="s">
        <v>1810</v>
      </c>
    </row>
    <row r="6627" spans="1:4" x14ac:dyDescent="0.2">
      <c r="A6627" t="s">
        <v>8197</v>
      </c>
      <c r="B6627" s="2">
        <v>43115</v>
      </c>
      <c r="C6627" t="s">
        <v>1836</v>
      </c>
      <c r="D6627" t="s">
        <v>1807</v>
      </c>
    </row>
    <row r="6628" spans="1:4" x14ac:dyDescent="0.2">
      <c r="A6628" t="s">
        <v>8198</v>
      </c>
      <c r="B6628" s="2">
        <v>43120</v>
      </c>
      <c r="C6628" t="s">
        <v>1825</v>
      </c>
      <c r="D6628" t="s">
        <v>1910</v>
      </c>
    </row>
    <row r="6629" spans="1:4" x14ac:dyDescent="0.2">
      <c r="A6629" t="s">
        <v>8199</v>
      </c>
      <c r="B6629" s="2">
        <v>43199</v>
      </c>
      <c r="C6629" t="s">
        <v>1865</v>
      </c>
      <c r="D6629" t="s">
        <v>1810</v>
      </c>
    </row>
    <row r="6630" spans="1:4" x14ac:dyDescent="0.2">
      <c r="A6630" t="s">
        <v>8200</v>
      </c>
      <c r="B6630" s="2">
        <v>43243</v>
      </c>
      <c r="C6630" t="s">
        <v>1816</v>
      </c>
      <c r="D6630" t="s">
        <v>1829</v>
      </c>
    </row>
    <row r="6631" spans="1:4" x14ac:dyDescent="0.2">
      <c r="A6631" t="s">
        <v>8201</v>
      </c>
      <c r="B6631" s="2">
        <v>43139</v>
      </c>
      <c r="C6631" t="s">
        <v>1885</v>
      </c>
      <c r="D6631" t="s">
        <v>1813</v>
      </c>
    </row>
    <row r="6632" spans="1:4" x14ac:dyDescent="0.2">
      <c r="A6632" t="s">
        <v>8202</v>
      </c>
      <c r="B6632" s="2">
        <v>43218</v>
      </c>
      <c r="C6632" t="s">
        <v>1857</v>
      </c>
      <c r="D6632" t="s">
        <v>1804</v>
      </c>
    </row>
    <row r="6633" spans="1:4" x14ac:dyDescent="0.2">
      <c r="A6633" t="s">
        <v>8203</v>
      </c>
      <c r="B6633" s="2">
        <v>43137</v>
      </c>
      <c r="C6633" t="s">
        <v>1803</v>
      </c>
      <c r="D6633" t="s">
        <v>1804</v>
      </c>
    </row>
    <row r="6634" spans="1:4" x14ac:dyDescent="0.2">
      <c r="A6634" t="s">
        <v>1504</v>
      </c>
      <c r="B6634" s="2">
        <v>43102</v>
      </c>
      <c r="C6634" t="s">
        <v>1816</v>
      </c>
      <c r="D6634" t="s">
        <v>1810</v>
      </c>
    </row>
    <row r="6635" spans="1:4" x14ac:dyDescent="0.2">
      <c r="A6635" t="s">
        <v>8204</v>
      </c>
      <c r="B6635" s="2">
        <v>43249</v>
      </c>
      <c r="C6635" t="s">
        <v>1836</v>
      </c>
      <c r="D6635" t="s">
        <v>1031</v>
      </c>
    </row>
    <row r="6636" spans="1:4" x14ac:dyDescent="0.2">
      <c r="A6636" t="s">
        <v>8205</v>
      </c>
      <c r="B6636" s="2">
        <v>42987</v>
      </c>
      <c r="C6636" t="s">
        <v>1894</v>
      </c>
      <c r="D6636" t="s">
        <v>1804</v>
      </c>
    </row>
    <row r="6637" spans="1:4" x14ac:dyDescent="0.2">
      <c r="A6637" t="s">
        <v>8206</v>
      </c>
      <c r="B6637" s="2">
        <v>43086</v>
      </c>
      <c r="C6637" t="s">
        <v>2445</v>
      </c>
      <c r="D6637" t="s">
        <v>1810</v>
      </c>
    </row>
    <row r="6638" spans="1:4" x14ac:dyDescent="0.2">
      <c r="A6638" t="s">
        <v>8207</v>
      </c>
      <c r="B6638" s="2">
        <v>43133</v>
      </c>
      <c r="C6638" t="s">
        <v>1803</v>
      </c>
      <c r="D6638" t="s">
        <v>1804</v>
      </c>
    </row>
    <row r="6639" spans="1:4" x14ac:dyDescent="0.2">
      <c r="A6639" t="s">
        <v>1506</v>
      </c>
      <c r="B6639" s="2">
        <v>43115</v>
      </c>
      <c r="C6639" t="s">
        <v>1809</v>
      </c>
      <c r="D6639" t="s">
        <v>1810</v>
      </c>
    </row>
    <row r="6640" spans="1:4" x14ac:dyDescent="0.2">
      <c r="A6640" t="s">
        <v>8208</v>
      </c>
      <c r="B6640" s="2">
        <v>43227</v>
      </c>
      <c r="C6640" t="s">
        <v>1809</v>
      </c>
      <c r="D6640" t="s">
        <v>1810</v>
      </c>
    </row>
    <row r="6641" spans="1:4" x14ac:dyDescent="0.2">
      <c r="A6641" t="s">
        <v>8209</v>
      </c>
      <c r="B6641" s="2">
        <v>43209</v>
      </c>
      <c r="C6641" t="s">
        <v>1836</v>
      </c>
      <c r="D6641" t="s">
        <v>1031</v>
      </c>
    </row>
    <row r="6642" spans="1:4" x14ac:dyDescent="0.2">
      <c r="A6642" t="s">
        <v>8210</v>
      </c>
      <c r="B6642" s="2">
        <v>43004</v>
      </c>
      <c r="C6642" t="s">
        <v>1825</v>
      </c>
      <c r="D6642" t="s">
        <v>1810</v>
      </c>
    </row>
    <row r="6643" spans="1:4" x14ac:dyDescent="0.2">
      <c r="A6643" t="s">
        <v>1508</v>
      </c>
      <c r="B6643" s="2">
        <v>42927</v>
      </c>
      <c r="C6643" t="s">
        <v>3857</v>
      </c>
      <c r="D6643" t="s">
        <v>1796</v>
      </c>
    </row>
    <row r="6644" spans="1:4" x14ac:dyDescent="0.2">
      <c r="A6644" t="s">
        <v>1510</v>
      </c>
      <c r="B6644" s="2">
        <v>43129</v>
      </c>
      <c r="C6644" t="s">
        <v>1836</v>
      </c>
      <c r="D6644" t="s">
        <v>1810</v>
      </c>
    </row>
    <row r="6645" spans="1:4" x14ac:dyDescent="0.2">
      <c r="A6645" t="s">
        <v>8211</v>
      </c>
      <c r="B6645" s="2">
        <v>42994</v>
      </c>
      <c r="C6645" t="s">
        <v>2559</v>
      </c>
      <c r="D6645" t="s">
        <v>1840</v>
      </c>
    </row>
    <row r="6646" spans="1:4" x14ac:dyDescent="0.2">
      <c r="A6646" t="s">
        <v>1512</v>
      </c>
      <c r="B6646" s="2">
        <v>43012</v>
      </c>
      <c r="C6646" t="s">
        <v>4882</v>
      </c>
      <c r="D6646" t="s">
        <v>1813</v>
      </c>
    </row>
    <row r="6647" spans="1:4" x14ac:dyDescent="0.2">
      <c r="A6647" t="s">
        <v>8212</v>
      </c>
      <c r="B6647" s="2">
        <v>43210</v>
      </c>
      <c r="C6647" t="s">
        <v>1836</v>
      </c>
      <c r="D6647" t="s">
        <v>1031</v>
      </c>
    </row>
    <row r="6648" spans="1:4" x14ac:dyDescent="0.2">
      <c r="A6648" t="s">
        <v>8213</v>
      </c>
      <c r="B6648" s="2">
        <v>43200</v>
      </c>
      <c r="C6648" t="s">
        <v>5367</v>
      </c>
      <c r="D6648" t="s">
        <v>1807</v>
      </c>
    </row>
    <row r="6649" spans="1:4" x14ac:dyDescent="0.2">
      <c r="A6649" t="s">
        <v>8214</v>
      </c>
      <c r="B6649" s="2">
        <v>43009</v>
      </c>
      <c r="C6649" t="s">
        <v>3419</v>
      </c>
      <c r="D6649" t="s">
        <v>1804</v>
      </c>
    </row>
    <row r="6650" spans="1:4" x14ac:dyDescent="0.2">
      <c r="A6650" t="s">
        <v>8215</v>
      </c>
      <c r="B6650" s="2">
        <v>43026</v>
      </c>
      <c r="C6650" t="s">
        <v>4373</v>
      </c>
      <c r="D6650" t="s">
        <v>1031</v>
      </c>
    </row>
    <row r="6651" spans="1:4" x14ac:dyDescent="0.2">
      <c r="A6651" t="s">
        <v>8216</v>
      </c>
      <c r="B6651" s="2">
        <v>43098</v>
      </c>
      <c r="C6651" t="s">
        <v>1836</v>
      </c>
      <c r="D6651" t="s">
        <v>1031</v>
      </c>
    </row>
    <row r="6652" spans="1:4" x14ac:dyDescent="0.2">
      <c r="A6652" t="s">
        <v>8217</v>
      </c>
      <c r="B6652" s="2">
        <v>43173</v>
      </c>
      <c r="C6652" t="s">
        <v>2019</v>
      </c>
      <c r="D6652" t="s">
        <v>1813</v>
      </c>
    </row>
    <row r="6653" spans="1:4" x14ac:dyDescent="0.2">
      <c r="A6653" t="s">
        <v>8218</v>
      </c>
      <c r="B6653" s="2">
        <v>43146</v>
      </c>
      <c r="C6653" t="s">
        <v>1816</v>
      </c>
      <c r="D6653" t="s">
        <v>1840</v>
      </c>
    </row>
    <row r="6654" spans="1:4" x14ac:dyDescent="0.2">
      <c r="A6654" t="s">
        <v>8219</v>
      </c>
      <c r="B6654" s="2">
        <v>43012</v>
      </c>
      <c r="C6654" t="s">
        <v>1867</v>
      </c>
      <c r="D6654" t="s">
        <v>1810</v>
      </c>
    </row>
    <row r="6655" spans="1:4" x14ac:dyDescent="0.2">
      <c r="A6655" t="s">
        <v>8220</v>
      </c>
      <c r="B6655" s="2">
        <v>43220</v>
      </c>
      <c r="C6655" t="s">
        <v>1809</v>
      </c>
      <c r="D6655" t="s">
        <v>1810</v>
      </c>
    </row>
    <row r="6656" spans="1:4" x14ac:dyDescent="0.2">
      <c r="A6656" t="s">
        <v>8221</v>
      </c>
      <c r="B6656" s="2">
        <v>43184</v>
      </c>
      <c r="C6656" t="s">
        <v>2115</v>
      </c>
      <c r="D6656" t="s">
        <v>1804</v>
      </c>
    </row>
    <row r="6657" spans="1:4" x14ac:dyDescent="0.2">
      <c r="A6657" t="s">
        <v>8222</v>
      </c>
      <c r="B6657" s="2">
        <v>43185</v>
      </c>
      <c r="C6657" t="s">
        <v>1828</v>
      </c>
      <c r="D6657" t="s">
        <v>1810</v>
      </c>
    </row>
    <row r="6658" spans="1:4" x14ac:dyDescent="0.2">
      <c r="A6658" t="s">
        <v>8223</v>
      </c>
      <c r="B6658" s="2">
        <v>43189</v>
      </c>
      <c r="C6658" t="s">
        <v>1959</v>
      </c>
      <c r="D6658" t="s">
        <v>1807</v>
      </c>
    </row>
    <row r="6659" spans="1:4" x14ac:dyDescent="0.2">
      <c r="A6659" t="s">
        <v>8224</v>
      </c>
      <c r="B6659" s="2">
        <v>43245</v>
      </c>
      <c r="C6659" t="s">
        <v>3674</v>
      </c>
      <c r="D6659" t="s">
        <v>1807</v>
      </c>
    </row>
    <row r="6660" spans="1:4" x14ac:dyDescent="0.2">
      <c r="A6660" t="s">
        <v>1514</v>
      </c>
      <c r="B6660" s="2">
        <v>43139</v>
      </c>
      <c r="C6660" t="s">
        <v>1905</v>
      </c>
      <c r="D6660" t="s">
        <v>1840</v>
      </c>
    </row>
    <row r="6661" spans="1:4" x14ac:dyDescent="0.2">
      <c r="A6661" t="s">
        <v>8225</v>
      </c>
      <c r="B6661" s="2">
        <v>43194</v>
      </c>
      <c r="C6661" t="s">
        <v>8226</v>
      </c>
      <c r="D6661" t="s">
        <v>1810</v>
      </c>
    </row>
    <row r="6662" spans="1:4" x14ac:dyDescent="0.2">
      <c r="A6662" t="s">
        <v>8227</v>
      </c>
      <c r="B6662" s="2">
        <v>43106</v>
      </c>
      <c r="C6662" t="s">
        <v>1865</v>
      </c>
      <c r="D6662" t="s">
        <v>1031</v>
      </c>
    </row>
    <row r="6663" spans="1:4" x14ac:dyDescent="0.2">
      <c r="A6663" t="s">
        <v>8228</v>
      </c>
      <c r="B6663" s="2">
        <v>43138</v>
      </c>
      <c r="C6663" t="s">
        <v>1803</v>
      </c>
      <c r="D6663" t="s">
        <v>1804</v>
      </c>
    </row>
    <row r="6664" spans="1:4" x14ac:dyDescent="0.2">
      <c r="A6664" t="s">
        <v>8229</v>
      </c>
      <c r="B6664" s="2">
        <v>43137</v>
      </c>
      <c r="C6664" t="s">
        <v>1825</v>
      </c>
      <c r="D6664" t="s">
        <v>1840</v>
      </c>
    </row>
    <row r="6665" spans="1:4" x14ac:dyDescent="0.2">
      <c r="A6665" t="s">
        <v>1516</v>
      </c>
      <c r="B6665" s="2">
        <v>43220</v>
      </c>
      <c r="C6665" t="s">
        <v>1816</v>
      </c>
      <c r="D6665" t="s">
        <v>1810</v>
      </c>
    </row>
    <row r="6666" spans="1:4" x14ac:dyDescent="0.2">
      <c r="A6666" t="s">
        <v>8230</v>
      </c>
      <c r="B6666" s="2">
        <v>43193</v>
      </c>
      <c r="C6666" t="s">
        <v>1867</v>
      </c>
      <c r="D6666" t="s">
        <v>1810</v>
      </c>
    </row>
    <row r="6667" spans="1:4" x14ac:dyDescent="0.2">
      <c r="A6667" t="s">
        <v>1518</v>
      </c>
      <c r="B6667" s="2">
        <v>43215</v>
      </c>
      <c r="C6667" t="s">
        <v>1836</v>
      </c>
      <c r="D6667" t="s">
        <v>1031</v>
      </c>
    </row>
    <row r="6668" spans="1:4" x14ac:dyDescent="0.2">
      <c r="A6668" t="s">
        <v>8231</v>
      </c>
      <c r="B6668" s="2">
        <v>43155</v>
      </c>
      <c r="C6668" t="s">
        <v>1816</v>
      </c>
      <c r="D6668" t="s">
        <v>1810</v>
      </c>
    </row>
    <row r="6669" spans="1:4" x14ac:dyDescent="0.2">
      <c r="A6669" t="s">
        <v>8232</v>
      </c>
      <c r="B6669" s="2">
        <v>43112</v>
      </c>
      <c r="C6669" t="s">
        <v>1816</v>
      </c>
      <c r="D6669" t="s">
        <v>1813</v>
      </c>
    </row>
    <row r="6670" spans="1:4" x14ac:dyDescent="0.2">
      <c r="A6670" t="s">
        <v>8233</v>
      </c>
      <c r="B6670" s="2">
        <v>43180</v>
      </c>
      <c r="C6670" t="s">
        <v>2048</v>
      </c>
      <c r="D6670" t="s">
        <v>1804</v>
      </c>
    </row>
    <row r="6671" spans="1:4" x14ac:dyDescent="0.2">
      <c r="A6671" t="s">
        <v>8234</v>
      </c>
      <c r="B6671" s="2">
        <v>43049</v>
      </c>
      <c r="C6671" t="s">
        <v>1816</v>
      </c>
      <c r="D6671" t="s">
        <v>1031</v>
      </c>
    </row>
    <row r="6672" spans="1:4" x14ac:dyDescent="0.2">
      <c r="A6672" t="s">
        <v>8235</v>
      </c>
      <c r="B6672" s="2">
        <v>43123</v>
      </c>
      <c r="C6672" t="s">
        <v>1825</v>
      </c>
      <c r="D6672" t="s">
        <v>1829</v>
      </c>
    </row>
    <row r="6673" spans="1:4" x14ac:dyDescent="0.2">
      <c r="A6673" t="s">
        <v>8236</v>
      </c>
      <c r="B6673" s="2">
        <v>43132</v>
      </c>
      <c r="C6673" t="s">
        <v>2048</v>
      </c>
      <c r="D6673" t="s">
        <v>1804</v>
      </c>
    </row>
    <row r="6674" spans="1:4" x14ac:dyDescent="0.2">
      <c r="A6674" t="s">
        <v>8237</v>
      </c>
      <c r="B6674" s="2">
        <v>42983</v>
      </c>
      <c r="C6674" t="s">
        <v>2101</v>
      </c>
      <c r="D6674" t="s">
        <v>1031</v>
      </c>
    </row>
    <row r="6675" spans="1:4" x14ac:dyDescent="0.2">
      <c r="A6675" t="s">
        <v>8238</v>
      </c>
      <c r="B6675" s="2">
        <v>43046</v>
      </c>
      <c r="C6675" t="s">
        <v>1939</v>
      </c>
      <c r="D6675" t="s">
        <v>1810</v>
      </c>
    </row>
    <row r="6676" spans="1:4" x14ac:dyDescent="0.2">
      <c r="A6676" t="s">
        <v>8239</v>
      </c>
      <c r="B6676" s="2">
        <v>43185</v>
      </c>
      <c r="C6676" t="s">
        <v>1836</v>
      </c>
      <c r="D6676" t="s">
        <v>1829</v>
      </c>
    </row>
    <row r="6677" spans="1:4" x14ac:dyDescent="0.2">
      <c r="A6677" t="s">
        <v>8240</v>
      </c>
      <c r="B6677" s="2">
        <v>43130</v>
      </c>
      <c r="C6677" t="s">
        <v>1809</v>
      </c>
      <c r="D6677" t="s">
        <v>1813</v>
      </c>
    </row>
    <row r="6678" spans="1:4" x14ac:dyDescent="0.2">
      <c r="A6678" t="s">
        <v>8241</v>
      </c>
      <c r="B6678" s="2">
        <v>43229</v>
      </c>
      <c r="C6678" t="s">
        <v>2617</v>
      </c>
      <c r="D6678" t="s">
        <v>160</v>
      </c>
    </row>
    <row r="6679" spans="1:4" x14ac:dyDescent="0.2">
      <c r="A6679" t="s">
        <v>8242</v>
      </c>
      <c r="B6679" s="2">
        <v>43187</v>
      </c>
      <c r="C6679" t="s">
        <v>1806</v>
      </c>
      <c r="D6679" t="s">
        <v>1807</v>
      </c>
    </row>
    <row r="6680" spans="1:4" x14ac:dyDescent="0.2">
      <c r="A6680" t="s">
        <v>8243</v>
      </c>
      <c r="B6680" s="2">
        <v>43220</v>
      </c>
      <c r="C6680" t="s">
        <v>2503</v>
      </c>
      <c r="D6680" t="s">
        <v>1807</v>
      </c>
    </row>
    <row r="6681" spans="1:4" x14ac:dyDescent="0.2">
      <c r="A6681" t="s">
        <v>8244</v>
      </c>
      <c r="B6681" s="2">
        <v>43201</v>
      </c>
      <c r="C6681" t="s">
        <v>1836</v>
      </c>
      <c r="D6681" t="s">
        <v>1807</v>
      </c>
    </row>
    <row r="6682" spans="1:4" x14ac:dyDescent="0.2">
      <c r="A6682" t="s">
        <v>8245</v>
      </c>
      <c r="B6682" s="2">
        <v>43197</v>
      </c>
      <c r="C6682" t="s">
        <v>1863</v>
      </c>
      <c r="D6682" t="s">
        <v>1804</v>
      </c>
    </row>
    <row r="6683" spans="1:4" x14ac:dyDescent="0.2">
      <c r="A6683" t="s">
        <v>8246</v>
      </c>
      <c r="B6683" s="2">
        <v>43168</v>
      </c>
      <c r="C6683" t="s">
        <v>1930</v>
      </c>
      <c r="D6683" t="s">
        <v>1807</v>
      </c>
    </row>
    <row r="6684" spans="1:4" x14ac:dyDescent="0.2">
      <c r="A6684" t="s">
        <v>1520</v>
      </c>
      <c r="B6684" s="2">
        <v>43247</v>
      </c>
      <c r="C6684" t="s">
        <v>1825</v>
      </c>
      <c r="D6684" t="s">
        <v>1807</v>
      </c>
    </row>
    <row r="6685" spans="1:4" x14ac:dyDescent="0.2">
      <c r="A6685" t="s">
        <v>8247</v>
      </c>
      <c r="B6685" s="2">
        <v>42975</v>
      </c>
      <c r="C6685" t="s">
        <v>2096</v>
      </c>
      <c r="D6685" t="s">
        <v>1807</v>
      </c>
    </row>
    <row r="6686" spans="1:4" x14ac:dyDescent="0.2">
      <c r="A6686" t="s">
        <v>8248</v>
      </c>
      <c r="B6686" s="2">
        <v>43153</v>
      </c>
      <c r="C6686" t="s">
        <v>2249</v>
      </c>
      <c r="D6686" t="s">
        <v>1810</v>
      </c>
    </row>
    <row r="6687" spans="1:4" x14ac:dyDescent="0.2">
      <c r="A6687" t="s">
        <v>8249</v>
      </c>
      <c r="B6687" s="2">
        <v>42934</v>
      </c>
      <c r="C6687" t="s">
        <v>3369</v>
      </c>
      <c r="D6687" t="s">
        <v>1840</v>
      </c>
    </row>
    <row r="6688" spans="1:4" x14ac:dyDescent="0.2">
      <c r="A6688" t="s">
        <v>8250</v>
      </c>
      <c r="B6688" s="2">
        <v>43164</v>
      </c>
      <c r="C6688" t="s">
        <v>1816</v>
      </c>
      <c r="D6688" t="s">
        <v>1810</v>
      </c>
    </row>
    <row r="6689" spans="1:4" x14ac:dyDescent="0.2">
      <c r="A6689" t="s">
        <v>8251</v>
      </c>
      <c r="B6689" s="2">
        <v>43114</v>
      </c>
      <c r="C6689" t="s">
        <v>1816</v>
      </c>
      <c r="D6689" t="s">
        <v>1810</v>
      </c>
    </row>
    <row r="6690" spans="1:4" x14ac:dyDescent="0.2">
      <c r="A6690" t="s">
        <v>8252</v>
      </c>
      <c r="B6690" s="2">
        <v>43123</v>
      </c>
      <c r="C6690" t="s">
        <v>2819</v>
      </c>
      <c r="D6690" t="s">
        <v>1813</v>
      </c>
    </row>
    <row r="6691" spans="1:4" x14ac:dyDescent="0.2">
      <c r="A6691" t="s">
        <v>8253</v>
      </c>
      <c r="B6691" s="2">
        <v>43194</v>
      </c>
      <c r="C6691" t="s">
        <v>1998</v>
      </c>
      <c r="D6691" t="s">
        <v>1807</v>
      </c>
    </row>
    <row r="6692" spans="1:4" x14ac:dyDescent="0.2">
      <c r="A6692" t="s">
        <v>8254</v>
      </c>
      <c r="B6692" s="2">
        <v>43146</v>
      </c>
      <c r="C6692" t="s">
        <v>1803</v>
      </c>
      <c r="D6692" t="s">
        <v>1804</v>
      </c>
    </row>
    <row r="6693" spans="1:4" x14ac:dyDescent="0.2">
      <c r="A6693" t="s">
        <v>8255</v>
      </c>
      <c r="B6693" s="2">
        <v>43167</v>
      </c>
      <c r="C6693" t="s">
        <v>1816</v>
      </c>
      <c r="D6693" t="s">
        <v>1810</v>
      </c>
    </row>
    <row r="6694" spans="1:4" x14ac:dyDescent="0.2">
      <c r="A6694" t="s">
        <v>8256</v>
      </c>
      <c r="B6694" s="2">
        <v>42936</v>
      </c>
      <c r="C6694" t="s">
        <v>1816</v>
      </c>
      <c r="D6694" t="s">
        <v>1810</v>
      </c>
    </row>
    <row r="6695" spans="1:4" x14ac:dyDescent="0.2">
      <c r="A6695" t="s">
        <v>8257</v>
      </c>
      <c r="B6695" s="2">
        <v>43134</v>
      </c>
      <c r="C6695" t="s">
        <v>8258</v>
      </c>
      <c r="D6695" t="s">
        <v>1910</v>
      </c>
    </row>
    <row r="6696" spans="1:4" x14ac:dyDescent="0.2">
      <c r="A6696" t="s">
        <v>8259</v>
      </c>
      <c r="B6696" s="2">
        <v>43111</v>
      </c>
      <c r="C6696" t="s">
        <v>1867</v>
      </c>
      <c r="D6696" t="s">
        <v>1804</v>
      </c>
    </row>
    <row r="6697" spans="1:4" x14ac:dyDescent="0.2">
      <c r="A6697" t="s">
        <v>8260</v>
      </c>
      <c r="B6697" s="2">
        <v>43222</v>
      </c>
      <c r="C6697" t="s">
        <v>1836</v>
      </c>
      <c r="D6697" t="s">
        <v>1031</v>
      </c>
    </row>
    <row r="6698" spans="1:4" x14ac:dyDescent="0.2">
      <c r="A6698" t="s">
        <v>8261</v>
      </c>
      <c r="B6698" s="2">
        <v>42971</v>
      </c>
      <c r="C6698" t="s">
        <v>2096</v>
      </c>
      <c r="D6698" t="s">
        <v>1807</v>
      </c>
    </row>
    <row r="6699" spans="1:4" x14ac:dyDescent="0.2">
      <c r="A6699" t="s">
        <v>8262</v>
      </c>
      <c r="B6699" s="2">
        <v>42975</v>
      </c>
      <c r="C6699" t="s">
        <v>1816</v>
      </c>
      <c r="D6699" t="s">
        <v>1810</v>
      </c>
    </row>
    <row r="6700" spans="1:4" x14ac:dyDescent="0.2">
      <c r="A6700" t="s">
        <v>8263</v>
      </c>
      <c r="B6700" s="2">
        <v>43181</v>
      </c>
      <c r="C6700" t="s">
        <v>1863</v>
      </c>
      <c r="D6700" t="s">
        <v>1804</v>
      </c>
    </row>
    <row r="6701" spans="1:4" x14ac:dyDescent="0.2">
      <c r="A6701" t="s">
        <v>8264</v>
      </c>
      <c r="B6701" s="2">
        <v>43168</v>
      </c>
      <c r="C6701" t="s">
        <v>1928</v>
      </c>
      <c r="D6701" t="s">
        <v>1031</v>
      </c>
    </row>
    <row r="6702" spans="1:4" x14ac:dyDescent="0.2">
      <c r="A6702" t="s">
        <v>8265</v>
      </c>
      <c r="B6702" s="2">
        <v>43031</v>
      </c>
      <c r="C6702" t="s">
        <v>3194</v>
      </c>
      <c r="D6702" t="s">
        <v>1910</v>
      </c>
    </row>
    <row r="6703" spans="1:4" x14ac:dyDescent="0.2">
      <c r="A6703" t="s">
        <v>8266</v>
      </c>
      <c r="B6703" s="2">
        <v>43141</v>
      </c>
      <c r="C6703" t="s">
        <v>1816</v>
      </c>
      <c r="D6703" t="s">
        <v>1031</v>
      </c>
    </row>
    <row r="6704" spans="1:4" x14ac:dyDescent="0.2">
      <c r="A6704" t="s">
        <v>8267</v>
      </c>
      <c r="B6704" s="2">
        <v>43207</v>
      </c>
      <c r="C6704" t="s">
        <v>1863</v>
      </c>
      <c r="D6704" t="s">
        <v>1804</v>
      </c>
    </row>
    <row r="6705" spans="1:4" x14ac:dyDescent="0.2">
      <c r="A6705" t="s">
        <v>8268</v>
      </c>
      <c r="B6705" s="2">
        <v>43215</v>
      </c>
      <c r="C6705" t="s">
        <v>2342</v>
      </c>
      <c r="D6705" t="s">
        <v>1810</v>
      </c>
    </row>
    <row r="6706" spans="1:4" x14ac:dyDescent="0.2">
      <c r="A6706" t="s">
        <v>8269</v>
      </c>
      <c r="B6706" s="2">
        <v>43060</v>
      </c>
      <c r="C6706" t="s">
        <v>1803</v>
      </c>
      <c r="D6706" t="s">
        <v>1804</v>
      </c>
    </row>
    <row r="6707" spans="1:4" x14ac:dyDescent="0.2">
      <c r="A6707" t="s">
        <v>8270</v>
      </c>
      <c r="B6707" s="2">
        <v>43027</v>
      </c>
      <c r="C6707" t="s">
        <v>1803</v>
      </c>
      <c r="D6707" t="s">
        <v>1804</v>
      </c>
    </row>
    <row r="6708" spans="1:4" x14ac:dyDescent="0.2">
      <c r="A6708" t="s">
        <v>8271</v>
      </c>
      <c r="B6708" s="2">
        <v>43117</v>
      </c>
      <c r="C6708" t="s">
        <v>1816</v>
      </c>
      <c r="D6708" t="s">
        <v>1810</v>
      </c>
    </row>
    <row r="6709" spans="1:4" x14ac:dyDescent="0.2">
      <c r="A6709" t="s">
        <v>8272</v>
      </c>
      <c r="B6709" s="2">
        <v>42975</v>
      </c>
      <c r="C6709" t="s">
        <v>2096</v>
      </c>
      <c r="D6709" t="s">
        <v>1807</v>
      </c>
    </row>
    <row r="6710" spans="1:4" x14ac:dyDescent="0.2">
      <c r="A6710" t="s">
        <v>8273</v>
      </c>
      <c r="B6710" s="2">
        <v>43234</v>
      </c>
      <c r="C6710" t="s">
        <v>2831</v>
      </c>
      <c r="D6710" t="s">
        <v>1829</v>
      </c>
    </row>
    <row r="6711" spans="1:4" x14ac:dyDescent="0.2">
      <c r="A6711" t="s">
        <v>8274</v>
      </c>
      <c r="B6711" s="2">
        <v>43049</v>
      </c>
      <c r="C6711" t="s">
        <v>1836</v>
      </c>
      <c r="D6711" t="s">
        <v>1807</v>
      </c>
    </row>
    <row r="6712" spans="1:4" x14ac:dyDescent="0.2">
      <c r="A6712" t="s">
        <v>8275</v>
      </c>
      <c r="B6712" s="2">
        <v>43116</v>
      </c>
      <c r="C6712" t="s">
        <v>1831</v>
      </c>
      <c r="D6712" t="s">
        <v>1810</v>
      </c>
    </row>
    <row r="6713" spans="1:4" x14ac:dyDescent="0.2">
      <c r="A6713" t="s">
        <v>1522</v>
      </c>
      <c r="B6713" s="2">
        <v>43242</v>
      </c>
      <c r="C6713" t="s">
        <v>1825</v>
      </c>
      <c r="D6713" t="s">
        <v>1813</v>
      </c>
    </row>
    <row r="6714" spans="1:4" x14ac:dyDescent="0.2">
      <c r="A6714" t="s">
        <v>8276</v>
      </c>
      <c r="B6714" s="2">
        <v>43223</v>
      </c>
      <c r="C6714" t="s">
        <v>2070</v>
      </c>
      <c r="D6714" t="s">
        <v>1810</v>
      </c>
    </row>
    <row r="6715" spans="1:4" x14ac:dyDescent="0.2">
      <c r="A6715" t="s">
        <v>8277</v>
      </c>
      <c r="B6715" s="2">
        <v>43208</v>
      </c>
      <c r="C6715" t="s">
        <v>1836</v>
      </c>
      <c r="D6715" t="s">
        <v>1810</v>
      </c>
    </row>
    <row r="6716" spans="1:4" x14ac:dyDescent="0.2">
      <c r="A6716" t="s">
        <v>1524</v>
      </c>
      <c r="B6716" s="2">
        <v>43215</v>
      </c>
      <c r="C6716" t="s">
        <v>2342</v>
      </c>
      <c r="D6716" t="s">
        <v>1810</v>
      </c>
    </row>
    <row r="6717" spans="1:4" x14ac:dyDescent="0.2">
      <c r="A6717" t="s">
        <v>8278</v>
      </c>
      <c r="B6717" s="2">
        <v>42942</v>
      </c>
      <c r="C6717" t="s">
        <v>1843</v>
      </c>
      <c r="D6717" t="s">
        <v>1807</v>
      </c>
    </row>
    <row r="6718" spans="1:4" x14ac:dyDescent="0.2">
      <c r="A6718" t="s">
        <v>8279</v>
      </c>
      <c r="B6718" s="2">
        <v>42997</v>
      </c>
      <c r="C6718" t="s">
        <v>2206</v>
      </c>
      <c r="D6718" t="s">
        <v>160</v>
      </c>
    </row>
    <row r="6719" spans="1:4" x14ac:dyDescent="0.2">
      <c r="A6719" t="s">
        <v>8280</v>
      </c>
      <c r="B6719" s="2">
        <v>43215</v>
      </c>
      <c r="C6719" t="s">
        <v>1836</v>
      </c>
      <c r="D6719" t="s">
        <v>1910</v>
      </c>
    </row>
    <row r="6720" spans="1:4" x14ac:dyDescent="0.2">
      <c r="A6720" t="s">
        <v>8281</v>
      </c>
      <c r="B6720" s="2">
        <v>43045</v>
      </c>
      <c r="C6720" t="s">
        <v>1816</v>
      </c>
      <c r="D6720" t="s">
        <v>1840</v>
      </c>
    </row>
    <row r="6721" spans="1:4" x14ac:dyDescent="0.2">
      <c r="A6721" t="s">
        <v>8282</v>
      </c>
      <c r="B6721" s="2">
        <v>43210</v>
      </c>
      <c r="C6721" t="s">
        <v>1836</v>
      </c>
      <c r="D6721" t="s">
        <v>1031</v>
      </c>
    </row>
    <row r="6722" spans="1:4" x14ac:dyDescent="0.2">
      <c r="A6722" t="s">
        <v>8283</v>
      </c>
      <c r="B6722" s="2">
        <v>43160</v>
      </c>
      <c r="C6722" t="s">
        <v>1816</v>
      </c>
      <c r="D6722" t="s">
        <v>1840</v>
      </c>
    </row>
    <row r="6723" spans="1:4" x14ac:dyDescent="0.2">
      <c r="A6723" t="s">
        <v>8284</v>
      </c>
      <c r="B6723" s="2">
        <v>43171</v>
      </c>
      <c r="C6723" t="s">
        <v>8285</v>
      </c>
      <c r="D6723" t="s">
        <v>1031</v>
      </c>
    </row>
    <row r="6724" spans="1:4" x14ac:dyDescent="0.2">
      <c r="A6724" t="s">
        <v>8286</v>
      </c>
      <c r="B6724" s="2">
        <v>42942</v>
      </c>
      <c r="C6724" t="s">
        <v>2679</v>
      </c>
      <c r="D6724" t="s">
        <v>1813</v>
      </c>
    </row>
    <row r="6725" spans="1:4" x14ac:dyDescent="0.2">
      <c r="A6725" t="s">
        <v>8287</v>
      </c>
      <c r="B6725" s="2">
        <v>43059</v>
      </c>
      <c r="C6725" t="s">
        <v>1836</v>
      </c>
      <c r="D6725" t="s">
        <v>1810</v>
      </c>
    </row>
    <row r="6726" spans="1:4" x14ac:dyDescent="0.2">
      <c r="A6726" t="s">
        <v>8288</v>
      </c>
      <c r="B6726" s="2">
        <v>43145</v>
      </c>
      <c r="C6726" t="s">
        <v>1836</v>
      </c>
      <c r="D6726" t="s">
        <v>1031</v>
      </c>
    </row>
    <row r="6727" spans="1:4" x14ac:dyDescent="0.2">
      <c r="A6727" t="s">
        <v>8289</v>
      </c>
      <c r="B6727" s="2">
        <v>42926</v>
      </c>
      <c r="C6727" t="s">
        <v>1880</v>
      </c>
      <c r="D6727" t="s">
        <v>1031</v>
      </c>
    </row>
    <row r="6728" spans="1:4" x14ac:dyDescent="0.2">
      <c r="A6728" t="s">
        <v>8290</v>
      </c>
      <c r="B6728" s="2">
        <v>43222</v>
      </c>
      <c r="C6728" t="s">
        <v>1816</v>
      </c>
      <c r="D6728" t="s">
        <v>1810</v>
      </c>
    </row>
    <row r="6729" spans="1:4" x14ac:dyDescent="0.2">
      <c r="A6729" t="s">
        <v>8291</v>
      </c>
      <c r="B6729" s="2">
        <v>43115</v>
      </c>
      <c r="C6729" t="s">
        <v>1905</v>
      </c>
      <c r="D6729" t="s">
        <v>1810</v>
      </c>
    </row>
    <row r="6730" spans="1:4" x14ac:dyDescent="0.2">
      <c r="A6730" t="s">
        <v>8292</v>
      </c>
      <c r="B6730" s="2">
        <v>43040</v>
      </c>
      <c r="C6730" t="s">
        <v>3194</v>
      </c>
      <c r="D6730" t="s">
        <v>1807</v>
      </c>
    </row>
    <row r="6731" spans="1:4" x14ac:dyDescent="0.2">
      <c r="A6731" t="s">
        <v>8293</v>
      </c>
      <c r="B6731" s="2">
        <v>43231</v>
      </c>
      <c r="C6731" t="s">
        <v>1836</v>
      </c>
      <c r="D6731" t="s">
        <v>1031</v>
      </c>
    </row>
    <row r="6732" spans="1:4" x14ac:dyDescent="0.2">
      <c r="A6732" t="s">
        <v>8294</v>
      </c>
      <c r="B6732" s="2">
        <v>42992</v>
      </c>
      <c r="C6732" t="s">
        <v>1836</v>
      </c>
      <c r="D6732" t="s">
        <v>1031</v>
      </c>
    </row>
    <row r="6733" spans="1:4" x14ac:dyDescent="0.2">
      <c r="A6733" t="s">
        <v>8295</v>
      </c>
      <c r="B6733" s="2">
        <v>43239</v>
      </c>
      <c r="C6733" t="s">
        <v>1832</v>
      </c>
      <c r="D6733" t="s">
        <v>1807</v>
      </c>
    </row>
    <row r="6734" spans="1:4" x14ac:dyDescent="0.2">
      <c r="A6734" t="s">
        <v>8296</v>
      </c>
      <c r="B6734" s="2">
        <v>43186</v>
      </c>
      <c r="C6734" t="s">
        <v>2303</v>
      </c>
      <c r="D6734" t="s">
        <v>1840</v>
      </c>
    </row>
    <row r="6735" spans="1:4" x14ac:dyDescent="0.2">
      <c r="A6735" t="s">
        <v>8297</v>
      </c>
      <c r="B6735" s="2">
        <v>43151</v>
      </c>
      <c r="C6735" t="s">
        <v>1803</v>
      </c>
      <c r="D6735" t="s">
        <v>1804</v>
      </c>
    </row>
    <row r="6736" spans="1:4" x14ac:dyDescent="0.2">
      <c r="A6736" t="s">
        <v>8298</v>
      </c>
      <c r="B6736" s="2">
        <v>43062</v>
      </c>
      <c r="C6736" t="s">
        <v>1885</v>
      </c>
      <c r="D6736" t="s">
        <v>1807</v>
      </c>
    </row>
    <row r="6737" spans="1:4" x14ac:dyDescent="0.2">
      <c r="A6737" t="s">
        <v>8299</v>
      </c>
      <c r="B6737" s="2">
        <v>43122</v>
      </c>
      <c r="C6737" t="s">
        <v>1812</v>
      </c>
      <c r="D6737" t="s">
        <v>1813</v>
      </c>
    </row>
    <row r="6738" spans="1:4" x14ac:dyDescent="0.2">
      <c r="A6738" t="s">
        <v>1526</v>
      </c>
      <c r="B6738" s="2">
        <v>43208</v>
      </c>
      <c r="C6738" t="s">
        <v>1836</v>
      </c>
      <c r="D6738" t="s">
        <v>1031</v>
      </c>
    </row>
    <row r="6739" spans="1:4" x14ac:dyDescent="0.2">
      <c r="A6739" t="s">
        <v>1528</v>
      </c>
      <c r="B6739" s="2">
        <v>43193</v>
      </c>
      <c r="C6739" t="s">
        <v>1816</v>
      </c>
      <c r="D6739" t="s">
        <v>1810</v>
      </c>
    </row>
    <row r="6740" spans="1:4" x14ac:dyDescent="0.2">
      <c r="A6740" t="s">
        <v>8300</v>
      </c>
      <c r="B6740" s="2">
        <v>43175</v>
      </c>
      <c r="C6740" t="s">
        <v>1905</v>
      </c>
      <c r="D6740" t="s">
        <v>1807</v>
      </c>
    </row>
    <row r="6741" spans="1:4" x14ac:dyDescent="0.2">
      <c r="A6741" t="s">
        <v>1530</v>
      </c>
      <c r="B6741" s="2">
        <v>43094</v>
      </c>
      <c r="C6741" t="s">
        <v>1809</v>
      </c>
      <c r="D6741" t="s">
        <v>1810</v>
      </c>
    </row>
    <row r="6742" spans="1:4" x14ac:dyDescent="0.2">
      <c r="A6742" t="s">
        <v>8301</v>
      </c>
      <c r="B6742" s="2">
        <v>43242</v>
      </c>
      <c r="C6742" t="s">
        <v>1816</v>
      </c>
      <c r="D6742" t="s">
        <v>1810</v>
      </c>
    </row>
    <row r="6743" spans="1:4" x14ac:dyDescent="0.2">
      <c r="A6743" t="s">
        <v>8302</v>
      </c>
      <c r="B6743" s="2">
        <v>43112</v>
      </c>
      <c r="C6743" t="s">
        <v>1867</v>
      </c>
      <c r="D6743" t="s">
        <v>1804</v>
      </c>
    </row>
    <row r="6744" spans="1:4" x14ac:dyDescent="0.2">
      <c r="A6744" t="s">
        <v>8303</v>
      </c>
      <c r="B6744" s="2">
        <v>43243</v>
      </c>
      <c r="C6744" t="s">
        <v>1816</v>
      </c>
      <c r="D6744" t="s">
        <v>1829</v>
      </c>
    </row>
    <row r="6745" spans="1:4" x14ac:dyDescent="0.2">
      <c r="A6745" t="s">
        <v>8304</v>
      </c>
      <c r="B6745" s="2">
        <v>43251</v>
      </c>
      <c r="C6745" t="s">
        <v>1930</v>
      </c>
      <c r="D6745" t="s">
        <v>1807</v>
      </c>
    </row>
    <row r="6746" spans="1:4" x14ac:dyDescent="0.2">
      <c r="A6746" t="s">
        <v>8305</v>
      </c>
      <c r="B6746" s="2">
        <v>43235</v>
      </c>
      <c r="C6746" t="s">
        <v>1816</v>
      </c>
      <c r="D6746" t="s">
        <v>1807</v>
      </c>
    </row>
    <row r="6747" spans="1:4" x14ac:dyDescent="0.2">
      <c r="A6747" t="s">
        <v>8306</v>
      </c>
      <c r="B6747" s="2">
        <v>43196</v>
      </c>
      <c r="C6747" t="s">
        <v>1905</v>
      </c>
      <c r="D6747" t="s">
        <v>1810</v>
      </c>
    </row>
    <row r="6748" spans="1:4" x14ac:dyDescent="0.2">
      <c r="A6748" t="s">
        <v>8307</v>
      </c>
      <c r="B6748" s="2">
        <v>43188</v>
      </c>
      <c r="C6748" t="s">
        <v>1867</v>
      </c>
      <c r="D6748" t="s">
        <v>1810</v>
      </c>
    </row>
    <row r="6749" spans="1:4" x14ac:dyDescent="0.2">
      <c r="A6749" t="s">
        <v>8308</v>
      </c>
      <c r="B6749" s="2">
        <v>43157</v>
      </c>
      <c r="C6749" t="s">
        <v>2344</v>
      </c>
      <c r="D6749" t="s">
        <v>1810</v>
      </c>
    </row>
    <row r="6750" spans="1:4" x14ac:dyDescent="0.2">
      <c r="A6750" t="s">
        <v>8309</v>
      </c>
      <c r="B6750" s="2">
        <v>42968</v>
      </c>
      <c r="C6750" t="s">
        <v>3161</v>
      </c>
      <c r="D6750" t="s">
        <v>1810</v>
      </c>
    </row>
    <row r="6751" spans="1:4" x14ac:dyDescent="0.2">
      <c r="A6751" t="s">
        <v>8310</v>
      </c>
      <c r="B6751" s="2">
        <v>43156</v>
      </c>
      <c r="C6751" t="s">
        <v>1803</v>
      </c>
      <c r="D6751" t="s">
        <v>1804</v>
      </c>
    </row>
    <row r="6752" spans="1:4" x14ac:dyDescent="0.2">
      <c r="A6752" t="s">
        <v>8311</v>
      </c>
      <c r="B6752" s="2">
        <v>43174</v>
      </c>
      <c r="C6752" t="s">
        <v>2048</v>
      </c>
      <c r="D6752" t="s">
        <v>1807</v>
      </c>
    </row>
    <row r="6753" spans="1:4" x14ac:dyDescent="0.2">
      <c r="A6753" t="s">
        <v>8312</v>
      </c>
      <c r="B6753" s="2">
        <v>43030</v>
      </c>
      <c r="C6753" t="s">
        <v>1816</v>
      </c>
      <c r="D6753" t="s">
        <v>1810</v>
      </c>
    </row>
    <row r="6754" spans="1:4" x14ac:dyDescent="0.2">
      <c r="A6754" t="s">
        <v>8313</v>
      </c>
      <c r="B6754" s="2">
        <v>43163</v>
      </c>
      <c r="C6754" t="s">
        <v>1806</v>
      </c>
      <c r="D6754" t="s">
        <v>1810</v>
      </c>
    </row>
    <row r="6755" spans="1:4" x14ac:dyDescent="0.2">
      <c r="A6755" t="s">
        <v>8314</v>
      </c>
      <c r="B6755" s="2">
        <v>43146</v>
      </c>
      <c r="C6755" t="s">
        <v>1836</v>
      </c>
      <c r="D6755" t="s">
        <v>1810</v>
      </c>
    </row>
    <row r="6756" spans="1:4" x14ac:dyDescent="0.2">
      <c r="A6756" t="s">
        <v>8315</v>
      </c>
      <c r="B6756" s="2">
        <v>43061</v>
      </c>
      <c r="C6756" t="s">
        <v>2152</v>
      </c>
      <c r="D6756" t="s">
        <v>1813</v>
      </c>
    </row>
    <row r="6757" spans="1:4" x14ac:dyDescent="0.2">
      <c r="A6757" t="s">
        <v>8316</v>
      </c>
      <c r="B6757" s="2">
        <v>43234</v>
      </c>
      <c r="C6757" t="s">
        <v>1831</v>
      </c>
      <c r="D6757" t="s">
        <v>160</v>
      </c>
    </row>
    <row r="6758" spans="1:4" x14ac:dyDescent="0.2">
      <c r="A6758" t="s">
        <v>8317</v>
      </c>
      <c r="B6758" s="2">
        <v>43124</v>
      </c>
      <c r="C6758" t="s">
        <v>1812</v>
      </c>
      <c r="D6758" t="s">
        <v>160</v>
      </c>
    </row>
    <row r="6759" spans="1:4" x14ac:dyDescent="0.2">
      <c r="A6759" t="s">
        <v>1532</v>
      </c>
      <c r="B6759" s="2">
        <v>43215</v>
      </c>
      <c r="C6759" t="s">
        <v>1998</v>
      </c>
      <c r="D6759" t="s">
        <v>1807</v>
      </c>
    </row>
    <row r="6760" spans="1:4" x14ac:dyDescent="0.2">
      <c r="A6760" t="s">
        <v>1534</v>
      </c>
      <c r="B6760" s="2">
        <v>42963</v>
      </c>
      <c r="C6760" t="s">
        <v>1894</v>
      </c>
      <c r="D6760" t="s">
        <v>1804</v>
      </c>
    </row>
    <row r="6761" spans="1:4" x14ac:dyDescent="0.2">
      <c r="A6761" t="s">
        <v>8318</v>
      </c>
      <c r="B6761" s="2">
        <v>43244</v>
      </c>
      <c r="C6761" t="s">
        <v>1827</v>
      </c>
      <c r="D6761" t="s">
        <v>1810</v>
      </c>
    </row>
    <row r="6762" spans="1:4" x14ac:dyDescent="0.2">
      <c r="A6762" t="s">
        <v>8319</v>
      </c>
      <c r="B6762" s="2">
        <v>43135</v>
      </c>
      <c r="C6762" t="s">
        <v>1816</v>
      </c>
      <c r="D6762" t="s">
        <v>1810</v>
      </c>
    </row>
    <row r="6763" spans="1:4" x14ac:dyDescent="0.2">
      <c r="A6763" t="s">
        <v>8320</v>
      </c>
      <c r="B6763" s="2">
        <v>43030</v>
      </c>
      <c r="C6763" t="s">
        <v>1907</v>
      </c>
      <c r="D6763" t="s">
        <v>1810</v>
      </c>
    </row>
    <row r="6764" spans="1:4" x14ac:dyDescent="0.2">
      <c r="A6764" t="s">
        <v>8321</v>
      </c>
      <c r="B6764" s="2">
        <v>43132</v>
      </c>
      <c r="C6764" t="s">
        <v>1816</v>
      </c>
      <c r="D6764" t="s">
        <v>1813</v>
      </c>
    </row>
    <row r="6765" spans="1:4" x14ac:dyDescent="0.2">
      <c r="A6765" t="s">
        <v>8322</v>
      </c>
      <c r="B6765" s="2">
        <v>43224</v>
      </c>
      <c r="C6765" t="s">
        <v>1857</v>
      </c>
      <c r="D6765" t="s">
        <v>1804</v>
      </c>
    </row>
    <row r="6766" spans="1:4" x14ac:dyDescent="0.2">
      <c r="A6766" t="s">
        <v>8323</v>
      </c>
      <c r="B6766" s="2">
        <v>43214</v>
      </c>
      <c r="C6766" t="s">
        <v>1836</v>
      </c>
      <c r="D6766" t="s">
        <v>1031</v>
      </c>
    </row>
    <row r="6767" spans="1:4" x14ac:dyDescent="0.2">
      <c r="A6767" t="s">
        <v>8324</v>
      </c>
      <c r="B6767" s="2">
        <v>43122</v>
      </c>
      <c r="C6767" t="s">
        <v>1812</v>
      </c>
      <c r="D6767" t="s">
        <v>1849</v>
      </c>
    </row>
    <row r="6768" spans="1:4" x14ac:dyDescent="0.2">
      <c r="A6768" t="s">
        <v>8325</v>
      </c>
      <c r="B6768" s="2">
        <v>43111</v>
      </c>
      <c r="C6768" t="s">
        <v>1867</v>
      </c>
      <c r="D6768" t="s">
        <v>1804</v>
      </c>
    </row>
    <row r="6769" spans="1:4" x14ac:dyDescent="0.2">
      <c r="A6769" t="s">
        <v>1536</v>
      </c>
      <c r="B6769" s="2">
        <v>43129</v>
      </c>
      <c r="C6769" t="s">
        <v>1836</v>
      </c>
      <c r="D6769" t="s">
        <v>1031</v>
      </c>
    </row>
    <row r="6770" spans="1:4" x14ac:dyDescent="0.2">
      <c r="A6770" t="s">
        <v>8326</v>
      </c>
      <c r="B6770" s="2">
        <v>43216</v>
      </c>
      <c r="C6770" t="s">
        <v>1836</v>
      </c>
      <c r="D6770" t="s">
        <v>1031</v>
      </c>
    </row>
    <row r="6771" spans="1:4" x14ac:dyDescent="0.2">
      <c r="A6771" t="s">
        <v>8327</v>
      </c>
      <c r="B6771" s="2">
        <v>43146</v>
      </c>
      <c r="C6771" t="s">
        <v>4092</v>
      </c>
      <c r="D6771" t="s">
        <v>1804</v>
      </c>
    </row>
    <row r="6772" spans="1:4" x14ac:dyDescent="0.2">
      <c r="A6772" t="s">
        <v>8328</v>
      </c>
      <c r="B6772" s="2">
        <v>43032</v>
      </c>
      <c r="C6772" t="s">
        <v>1825</v>
      </c>
      <c r="D6772" t="s">
        <v>1807</v>
      </c>
    </row>
    <row r="6773" spans="1:4" x14ac:dyDescent="0.2">
      <c r="A6773" t="s">
        <v>8329</v>
      </c>
      <c r="B6773" s="2">
        <v>43214</v>
      </c>
      <c r="C6773" t="s">
        <v>1867</v>
      </c>
      <c r="D6773" t="s">
        <v>1849</v>
      </c>
    </row>
    <row r="6774" spans="1:4" x14ac:dyDescent="0.2">
      <c r="A6774" t="s">
        <v>8330</v>
      </c>
      <c r="B6774" s="2">
        <v>43134</v>
      </c>
      <c r="C6774" t="s">
        <v>1816</v>
      </c>
      <c r="D6774" t="s">
        <v>1810</v>
      </c>
    </row>
    <row r="6775" spans="1:4" x14ac:dyDescent="0.2">
      <c r="A6775" t="s">
        <v>8331</v>
      </c>
      <c r="B6775" s="2">
        <v>43246</v>
      </c>
      <c r="C6775" t="s">
        <v>1930</v>
      </c>
      <c r="D6775" t="s">
        <v>1807</v>
      </c>
    </row>
    <row r="6776" spans="1:4" x14ac:dyDescent="0.2">
      <c r="A6776" t="s">
        <v>8332</v>
      </c>
      <c r="B6776" s="2">
        <v>43179</v>
      </c>
      <c r="C6776" t="s">
        <v>1863</v>
      </c>
      <c r="D6776" t="s">
        <v>1810</v>
      </c>
    </row>
    <row r="6777" spans="1:4" x14ac:dyDescent="0.2">
      <c r="A6777" t="s">
        <v>8333</v>
      </c>
      <c r="B6777" s="2">
        <v>43154</v>
      </c>
      <c r="C6777" t="s">
        <v>1825</v>
      </c>
      <c r="D6777" t="s">
        <v>1810</v>
      </c>
    </row>
    <row r="6778" spans="1:4" x14ac:dyDescent="0.2">
      <c r="A6778" t="s">
        <v>8334</v>
      </c>
      <c r="B6778" s="2">
        <v>43175</v>
      </c>
      <c r="C6778" t="s">
        <v>1993</v>
      </c>
      <c r="D6778" t="s">
        <v>1031</v>
      </c>
    </row>
    <row r="6779" spans="1:4" x14ac:dyDescent="0.2">
      <c r="A6779" t="s">
        <v>8335</v>
      </c>
      <c r="B6779" s="2">
        <v>43216</v>
      </c>
      <c r="C6779" t="s">
        <v>1816</v>
      </c>
      <c r="D6779" t="s">
        <v>1807</v>
      </c>
    </row>
    <row r="6780" spans="1:4" x14ac:dyDescent="0.2">
      <c r="A6780" t="s">
        <v>8336</v>
      </c>
      <c r="B6780" s="2">
        <v>43236</v>
      </c>
      <c r="C6780" t="s">
        <v>8337</v>
      </c>
      <c r="D6780" t="s">
        <v>1807</v>
      </c>
    </row>
    <row r="6781" spans="1:4" x14ac:dyDescent="0.2">
      <c r="A6781" t="s">
        <v>8338</v>
      </c>
      <c r="B6781" s="2">
        <v>42982</v>
      </c>
      <c r="C6781" t="s">
        <v>1894</v>
      </c>
      <c r="D6781" t="s">
        <v>1804</v>
      </c>
    </row>
    <row r="6782" spans="1:4" x14ac:dyDescent="0.2">
      <c r="A6782" t="s">
        <v>8339</v>
      </c>
      <c r="B6782" s="2">
        <v>43138</v>
      </c>
      <c r="C6782" t="s">
        <v>2196</v>
      </c>
      <c r="D6782" t="s">
        <v>1810</v>
      </c>
    </row>
    <row r="6783" spans="1:4" x14ac:dyDescent="0.2">
      <c r="A6783" t="s">
        <v>8340</v>
      </c>
      <c r="B6783" s="2">
        <v>43014</v>
      </c>
      <c r="C6783" t="s">
        <v>2242</v>
      </c>
      <c r="D6783" t="s">
        <v>1807</v>
      </c>
    </row>
    <row r="6784" spans="1:4" x14ac:dyDescent="0.2">
      <c r="A6784" t="s">
        <v>8341</v>
      </c>
      <c r="B6784" s="2">
        <v>43195</v>
      </c>
      <c r="C6784" t="s">
        <v>1831</v>
      </c>
      <c r="D6784" t="s">
        <v>160</v>
      </c>
    </row>
    <row r="6785" spans="1:4" x14ac:dyDescent="0.2">
      <c r="A6785" t="s">
        <v>8342</v>
      </c>
      <c r="B6785" s="2">
        <v>42998</v>
      </c>
      <c r="C6785" t="s">
        <v>4463</v>
      </c>
      <c r="D6785" t="s">
        <v>1810</v>
      </c>
    </row>
    <row r="6786" spans="1:4" x14ac:dyDescent="0.2">
      <c r="A6786" t="s">
        <v>8343</v>
      </c>
      <c r="B6786" s="2">
        <v>43243</v>
      </c>
      <c r="C6786" t="s">
        <v>1816</v>
      </c>
      <c r="D6786" t="s">
        <v>1840</v>
      </c>
    </row>
    <row r="6787" spans="1:4" x14ac:dyDescent="0.2">
      <c r="A6787" t="s">
        <v>8344</v>
      </c>
      <c r="B6787" s="2">
        <v>43199</v>
      </c>
      <c r="C6787" t="s">
        <v>1905</v>
      </c>
      <c r="D6787" t="s">
        <v>1807</v>
      </c>
    </row>
    <row r="6788" spans="1:4" x14ac:dyDescent="0.2">
      <c r="A6788" t="s">
        <v>8345</v>
      </c>
      <c r="B6788" s="2">
        <v>43196</v>
      </c>
      <c r="C6788" t="s">
        <v>1827</v>
      </c>
      <c r="D6788" t="s">
        <v>1807</v>
      </c>
    </row>
    <row r="6789" spans="1:4" x14ac:dyDescent="0.2">
      <c r="A6789" t="s">
        <v>1538</v>
      </c>
      <c r="B6789" s="2">
        <v>43142</v>
      </c>
      <c r="C6789" t="s">
        <v>1803</v>
      </c>
      <c r="D6789" t="s">
        <v>1804</v>
      </c>
    </row>
    <row r="6790" spans="1:4" x14ac:dyDescent="0.2">
      <c r="A6790" t="s">
        <v>8346</v>
      </c>
      <c r="B6790" s="2">
        <v>43095</v>
      </c>
      <c r="C6790" t="s">
        <v>1803</v>
      </c>
      <c r="D6790" t="s">
        <v>1804</v>
      </c>
    </row>
    <row r="6791" spans="1:4" x14ac:dyDescent="0.2">
      <c r="A6791" t="s">
        <v>8347</v>
      </c>
      <c r="B6791" s="2">
        <v>43242</v>
      </c>
      <c r="C6791" t="s">
        <v>1863</v>
      </c>
      <c r="D6791" t="s">
        <v>1804</v>
      </c>
    </row>
    <row r="6792" spans="1:4" x14ac:dyDescent="0.2">
      <c r="A6792" t="s">
        <v>8348</v>
      </c>
      <c r="B6792" s="2">
        <v>43041</v>
      </c>
      <c r="C6792" t="s">
        <v>2303</v>
      </c>
      <c r="D6792" t="s">
        <v>1810</v>
      </c>
    </row>
    <row r="6793" spans="1:4" x14ac:dyDescent="0.2">
      <c r="A6793" t="s">
        <v>8349</v>
      </c>
      <c r="B6793" s="2">
        <v>42983</v>
      </c>
      <c r="C6793" t="s">
        <v>1894</v>
      </c>
      <c r="D6793" t="s">
        <v>1804</v>
      </c>
    </row>
    <row r="6794" spans="1:4" x14ac:dyDescent="0.2">
      <c r="A6794" t="s">
        <v>8350</v>
      </c>
      <c r="B6794" s="2">
        <v>42998</v>
      </c>
      <c r="C6794" t="s">
        <v>1905</v>
      </c>
      <c r="D6794" t="s">
        <v>1807</v>
      </c>
    </row>
    <row r="6795" spans="1:4" x14ac:dyDescent="0.2">
      <c r="A6795" t="s">
        <v>1540</v>
      </c>
      <c r="B6795" s="2">
        <v>43143</v>
      </c>
      <c r="C6795" t="s">
        <v>1803</v>
      </c>
      <c r="D6795" t="s">
        <v>1804</v>
      </c>
    </row>
    <row r="6796" spans="1:4" x14ac:dyDescent="0.2">
      <c r="A6796" t="s">
        <v>8351</v>
      </c>
      <c r="B6796" s="2">
        <v>43169</v>
      </c>
      <c r="C6796" t="s">
        <v>1803</v>
      </c>
      <c r="D6796" t="s">
        <v>1804</v>
      </c>
    </row>
    <row r="6797" spans="1:4" x14ac:dyDescent="0.2">
      <c r="A6797" t="s">
        <v>1542</v>
      </c>
      <c r="B6797" s="2">
        <v>43137</v>
      </c>
      <c r="C6797" t="s">
        <v>1930</v>
      </c>
      <c r="D6797" t="s">
        <v>1807</v>
      </c>
    </row>
    <row r="6798" spans="1:4" x14ac:dyDescent="0.2">
      <c r="A6798" t="s">
        <v>8352</v>
      </c>
      <c r="B6798" s="2">
        <v>43116</v>
      </c>
      <c r="C6798" t="s">
        <v>1930</v>
      </c>
      <c r="D6798" t="s">
        <v>1807</v>
      </c>
    </row>
    <row r="6799" spans="1:4" x14ac:dyDescent="0.2">
      <c r="A6799" t="s">
        <v>8353</v>
      </c>
      <c r="B6799" s="2">
        <v>43243</v>
      </c>
      <c r="C6799" t="s">
        <v>1816</v>
      </c>
      <c r="D6799" t="s">
        <v>1810</v>
      </c>
    </row>
    <row r="6800" spans="1:4" x14ac:dyDescent="0.2">
      <c r="A6800" t="s">
        <v>8354</v>
      </c>
      <c r="B6800" s="2">
        <v>43152</v>
      </c>
      <c r="C6800" t="s">
        <v>1836</v>
      </c>
      <c r="D6800" t="s">
        <v>1031</v>
      </c>
    </row>
    <row r="6801" spans="1:4" x14ac:dyDescent="0.2">
      <c r="A6801" t="s">
        <v>8355</v>
      </c>
      <c r="B6801" s="2">
        <v>43103</v>
      </c>
      <c r="C6801" t="s">
        <v>1806</v>
      </c>
      <c r="D6801" t="s">
        <v>1807</v>
      </c>
    </row>
    <row r="6802" spans="1:4" x14ac:dyDescent="0.2">
      <c r="A6802" t="s">
        <v>8356</v>
      </c>
      <c r="B6802" s="2">
        <v>43080</v>
      </c>
      <c r="C6802" t="s">
        <v>3457</v>
      </c>
      <c r="D6802" t="s">
        <v>1813</v>
      </c>
    </row>
    <row r="6803" spans="1:4" x14ac:dyDescent="0.2">
      <c r="A6803" t="s">
        <v>8357</v>
      </c>
      <c r="B6803" s="2">
        <v>42971</v>
      </c>
      <c r="C6803" t="s">
        <v>1964</v>
      </c>
      <c r="D6803" t="s">
        <v>1807</v>
      </c>
    </row>
    <row r="6804" spans="1:4" x14ac:dyDescent="0.2">
      <c r="A6804" t="s">
        <v>8358</v>
      </c>
      <c r="B6804" s="2">
        <v>43147</v>
      </c>
      <c r="C6804" t="s">
        <v>2048</v>
      </c>
      <c r="D6804" t="s">
        <v>1807</v>
      </c>
    </row>
    <row r="6805" spans="1:4" x14ac:dyDescent="0.2">
      <c r="A6805" t="s">
        <v>8359</v>
      </c>
      <c r="B6805" s="2">
        <v>43158</v>
      </c>
      <c r="C6805" t="s">
        <v>2187</v>
      </c>
      <c r="D6805" t="s">
        <v>1810</v>
      </c>
    </row>
    <row r="6806" spans="1:4" x14ac:dyDescent="0.2">
      <c r="A6806" t="s">
        <v>8360</v>
      </c>
      <c r="B6806" s="2">
        <v>43128</v>
      </c>
      <c r="C6806" t="s">
        <v>1803</v>
      </c>
      <c r="D6806" t="s">
        <v>1804</v>
      </c>
    </row>
    <row r="6807" spans="1:4" x14ac:dyDescent="0.2">
      <c r="A6807" t="s">
        <v>8361</v>
      </c>
      <c r="B6807" s="2">
        <v>43062</v>
      </c>
      <c r="C6807" t="s">
        <v>1816</v>
      </c>
      <c r="D6807" t="s">
        <v>1810</v>
      </c>
    </row>
    <row r="6808" spans="1:4" x14ac:dyDescent="0.2">
      <c r="A6808" t="s">
        <v>1544</v>
      </c>
      <c r="B6808" s="2">
        <v>43202</v>
      </c>
      <c r="C6808" t="s">
        <v>1816</v>
      </c>
      <c r="D6808" t="s">
        <v>1810</v>
      </c>
    </row>
    <row r="6809" spans="1:4" x14ac:dyDescent="0.2">
      <c r="A6809" t="s">
        <v>8362</v>
      </c>
      <c r="B6809" s="2">
        <v>43137</v>
      </c>
      <c r="C6809" t="s">
        <v>1831</v>
      </c>
      <c r="D6809" t="s">
        <v>160</v>
      </c>
    </row>
    <row r="6810" spans="1:4" x14ac:dyDescent="0.2">
      <c r="A6810" t="s">
        <v>8363</v>
      </c>
      <c r="B6810" s="2">
        <v>43223</v>
      </c>
      <c r="C6810" t="s">
        <v>2070</v>
      </c>
      <c r="D6810" t="s">
        <v>1810</v>
      </c>
    </row>
    <row r="6811" spans="1:4" x14ac:dyDescent="0.2">
      <c r="A6811" t="s">
        <v>8364</v>
      </c>
      <c r="B6811" s="2">
        <v>43207</v>
      </c>
      <c r="C6811" t="s">
        <v>4290</v>
      </c>
      <c r="D6811" t="s">
        <v>1810</v>
      </c>
    </row>
    <row r="6812" spans="1:4" x14ac:dyDescent="0.2">
      <c r="A6812" t="s">
        <v>8365</v>
      </c>
      <c r="B6812" s="2">
        <v>43151</v>
      </c>
      <c r="C6812" t="s">
        <v>1816</v>
      </c>
      <c r="D6812" t="s">
        <v>1810</v>
      </c>
    </row>
    <row r="6813" spans="1:4" x14ac:dyDescent="0.2">
      <c r="A6813" t="s">
        <v>8366</v>
      </c>
      <c r="B6813" s="2">
        <v>43155</v>
      </c>
      <c r="C6813" t="s">
        <v>1825</v>
      </c>
      <c r="D6813" t="s">
        <v>1810</v>
      </c>
    </row>
    <row r="6814" spans="1:4" x14ac:dyDescent="0.2">
      <c r="A6814" t="s">
        <v>8367</v>
      </c>
      <c r="B6814" s="2">
        <v>43223</v>
      </c>
      <c r="C6814" t="s">
        <v>1863</v>
      </c>
      <c r="D6814" t="s">
        <v>1804</v>
      </c>
    </row>
    <row r="6815" spans="1:4" x14ac:dyDescent="0.2">
      <c r="A6815" t="s">
        <v>8368</v>
      </c>
      <c r="B6815" s="2">
        <v>43195</v>
      </c>
      <c r="C6815" t="s">
        <v>1836</v>
      </c>
      <c r="D6815" t="s">
        <v>1031</v>
      </c>
    </row>
    <row r="6816" spans="1:4" x14ac:dyDescent="0.2">
      <c r="A6816" t="s">
        <v>8369</v>
      </c>
      <c r="B6816" s="2">
        <v>43138</v>
      </c>
      <c r="C6816" t="s">
        <v>1836</v>
      </c>
      <c r="D6816" t="s">
        <v>1804</v>
      </c>
    </row>
    <row r="6817" spans="1:4" x14ac:dyDescent="0.2">
      <c r="A6817" t="s">
        <v>1546</v>
      </c>
      <c r="B6817" s="2">
        <v>43235</v>
      </c>
      <c r="C6817" t="s">
        <v>1816</v>
      </c>
      <c r="D6817" t="s">
        <v>1810</v>
      </c>
    </row>
    <row r="6818" spans="1:4" x14ac:dyDescent="0.2">
      <c r="A6818" t="s">
        <v>8370</v>
      </c>
      <c r="B6818" s="2">
        <v>43122</v>
      </c>
      <c r="C6818" t="s">
        <v>1825</v>
      </c>
      <c r="D6818" t="s">
        <v>1810</v>
      </c>
    </row>
    <row r="6819" spans="1:4" x14ac:dyDescent="0.2">
      <c r="A6819" t="s">
        <v>8371</v>
      </c>
      <c r="B6819" s="2">
        <v>43180</v>
      </c>
      <c r="C6819" t="s">
        <v>4061</v>
      </c>
      <c r="D6819" t="s">
        <v>1807</v>
      </c>
    </row>
    <row r="6820" spans="1:4" x14ac:dyDescent="0.2">
      <c r="A6820" t="s">
        <v>1548</v>
      </c>
      <c r="B6820" s="2">
        <v>43216</v>
      </c>
      <c r="C6820" t="s">
        <v>1816</v>
      </c>
      <c r="D6820" t="s">
        <v>1840</v>
      </c>
    </row>
    <row r="6821" spans="1:4" x14ac:dyDescent="0.2">
      <c r="A6821" t="s">
        <v>8372</v>
      </c>
      <c r="B6821" s="2">
        <v>43107</v>
      </c>
      <c r="C6821" t="s">
        <v>1930</v>
      </c>
      <c r="D6821" t="s">
        <v>1807</v>
      </c>
    </row>
    <row r="6822" spans="1:4" x14ac:dyDescent="0.2">
      <c r="A6822" t="s">
        <v>8373</v>
      </c>
      <c r="B6822" s="2">
        <v>43232</v>
      </c>
      <c r="C6822" t="s">
        <v>6080</v>
      </c>
      <c r="D6822" t="s">
        <v>1807</v>
      </c>
    </row>
    <row r="6823" spans="1:4" x14ac:dyDescent="0.2">
      <c r="A6823" t="s">
        <v>8374</v>
      </c>
      <c r="B6823" s="2">
        <v>43192</v>
      </c>
      <c r="C6823" t="s">
        <v>1863</v>
      </c>
      <c r="D6823" t="s">
        <v>1804</v>
      </c>
    </row>
    <row r="6824" spans="1:4" x14ac:dyDescent="0.2">
      <c r="A6824" t="s">
        <v>8375</v>
      </c>
      <c r="B6824" s="2">
        <v>43249</v>
      </c>
      <c r="C6824" t="s">
        <v>1863</v>
      </c>
      <c r="D6824" t="s">
        <v>1804</v>
      </c>
    </row>
    <row r="6825" spans="1:4" x14ac:dyDescent="0.2">
      <c r="A6825" t="s">
        <v>8376</v>
      </c>
      <c r="B6825" s="2">
        <v>43022</v>
      </c>
      <c r="C6825" t="s">
        <v>1803</v>
      </c>
      <c r="D6825" t="s">
        <v>1804</v>
      </c>
    </row>
    <row r="6826" spans="1:4" x14ac:dyDescent="0.2">
      <c r="A6826" t="s">
        <v>8377</v>
      </c>
      <c r="B6826" s="2">
        <v>43216</v>
      </c>
      <c r="C6826" t="s">
        <v>1909</v>
      </c>
      <c r="D6826" t="s">
        <v>1804</v>
      </c>
    </row>
    <row r="6827" spans="1:4" x14ac:dyDescent="0.2">
      <c r="A6827" t="s">
        <v>8378</v>
      </c>
      <c r="B6827" s="2">
        <v>43145</v>
      </c>
      <c r="C6827" t="s">
        <v>1907</v>
      </c>
      <c r="D6827" t="s">
        <v>1807</v>
      </c>
    </row>
    <row r="6828" spans="1:4" x14ac:dyDescent="0.2">
      <c r="A6828" t="s">
        <v>8379</v>
      </c>
      <c r="B6828" s="2">
        <v>43171</v>
      </c>
      <c r="C6828" t="s">
        <v>8380</v>
      </c>
      <c r="D6828" t="s">
        <v>1804</v>
      </c>
    </row>
    <row r="6829" spans="1:4" x14ac:dyDescent="0.2">
      <c r="A6829" t="s">
        <v>8381</v>
      </c>
      <c r="B6829" s="2">
        <v>43165</v>
      </c>
      <c r="C6829" t="s">
        <v>1930</v>
      </c>
      <c r="D6829" t="s">
        <v>1807</v>
      </c>
    </row>
    <row r="6830" spans="1:4" x14ac:dyDescent="0.2">
      <c r="A6830" t="s">
        <v>8382</v>
      </c>
      <c r="B6830" s="2">
        <v>43136</v>
      </c>
      <c r="C6830" t="s">
        <v>1854</v>
      </c>
      <c r="D6830" t="s">
        <v>1810</v>
      </c>
    </row>
    <row r="6831" spans="1:4" x14ac:dyDescent="0.2">
      <c r="A6831" t="s">
        <v>8383</v>
      </c>
      <c r="B6831" s="2">
        <v>43215</v>
      </c>
      <c r="C6831" t="s">
        <v>1930</v>
      </c>
      <c r="D6831" t="s">
        <v>1840</v>
      </c>
    </row>
    <row r="6832" spans="1:4" x14ac:dyDescent="0.2">
      <c r="A6832" t="s">
        <v>8384</v>
      </c>
      <c r="B6832" s="2">
        <v>43157</v>
      </c>
      <c r="C6832" t="s">
        <v>1907</v>
      </c>
      <c r="D6832" t="s">
        <v>1807</v>
      </c>
    </row>
    <row r="6833" spans="1:4" x14ac:dyDescent="0.2">
      <c r="A6833" t="s">
        <v>8385</v>
      </c>
      <c r="B6833" s="2">
        <v>43229</v>
      </c>
      <c r="C6833" t="s">
        <v>1865</v>
      </c>
      <c r="D6833" t="s">
        <v>1807</v>
      </c>
    </row>
    <row r="6834" spans="1:4" x14ac:dyDescent="0.2">
      <c r="A6834" t="s">
        <v>1550</v>
      </c>
      <c r="B6834" s="2">
        <v>43202</v>
      </c>
      <c r="C6834" t="s">
        <v>1836</v>
      </c>
      <c r="D6834" t="s">
        <v>1031</v>
      </c>
    </row>
    <row r="6835" spans="1:4" x14ac:dyDescent="0.2">
      <c r="A6835" t="s">
        <v>8386</v>
      </c>
      <c r="B6835" s="2">
        <v>43221</v>
      </c>
      <c r="C6835" t="s">
        <v>2072</v>
      </c>
      <c r="D6835" t="s">
        <v>1807</v>
      </c>
    </row>
    <row r="6836" spans="1:4" x14ac:dyDescent="0.2">
      <c r="A6836" t="s">
        <v>8387</v>
      </c>
      <c r="B6836" s="2">
        <v>43206</v>
      </c>
      <c r="C6836" t="s">
        <v>1867</v>
      </c>
      <c r="D6836" t="s">
        <v>1840</v>
      </c>
    </row>
    <row r="6837" spans="1:4" x14ac:dyDescent="0.2">
      <c r="A6837" t="s">
        <v>8388</v>
      </c>
      <c r="B6837" s="2">
        <v>43188</v>
      </c>
      <c r="C6837" t="s">
        <v>1875</v>
      </c>
      <c r="D6837" t="s">
        <v>1810</v>
      </c>
    </row>
    <row r="6838" spans="1:4" x14ac:dyDescent="0.2">
      <c r="A6838" t="s">
        <v>1552</v>
      </c>
      <c r="B6838" s="2">
        <v>43201</v>
      </c>
      <c r="C6838" t="s">
        <v>1930</v>
      </c>
      <c r="D6838" t="s">
        <v>1807</v>
      </c>
    </row>
    <row r="6839" spans="1:4" x14ac:dyDescent="0.2">
      <c r="A6839" t="s">
        <v>8389</v>
      </c>
      <c r="B6839" s="2">
        <v>43022</v>
      </c>
      <c r="C6839" t="s">
        <v>4373</v>
      </c>
      <c r="D6839" t="s">
        <v>1031</v>
      </c>
    </row>
    <row r="6840" spans="1:4" x14ac:dyDescent="0.2">
      <c r="A6840" t="s">
        <v>8390</v>
      </c>
      <c r="B6840" s="2">
        <v>43159</v>
      </c>
      <c r="C6840" t="s">
        <v>1930</v>
      </c>
      <c r="D6840" t="s">
        <v>1807</v>
      </c>
    </row>
    <row r="6841" spans="1:4" x14ac:dyDescent="0.2">
      <c r="A6841" t="s">
        <v>8391</v>
      </c>
      <c r="B6841" s="2">
        <v>43097</v>
      </c>
      <c r="C6841" t="s">
        <v>1885</v>
      </c>
      <c r="D6841" t="s">
        <v>1807</v>
      </c>
    </row>
    <row r="6842" spans="1:4" x14ac:dyDescent="0.2">
      <c r="A6842" t="s">
        <v>1554</v>
      </c>
      <c r="B6842" s="2">
        <v>43150</v>
      </c>
      <c r="C6842" t="s">
        <v>1889</v>
      </c>
      <c r="D6842" t="s">
        <v>1810</v>
      </c>
    </row>
    <row r="6843" spans="1:4" x14ac:dyDescent="0.2">
      <c r="A6843" t="s">
        <v>8392</v>
      </c>
      <c r="B6843" s="2">
        <v>42990</v>
      </c>
      <c r="C6843" t="s">
        <v>1894</v>
      </c>
      <c r="D6843" t="s">
        <v>1804</v>
      </c>
    </row>
    <row r="6844" spans="1:4" x14ac:dyDescent="0.2">
      <c r="A6844" t="s">
        <v>8393</v>
      </c>
      <c r="B6844" s="2">
        <v>43199</v>
      </c>
      <c r="C6844" t="s">
        <v>1863</v>
      </c>
      <c r="D6844" t="s">
        <v>1804</v>
      </c>
    </row>
    <row r="6845" spans="1:4" x14ac:dyDescent="0.2">
      <c r="A6845" t="s">
        <v>8394</v>
      </c>
      <c r="B6845" s="2">
        <v>43180</v>
      </c>
      <c r="C6845" t="s">
        <v>1809</v>
      </c>
      <c r="D6845" t="s">
        <v>1849</v>
      </c>
    </row>
    <row r="6846" spans="1:4" x14ac:dyDescent="0.2">
      <c r="A6846" t="s">
        <v>8395</v>
      </c>
      <c r="B6846" s="2">
        <v>43115</v>
      </c>
      <c r="C6846" t="s">
        <v>1905</v>
      </c>
      <c r="D6846" t="s">
        <v>1813</v>
      </c>
    </row>
    <row r="6847" spans="1:4" x14ac:dyDescent="0.2">
      <c r="A6847" t="s">
        <v>8396</v>
      </c>
      <c r="B6847" s="2">
        <v>43195</v>
      </c>
      <c r="C6847" t="s">
        <v>1806</v>
      </c>
      <c r="D6847" t="s">
        <v>1829</v>
      </c>
    </row>
    <row r="6848" spans="1:4" x14ac:dyDescent="0.2">
      <c r="A6848" t="s">
        <v>1556</v>
      </c>
      <c r="B6848" s="2">
        <v>43202</v>
      </c>
      <c r="C6848" t="s">
        <v>1905</v>
      </c>
      <c r="D6848" t="s">
        <v>1810</v>
      </c>
    </row>
    <row r="6849" spans="1:4" x14ac:dyDescent="0.2">
      <c r="A6849" t="s">
        <v>8397</v>
      </c>
      <c r="B6849" s="2">
        <v>43230</v>
      </c>
      <c r="C6849" t="s">
        <v>1832</v>
      </c>
      <c r="D6849" t="s">
        <v>1807</v>
      </c>
    </row>
    <row r="6850" spans="1:4" x14ac:dyDescent="0.2">
      <c r="A6850" t="s">
        <v>8398</v>
      </c>
      <c r="B6850" s="2">
        <v>43187</v>
      </c>
      <c r="C6850" t="s">
        <v>1836</v>
      </c>
      <c r="D6850" t="s">
        <v>1810</v>
      </c>
    </row>
    <row r="6851" spans="1:4" x14ac:dyDescent="0.2">
      <c r="A6851" t="s">
        <v>8399</v>
      </c>
      <c r="B6851" s="2">
        <v>43141</v>
      </c>
      <c r="C6851" t="s">
        <v>8400</v>
      </c>
      <c r="D6851" t="s">
        <v>1849</v>
      </c>
    </row>
    <row r="6852" spans="1:4" x14ac:dyDescent="0.2">
      <c r="A6852" t="s">
        <v>8401</v>
      </c>
      <c r="B6852" s="2">
        <v>43248</v>
      </c>
      <c r="C6852" t="s">
        <v>1832</v>
      </c>
      <c r="D6852" t="s">
        <v>1810</v>
      </c>
    </row>
    <row r="6853" spans="1:4" x14ac:dyDescent="0.2">
      <c r="A6853" t="s">
        <v>8402</v>
      </c>
      <c r="B6853" s="2">
        <v>43181</v>
      </c>
      <c r="C6853" t="s">
        <v>2291</v>
      </c>
      <c r="D6853" t="s">
        <v>1810</v>
      </c>
    </row>
    <row r="6854" spans="1:4" x14ac:dyDescent="0.2">
      <c r="A6854" t="s">
        <v>8403</v>
      </c>
      <c r="B6854" s="2">
        <v>42984</v>
      </c>
      <c r="C6854" t="s">
        <v>1816</v>
      </c>
      <c r="D6854" t="s">
        <v>1810</v>
      </c>
    </row>
    <row r="6855" spans="1:4" x14ac:dyDescent="0.2">
      <c r="A6855" t="s">
        <v>8404</v>
      </c>
      <c r="B6855" s="2">
        <v>42935</v>
      </c>
      <c r="C6855" t="s">
        <v>1816</v>
      </c>
      <c r="D6855" t="s">
        <v>1810</v>
      </c>
    </row>
    <row r="6856" spans="1:4" x14ac:dyDescent="0.2">
      <c r="A6856" t="s">
        <v>8405</v>
      </c>
      <c r="B6856" s="2">
        <v>43126</v>
      </c>
      <c r="C6856" t="s">
        <v>2014</v>
      </c>
      <c r="D6856" t="s">
        <v>1031</v>
      </c>
    </row>
    <row r="6857" spans="1:4" x14ac:dyDescent="0.2">
      <c r="A6857" t="s">
        <v>8406</v>
      </c>
      <c r="B6857" s="2">
        <v>43215</v>
      </c>
      <c r="C6857" t="s">
        <v>1867</v>
      </c>
      <c r="D6857" t="s">
        <v>1810</v>
      </c>
    </row>
    <row r="6858" spans="1:4" x14ac:dyDescent="0.2">
      <c r="A6858" t="s">
        <v>8407</v>
      </c>
      <c r="B6858" s="2">
        <v>43151</v>
      </c>
      <c r="C6858" t="s">
        <v>3827</v>
      </c>
      <c r="D6858" t="s">
        <v>1813</v>
      </c>
    </row>
    <row r="6859" spans="1:4" x14ac:dyDescent="0.2">
      <c r="A6859" t="s">
        <v>8408</v>
      </c>
      <c r="B6859" s="2">
        <v>43206</v>
      </c>
      <c r="C6859" t="s">
        <v>1836</v>
      </c>
      <c r="D6859" t="s">
        <v>1807</v>
      </c>
    </row>
    <row r="6860" spans="1:4" x14ac:dyDescent="0.2">
      <c r="A6860" t="s">
        <v>8409</v>
      </c>
      <c r="B6860" s="2">
        <v>42957</v>
      </c>
      <c r="C6860" t="s">
        <v>2576</v>
      </c>
      <c r="D6860" t="s">
        <v>160</v>
      </c>
    </row>
    <row r="6861" spans="1:4" x14ac:dyDescent="0.2">
      <c r="A6861" t="s">
        <v>8410</v>
      </c>
      <c r="B6861" s="2">
        <v>43224</v>
      </c>
      <c r="C6861" t="s">
        <v>2048</v>
      </c>
      <c r="D6861" t="s">
        <v>1031</v>
      </c>
    </row>
    <row r="6862" spans="1:4" x14ac:dyDescent="0.2">
      <c r="A6862" t="s">
        <v>8411</v>
      </c>
      <c r="B6862" s="2">
        <v>43172</v>
      </c>
      <c r="C6862" t="s">
        <v>2318</v>
      </c>
      <c r="D6862" t="s">
        <v>1810</v>
      </c>
    </row>
    <row r="6863" spans="1:4" x14ac:dyDescent="0.2">
      <c r="A6863" t="s">
        <v>8412</v>
      </c>
      <c r="B6863" s="2">
        <v>43135</v>
      </c>
      <c r="C6863" t="s">
        <v>1930</v>
      </c>
      <c r="D6863" t="s">
        <v>1807</v>
      </c>
    </row>
    <row r="6864" spans="1:4" x14ac:dyDescent="0.2">
      <c r="A6864" t="s">
        <v>8413</v>
      </c>
      <c r="B6864" s="2">
        <v>42928</v>
      </c>
      <c r="C6864" t="s">
        <v>1900</v>
      </c>
      <c r="D6864" t="s">
        <v>1807</v>
      </c>
    </row>
    <row r="6865" spans="1:4" x14ac:dyDescent="0.2">
      <c r="A6865" t="s">
        <v>8414</v>
      </c>
      <c r="B6865" s="2">
        <v>43142</v>
      </c>
      <c r="C6865" t="s">
        <v>1803</v>
      </c>
      <c r="D6865" t="s">
        <v>1804</v>
      </c>
    </row>
    <row r="6866" spans="1:4" x14ac:dyDescent="0.2">
      <c r="A6866" t="s">
        <v>8415</v>
      </c>
      <c r="B6866" s="2">
        <v>43216</v>
      </c>
      <c r="C6866" t="s">
        <v>1836</v>
      </c>
      <c r="D6866" t="s">
        <v>1031</v>
      </c>
    </row>
    <row r="6867" spans="1:4" x14ac:dyDescent="0.2">
      <c r="A6867" t="s">
        <v>8416</v>
      </c>
      <c r="B6867" s="2">
        <v>43132</v>
      </c>
      <c r="C6867" t="s">
        <v>1836</v>
      </c>
      <c r="D6867" t="s">
        <v>1031</v>
      </c>
    </row>
    <row r="6868" spans="1:4" x14ac:dyDescent="0.2">
      <c r="A6868" t="s">
        <v>8417</v>
      </c>
      <c r="B6868" s="2">
        <v>43225</v>
      </c>
      <c r="C6868" t="s">
        <v>1863</v>
      </c>
      <c r="D6868" t="s">
        <v>1804</v>
      </c>
    </row>
    <row r="6869" spans="1:4" x14ac:dyDescent="0.2">
      <c r="A6869" t="s">
        <v>8418</v>
      </c>
      <c r="B6869" s="2">
        <v>43132</v>
      </c>
      <c r="C6869" t="s">
        <v>1816</v>
      </c>
      <c r="D6869" t="s">
        <v>1031</v>
      </c>
    </row>
    <row r="6870" spans="1:4" x14ac:dyDescent="0.2">
      <c r="A6870" t="s">
        <v>8419</v>
      </c>
      <c r="B6870" s="2">
        <v>43250</v>
      </c>
      <c r="C6870" t="s">
        <v>1836</v>
      </c>
      <c r="D6870" t="s">
        <v>1031</v>
      </c>
    </row>
    <row r="6871" spans="1:4" x14ac:dyDescent="0.2">
      <c r="A6871" t="s">
        <v>8420</v>
      </c>
      <c r="B6871" s="2">
        <v>43197</v>
      </c>
      <c r="C6871" t="s">
        <v>1836</v>
      </c>
      <c r="D6871" t="s">
        <v>1031</v>
      </c>
    </row>
    <row r="6872" spans="1:4" x14ac:dyDescent="0.2">
      <c r="A6872" t="s">
        <v>8421</v>
      </c>
      <c r="B6872" s="2">
        <v>43157</v>
      </c>
      <c r="C6872" t="s">
        <v>8422</v>
      </c>
      <c r="D6872" t="s">
        <v>1796</v>
      </c>
    </row>
    <row r="6873" spans="1:4" x14ac:dyDescent="0.2">
      <c r="A6873" t="s">
        <v>1558</v>
      </c>
      <c r="B6873" s="2">
        <v>43179</v>
      </c>
      <c r="C6873" t="s">
        <v>4000</v>
      </c>
      <c r="D6873" t="s">
        <v>1031</v>
      </c>
    </row>
    <row r="6874" spans="1:4" x14ac:dyDescent="0.2">
      <c r="A6874" t="s">
        <v>1560</v>
      </c>
      <c r="B6874" s="2">
        <v>43117</v>
      </c>
      <c r="C6874" t="s">
        <v>1867</v>
      </c>
      <c r="D6874" t="s">
        <v>1810</v>
      </c>
    </row>
    <row r="6875" spans="1:4" x14ac:dyDescent="0.2">
      <c r="A6875" t="s">
        <v>8423</v>
      </c>
      <c r="B6875" s="2">
        <v>43201</v>
      </c>
      <c r="C6875" t="s">
        <v>2303</v>
      </c>
      <c r="D6875" t="s">
        <v>1810</v>
      </c>
    </row>
    <row r="6876" spans="1:4" x14ac:dyDescent="0.2">
      <c r="A6876" t="s">
        <v>8424</v>
      </c>
      <c r="B6876" s="2">
        <v>43187</v>
      </c>
      <c r="C6876" t="s">
        <v>1865</v>
      </c>
      <c r="D6876" t="s">
        <v>1804</v>
      </c>
    </row>
    <row r="6877" spans="1:4" x14ac:dyDescent="0.2">
      <c r="A6877" t="s">
        <v>8425</v>
      </c>
      <c r="B6877" s="2">
        <v>43154</v>
      </c>
      <c r="C6877" t="s">
        <v>2249</v>
      </c>
      <c r="D6877" t="s">
        <v>1849</v>
      </c>
    </row>
    <row r="6878" spans="1:4" x14ac:dyDescent="0.2">
      <c r="A6878" t="s">
        <v>8426</v>
      </c>
      <c r="B6878" s="2">
        <v>43122</v>
      </c>
      <c r="C6878" t="s">
        <v>2108</v>
      </c>
      <c r="D6878" t="s">
        <v>1813</v>
      </c>
    </row>
    <row r="6879" spans="1:4" x14ac:dyDescent="0.2">
      <c r="A6879" t="s">
        <v>8427</v>
      </c>
      <c r="B6879" s="2">
        <v>43109</v>
      </c>
      <c r="C6879" t="s">
        <v>1930</v>
      </c>
      <c r="D6879" t="s">
        <v>1807</v>
      </c>
    </row>
    <row r="6880" spans="1:4" x14ac:dyDescent="0.2">
      <c r="A6880" t="s">
        <v>8428</v>
      </c>
      <c r="B6880" s="2">
        <v>42991</v>
      </c>
      <c r="C6880" t="s">
        <v>2187</v>
      </c>
      <c r="D6880" t="s">
        <v>1807</v>
      </c>
    </row>
    <row r="6881" spans="1:4" x14ac:dyDescent="0.2">
      <c r="A6881" t="s">
        <v>8429</v>
      </c>
      <c r="B6881" s="2">
        <v>43159</v>
      </c>
      <c r="C6881" t="s">
        <v>1836</v>
      </c>
      <c r="D6881" t="s">
        <v>1810</v>
      </c>
    </row>
    <row r="6882" spans="1:4" x14ac:dyDescent="0.2">
      <c r="A6882" t="s">
        <v>8430</v>
      </c>
      <c r="B6882" s="2">
        <v>43138</v>
      </c>
      <c r="C6882" t="s">
        <v>1885</v>
      </c>
      <c r="D6882" t="s">
        <v>1807</v>
      </c>
    </row>
    <row r="6883" spans="1:4" x14ac:dyDescent="0.2">
      <c r="A6883" t="s">
        <v>8431</v>
      </c>
      <c r="B6883" s="2">
        <v>43224</v>
      </c>
      <c r="C6883" t="s">
        <v>1836</v>
      </c>
      <c r="D6883" t="s">
        <v>1031</v>
      </c>
    </row>
    <row r="6884" spans="1:4" x14ac:dyDescent="0.2">
      <c r="A6884" t="s">
        <v>8432</v>
      </c>
      <c r="B6884" s="2">
        <v>43199</v>
      </c>
      <c r="C6884" t="s">
        <v>2617</v>
      </c>
      <c r="D6884" t="s">
        <v>1810</v>
      </c>
    </row>
    <row r="6885" spans="1:4" x14ac:dyDescent="0.2">
      <c r="A6885" t="s">
        <v>8433</v>
      </c>
      <c r="B6885" s="2">
        <v>42958</v>
      </c>
      <c r="C6885" t="s">
        <v>1836</v>
      </c>
      <c r="D6885" t="s">
        <v>1031</v>
      </c>
    </row>
    <row r="6886" spans="1:4" x14ac:dyDescent="0.2">
      <c r="A6886" t="s">
        <v>8434</v>
      </c>
      <c r="B6886" s="2">
        <v>43181</v>
      </c>
      <c r="C6886" t="s">
        <v>1809</v>
      </c>
      <c r="D6886" t="s">
        <v>1849</v>
      </c>
    </row>
    <row r="6887" spans="1:4" x14ac:dyDescent="0.2">
      <c r="A6887" t="s">
        <v>8435</v>
      </c>
      <c r="B6887" s="2">
        <v>43212</v>
      </c>
      <c r="C6887" t="s">
        <v>1827</v>
      </c>
      <c r="D6887" t="s">
        <v>1849</v>
      </c>
    </row>
    <row r="6888" spans="1:4" x14ac:dyDescent="0.2">
      <c r="A6888" t="s">
        <v>8436</v>
      </c>
      <c r="B6888" s="2">
        <v>42961</v>
      </c>
      <c r="C6888" t="s">
        <v>1834</v>
      </c>
      <c r="D6888" t="s">
        <v>1840</v>
      </c>
    </row>
    <row r="6889" spans="1:4" x14ac:dyDescent="0.2">
      <c r="A6889" t="s">
        <v>8437</v>
      </c>
      <c r="B6889" s="2">
        <v>43243</v>
      </c>
      <c r="C6889" t="s">
        <v>1863</v>
      </c>
      <c r="D6889" t="s">
        <v>1804</v>
      </c>
    </row>
    <row r="6890" spans="1:4" x14ac:dyDescent="0.2">
      <c r="A6890" t="s">
        <v>8438</v>
      </c>
      <c r="B6890" s="2">
        <v>43107</v>
      </c>
      <c r="C6890" t="s">
        <v>1816</v>
      </c>
      <c r="D6890" t="s">
        <v>1829</v>
      </c>
    </row>
    <row r="6891" spans="1:4" x14ac:dyDescent="0.2">
      <c r="A6891" t="s">
        <v>8439</v>
      </c>
      <c r="B6891" s="2">
        <v>42978</v>
      </c>
      <c r="C6891" t="s">
        <v>1816</v>
      </c>
      <c r="D6891" t="s">
        <v>1810</v>
      </c>
    </row>
    <row r="6892" spans="1:4" x14ac:dyDescent="0.2">
      <c r="A6892" t="s">
        <v>8440</v>
      </c>
      <c r="B6892" s="2">
        <v>43117</v>
      </c>
      <c r="C6892" t="s">
        <v>1825</v>
      </c>
      <c r="D6892" t="s">
        <v>1810</v>
      </c>
    </row>
    <row r="6893" spans="1:4" x14ac:dyDescent="0.2">
      <c r="A6893" t="s">
        <v>1562</v>
      </c>
      <c r="B6893" s="2">
        <v>43178</v>
      </c>
      <c r="C6893" t="s">
        <v>1905</v>
      </c>
      <c r="D6893" t="s">
        <v>1807</v>
      </c>
    </row>
    <row r="6894" spans="1:4" x14ac:dyDescent="0.2">
      <c r="A6894" t="s">
        <v>8441</v>
      </c>
      <c r="B6894" s="2">
        <v>43180</v>
      </c>
      <c r="C6894" t="s">
        <v>1825</v>
      </c>
      <c r="D6894" t="s">
        <v>1810</v>
      </c>
    </row>
    <row r="6895" spans="1:4" x14ac:dyDescent="0.2">
      <c r="A6895" t="s">
        <v>8442</v>
      </c>
      <c r="B6895" s="2">
        <v>43244</v>
      </c>
      <c r="C6895" t="s">
        <v>1832</v>
      </c>
      <c r="D6895" t="s">
        <v>1807</v>
      </c>
    </row>
    <row r="6896" spans="1:4" x14ac:dyDescent="0.2">
      <c r="A6896" t="s">
        <v>8443</v>
      </c>
      <c r="B6896" s="2">
        <v>43193</v>
      </c>
      <c r="C6896" t="s">
        <v>1863</v>
      </c>
      <c r="D6896" t="s">
        <v>1804</v>
      </c>
    </row>
    <row r="6897" spans="1:4" x14ac:dyDescent="0.2">
      <c r="A6897" t="s">
        <v>8444</v>
      </c>
      <c r="B6897" s="2">
        <v>43107</v>
      </c>
      <c r="C6897" t="s">
        <v>1905</v>
      </c>
      <c r="D6897" t="s">
        <v>1810</v>
      </c>
    </row>
    <row r="6898" spans="1:4" x14ac:dyDescent="0.2">
      <c r="A6898" t="s">
        <v>8445</v>
      </c>
      <c r="B6898" s="2">
        <v>43136</v>
      </c>
      <c r="C6898" t="s">
        <v>1803</v>
      </c>
      <c r="D6898" t="s">
        <v>1804</v>
      </c>
    </row>
    <row r="6899" spans="1:4" x14ac:dyDescent="0.2">
      <c r="A6899" t="s">
        <v>8446</v>
      </c>
      <c r="B6899" s="2">
        <v>43248</v>
      </c>
      <c r="C6899" t="s">
        <v>1832</v>
      </c>
      <c r="D6899" t="s">
        <v>1810</v>
      </c>
    </row>
    <row r="6900" spans="1:4" x14ac:dyDescent="0.2">
      <c r="A6900" t="s">
        <v>8447</v>
      </c>
      <c r="B6900" s="2">
        <v>43141</v>
      </c>
      <c r="C6900" t="s">
        <v>1803</v>
      </c>
      <c r="D6900" t="s">
        <v>1804</v>
      </c>
    </row>
    <row r="6901" spans="1:4" x14ac:dyDescent="0.2">
      <c r="A6901" t="s">
        <v>8448</v>
      </c>
      <c r="B6901" s="2">
        <v>43122</v>
      </c>
      <c r="C6901" t="s">
        <v>1816</v>
      </c>
      <c r="D6901" t="s">
        <v>1810</v>
      </c>
    </row>
    <row r="6902" spans="1:4" x14ac:dyDescent="0.2">
      <c r="A6902" t="s">
        <v>8449</v>
      </c>
      <c r="B6902" s="2">
        <v>43213</v>
      </c>
      <c r="C6902" t="s">
        <v>1827</v>
      </c>
      <c r="D6902" t="s">
        <v>1807</v>
      </c>
    </row>
    <row r="6903" spans="1:4" x14ac:dyDescent="0.2">
      <c r="A6903" t="s">
        <v>8450</v>
      </c>
      <c r="B6903" s="2">
        <v>43179</v>
      </c>
      <c r="C6903" t="s">
        <v>1987</v>
      </c>
      <c r="D6903" t="s">
        <v>1807</v>
      </c>
    </row>
    <row r="6904" spans="1:4" x14ac:dyDescent="0.2">
      <c r="A6904" t="s">
        <v>8451</v>
      </c>
      <c r="B6904" s="2">
        <v>43013</v>
      </c>
      <c r="C6904" t="s">
        <v>1836</v>
      </c>
      <c r="D6904" t="s">
        <v>1031</v>
      </c>
    </row>
    <row r="6905" spans="1:4" x14ac:dyDescent="0.2">
      <c r="A6905" t="s">
        <v>1564</v>
      </c>
      <c r="B6905" s="2">
        <v>43164</v>
      </c>
      <c r="C6905" t="s">
        <v>1836</v>
      </c>
      <c r="D6905" t="s">
        <v>1810</v>
      </c>
    </row>
    <row r="6906" spans="1:4" x14ac:dyDescent="0.2">
      <c r="A6906" t="s">
        <v>8452</v>
      </c>
      <c r="B6906" s="2">
        <v>43103</v>
      </c>
      <c r="C6906" t="s">
        <v>1905</v>
      </c>
      <c r="D6906" t="s">
        <v>1810</v>
      </c>
    </row>
    <row r="6907" spans="1:4" x14ac:dyDescent="0.2">
      <c r="A6907" t="s">
        <v>8453</v>
      </c>
      <c r="B6907" s="2">
        <v>43137</v>
      </c>
      <c r="C6907" t="s">
        <v>3827</v>
      </c>
      <c r="D6907" t="s">
        <v>1813</v>
      </c>
    </row>
    <row r="6908" spans="1:4" x14ac:dyDescent="0.2">
      <c r="A6908" t="s">
        <v>8454</v>
      </c>
      <c r="B6908" s="2">
        <v>43125</v>
      </c>
      <c r="C6908" t="s">
        <v>1803</v>
      </c>
      <c r="D6908" t="s">
        <v>1804</v>
      </c>
    </row>
    <row r="6909" spans="1:4" x14ac:dyDescent="0.2">
      <c r="A6909" t="s">
        <v>8455</v>
      </c>
      <c r="B6909" s="2">
        <v>43210</v>
      </c>
      <c r="C6909" t="s">
        <v>4290</v>
      </c>
      <c r="D6909" t="s">
        <v>1807</v>
      </c>
    </row>
    <row r="6910" spans="1:4" x14ac:dyDescent="0.2">
      <c r="A6910" t="s">
        <v>8456</v>
      </c>
      <c r="B6910" s="2">
        <v>43166</v>
      </c>
      <c r="C6910" t="s">
        <v>1825</v>
      </c>
      <c r="D6910" t="s">
        <v>1810</v>
      </c>
    </row>
    <row r="6911" spans="1:4" x14ac:dyDescent="0.2">
      <c r="A6911" t="s">
        <v>1566</v>
      </c>
      <c r="B6911" s="2">
        <v>43171</v>
      </c>
      <c r="C6911" t="s">
        <v>1836</v>
      </c>
      <c r="D6911" t="s">
        <v>1031</v>
      </c>
    </row>
    <row r="6912" spans="1:4" x14ac:dyDescent="0.2">
      <c r="A6912" t="s">
        <v>8457</v>
      </c>
      <c r="B6912" s="2">
        <v>43115</v>
      </c>
      <c r="C6912" t="s">
        <v>1831</v>
      </c>
      <c r="D6912" t="s">
        <v>160</v>
      </c>
    </row>
    <row r="6913" spans="1:4" x14ac:dyDescent="0.2">
      <c r="A6913" t="s">
        <v>8458</v>
      </c>
      <c r="B6913" s="2">
        <v>43172</v>
      </c>
      <c r="C6913" t="s">
        <v>1930</v>
      </c>
      <c r="D6913" t="s">
        <v>1807</v>
      </c>
    </row>
    <row r="6914" spans="1:4" x14ac:dyDescent="0.2">
      <c r="A6914" t="s">
        <v>8459</v>
      </c>
      <c r="B6914" s="2">
        <v>42955</v>
      </c>
      <c r="C6914" t="s">
        <v>1806</v>
      </c>
      <c r="D6914" t="s">
        <v>1810</v>
      </c>
    </row>
    <row r="6915" spans="1:4" x14ac:dyDescent="0.2">
      <c r="A6915" t="s">
        <v>8460</v>
      </c>
      <c r="B6915" s="2">
        <v>43200</v>
      </c>
      <c r="C6915" t="s">
        <v>1836</v>
      </c>
      <c r="D6915" t="s">
        <v>1031</v>
      </c>
    </row>
    <row r="6916" spans="1:4" x14ac:dyDescent="0.2">
      <c r="A6916" t="s">
        <v>8461</v>
      </c>
      <c r="B6916" s="2">
        <v>43192</v>
      </c>
      <c r="C6916" t="s">
        <v>1816</v>
      </c>
      <c r="D6916" t="s">
        <v>1810</v>
      </c>
    </row>
    <row r="6917" spans="1:4" x14ac:dyDescent="0.2">
      <c r="A6917" t="s">
        <v>8462</v>
      </c>
      <c r="B6917" s="2">
        <v>43125</v>
      </c>
      <c r="C6917" t="s">
        <v>1831</v>
      </c>
      <c r="D6917" t="s">
        <v>160</v>
      </c>
    </row>
    <row r="6918" spans="1:4" x14ac:dyDescent="0.2">
      <c r="A6918" t="s">
        <v>8463</v>
      </c>
      <c r="B6918" s="2">
        <v>43235</v>
      </c>
      <c r="C6918" t="s">
        <v>1905</v>
      </c>
      <c r="D6918" t="s">
        <v>1810</v>
      </c>
    </row>
    <row r="6919" spans="1:4" x14ac:dyDescent="0.2">
      <c r="A6919" t="s">
        <v>8464</v>
      </c>
      <c r="B6919" s="2">
        <v>43122</v>
      </c>
      <c r="C6919" t="s">
        <v>2819</v>
      </c>
      <c r="D6919" t="s">
        <v>1813</v>
      </c>
    </row>
    <row r="6920" spans="1:4" x14ac:dyDescent="0.2">
      <c r="A6920" t="s">
        <v>8465</v>
      </c>
      <c r="B6920" s="2">
        <v>43218</v>
      </c>
      <c r="C6920" t="s">
        <v>1857</v>
      </c>
      <c r="D6920" t="s">
        <v>1804</v>
      </c>
    </row>
    <row r="6921" spans="1:4" x14ac:dyDescent="0.2">
      <c r="A6921" t="s">
        <v>8466</v>
      </c>
      <c r="B6921" s="2">
        <v>43220</v>
      </c>
      <c r="C6921" t="s">
        <v>1863</v>
      </c>
      <c r="D6921" t="s">
        <v>1804</v>
      </c>
    </row>
    <row r="6922" spans="1:4" x14ac:dyDescent="0.2">
      <c r="A6922" t="s">
        <v>8467</v>
      </c>
      <c r="B6922" s="2">
        <v>43111</v>
      </c>
      <c r="C6922" t="s">
        <v>1816</v>
      </c>
      <c r="D6922" t="s">
        <v>1840</v>
      </c>
    </row>
    <row r="6923" spans="1:4" x14ac:dyDescent="0.2">
      <c r="A6923" t="s">
        <v>8468</v>
      </c>
      <c r="B6923" s="2">
        <v>43003</v>
      </c>
      <c r="C6923" t="s">
        <v>1894</v>
      </c>
      <c r="D6923" t="s">
        <v>1840</v>
      </c>
    </row>
    <row r="6924" spans="1:4" x14ac:dyDescent="0.2">
      <c r="A6924" t="s">
        <v>8469</v>
      </c>
      <c r="B6924" s="2">
        <v>43139</v>
      </c>
      <c r="C6924" t="s">
        <v>1803</v>
      </c>
      <c r="D6924" t="s">
        <v>1804</v>
      </c>
    </row>
    <row r="6925" spans="1:4" x14ac:dyDescent="0.2">
      <c r="A6925" t="s">
        <v>8470</v>
      </c>
      <c r="B6925" s="2">
        <v>43207</v>
      </c>
      <c r="C6925" t="s">
        <v>2291</v>
      </c>
      <c r="D6925" t="s">
        <v>1810</v>
      </c>
    </row>
    <row r="6926" spans="1:4" x14ac:dyDescent="0.2">
      <c r="A6926" t="s">
        <v>8471</v>
      </c>
      <c r="B6926" s="2">
        <v>43132</v>
      </c>
      <c r="C6926" t="s">
        <v>3315</v>
      </c>
      <c r="D6926" t="s">
        <v>1807</v>
      </c>
    </row>
    <row r="6927" spans="1:4" x14ac:dyDescent="0.2">
      <c r="A6927" t="s">
        <v>8472</v>
      </c>
      <c r="B6927" s="2">
        <v>43061</v>
      </c>
      <c r="C6927" t="s">
        <v>2907</v>
      </c>
      <c r="D6927" t="s">
        <v>1840</v>
      </c>
    </row>
    <row r="6928" spans="1:4" x14ac:dyDescent="0.2">
      <c r="A6928" t="s">
        <v>8473</v>
      </c>
      <c r="B6928" s="2">
        <v>43108</v>
      </c>
      <c r="C6928" t="s">
        <v>1831</v>
      </c>
      <c r="D6928" t="s">
        <v>160</v>
      </c>
    </row>
    <row r="6929" spans="1:4" x14ac:dyDescent="0.2">
      <c r="A6929" t="s">
        <v>8474</v>
      </c>
      <c r="B6929" s="2">
        <v>42954</v>
      </c>
      <c r="C6929" t="s">
        <v>3101</v>
      </c>
      <c r="D6929" t="s">
        <v>1031</v>
      </c>
    </row>
    <row r="6930" spans="1:4" x14ac:dyDescent="0.2">
      <c r="A6930" t="s">
        <v>1568</v>
      </c>
      <c r="B6930" s="2">
        <v>43161</v>
      </c>
      <c r="C6930" t="s">
        <v>8475</v>
      </c>
      <c r="D6930" t="s">
        <v>1031</v>
      </c>
    </row>
    <row r="6931" spans="1:4" x14ac:dyDescent="0.2">
      <c r="A6931" t="s">
        <v>8476</v>
      </c>
      <c r="B6931" s="2">
        <v>43181</v>
      </c>
      <c r="C6931" t="s">
        <v>1836</v>
      </c>
      <c r="D6931" t="s">
        <v>1031</v>
      </c>
    </row>
    <row r="6932" spans="1:4" x14ac:dyDescent="0.2">
      <c r="A6932" t="s">
        <v>8477</v>
      </c>
      <c r="B6932" s="2">
        <v>43217</v>
      </c>
      <c r="C6932" t="s">
        <v>1816</v>
      </c>
      <c r="D6932" t="s">
        <v>1810</v>
      </c>
    </row>
    <row r="6933" spans="1:4" x14ac:dyDescent="0.2">
      <c r="A6933" t="s">
        <v>8478</v>
      </c>
      <c r="B6933" s="2">
        <v>43156</v>
      </c>
      <c r="C6933" t="s">
        <v>2163</v>
      </c>
      <c r="D6933" t="s">
        <v>1813</v>
      </c>
    </row>
    <row r="6934" spans="1:4" x14ac:dyDescent="0.2">
      <c r="A6934" t="s">
        <v>1570</v>
      </c>
      <c r="B6934" s="2">
        <v>43228</v>
      </c>
      <c r="C6934" t="s">
        <v>1816</v>
      </c>
      <c r="D6934" t="s">
        <v>1807</v>
      </c>
    </row>
    <row r="6935" spans="1:4" x14ac:dyDescent="0.2">
      <c r="A6935" t="s">
        <v>8479</v>
      </c>
      <c r="B6935" s="2">
        <v>43111</v>
      </c>
      <c r="C6935" t="s">
        <v>1836</v>
      </c>
      <c r="D6935" t="s">
        <v>1031</v>
      </c>
    </row>
    <row r="6936" spans="1:4" x14ac:dyDescent="0.2">
      <c r="A6936" t="s">
        <v>8480</v>
      </c>
      <c r="B6936" s="2">
        <v>43219</v>
      </c>
      <c r="C6936" t="s">
        <v>1863</v>
      </c>
      <c r="D6936" t="s">
        <v>1804</v>
      </c>
    </row>
    <row r="6937" spans="1:4" x14ac:dyDescent="0.2">
      <c r="A6937" t="s">
        <v>8481</v>
      </c>
      <c r="B6937" s="2">
        <v>43123</v>
      </c>
      <c r="C6937" t="s">
        <v>2819</v>
      </c>
      <c r="D6937" t="s">
        <v>1840</v>
      </c>
    </row>
    <row r="6938" spans="1:4" x14ac:dyDescent="0.2">
      <c r="A6938" t="s">
        <v>1572</v>
      </c>
      <c r="B6938" s="2">
        <v>43193</v>
      </c>
      <c r="C6938" t="s">
        <v>1816</v>
      </c>
      <c r="D6938" t="s">
        <v>1810</v>
      </c>
    </row>
    <row r="6939" spans="1:4" x14ac:dyDescent="0.2">
      <c r="A6939" t="s">
        <v>8482</v>
      </c>
      <c r="B6939" s="2">
        <v>43149</v>
      </c>
      <c r="C6939" t="s">
        <v>1828</v>
      </c>
      <c r="D6939" t="s">
        <v>1810</v>
      </c>
    </row>
    <row r="6940" spans="1:4" x14ac:dyDescent="0.2">
      <c r="A6940" t="s">
        <v>8483</v>
      </c>
      <c r="B6940" s="2">
        <v>43214</v>
      </c>
      <c r="C6940" t="s">
        <v>1863</v>
      </c>
      <c r="D6940" t="s">
        <v>1804</v>
      </c>
    </row>
    <row r="6941" spans="1:4" x14ac:dyDescent="0.2">
      <c r="A6941" t="s">
        <v>8484</v>
      </c>
      <c r="B6941" s="2">
        <v>43081</v>
      </c>
      <c r="C6941" t="s">
        <v>1803</v>
      </c>
      <c r="D6941" t="s">
        <v>1804</v>
      </c>
    </row>
    <row r="6942" spans="1:4" x14ac:dyDescent="0.2">
      <c r="A6942" t="s">
        <v>8485</v>
      </c>
      <c r="B6942" s="2">
        <v>43139</v>
      </c>
      <c r="C6942" t="s">
        <v>2303</v>
      </c>
      <c r="D6942" t="s">
        <v>1810</v>
      </c>
    </row>
    <row r="6943" spans="1:4" x14ac:dyDescent="0.2">
      <c r="A6943" t="s">
        <v>8486</v>
      </c>
      <c r="B6943" s="2">
        <v>43130</v>
      </c>
      <c r="C6943" t="s">
        <v>1867</v>
      </c>
      <c r="D6943" t="s">
        <v>1810</v>
      </c>
    </row>
    <row r="6944" spans="1:4" x14ac:dyDescent="0.2">
      <c r="A6944" t="s">
        <v>8487</v>
      </c>
      <c r="B6944" s="2">
        <v>43115</v>
      </c>
      <c r="C6944" t="s">
        <v>1930</v>
      </c>
      <c r="D6944" t="s">
        <v>1807</v>
      </c>
    </row>
    <row r="6945" spans="1:4" x14ac:dyDescent="0.2">
      <c r="A6945" t="s">
        <v>8488</v>
      </c>
      <c r="B6945" s="2">
        <v>43068</v>
      </c>
      <c r="C6945" t="s">
        <v>2324</v>
      </c>
      <c r="D6945" t="s">
        <v>1813</v>
      </c>
    </row>
    <row r="6946" spans="1:4" x14ac:dyDescent="0.2">
      <c r="A6946" t="s">
        <v>8489</v>
      </c>
      <c r="B6946" s="2">
        <v>43227</v>
      </c>
      <c r="C6946" t="s">
        <v>1857</v>
      </c>
      <c r="D6946" t="s">
        <v>1804</v>
      </c>
    </row>
    <row r="6947" spans="1:4" x14ac:dyDescent="0.2">
      <c r="A6947" t="s">
        <v>8490</v>
      </c>
      <c r="B6947" s="2">
        <v>42954</v>
      </c>
      <c r="C6947" t="s">
        <v>3161</v>
      </c>
      <c r="D6947" t="s">
        <v>1810</v>
      </c>
    </row>
    <row r="6948" spans="1:4" x14ac:dyDescent="0.2">
      <c r="A6948" t="s">
        <v>8491</v>
      </c>
      <c r="B6948" s="2">
        <v>43102</v>
      </c>
      <c r="C6948" t="s">
        <v>1831</v>
      </c>
      <c r="D6948" t="s">
        <v>1031</v>
      </c>
    </row>
    <row r="6949" spans="1:4" x14ac:dyDescent="0.2">
      <c r="A6949" t="s">
        <v>8492</v>
      </c>
      <c r="B6949" s="2">
        <v>43171</v>
      </c>
      <c r="C6949" t="s">
        <v>1816</v>
      </c>
      <c r="D6949" t="s">
        <v>1810</v>
      </c>
    </row>
    <row r="6950" spans="1:4" x14ac:dyDescent="0.2">
      <c r="A6950" t="s">
        <v>8493</v>
      </c>
      <c r="B6950" s="2">
        <v>43115</v>
      </c>
      <c r="C6950" t="s">
        <v>1803</v>
      </c>
      <c r="D6950" t="s">
        <v>1804</v>
      </c>
    </row>
    <row r="6951" spans="1:4" x14ac:dyDescent="0.2">
      <c r="A6951" t="s">
        <v>8494</v>
      </c>
      <c r="B6951" s="2">
        <v>43101</v>
      </c>
      <c r="C6951" t="s">
        <v>1825</v>
      </c>
      <c r="D6951" t="s">
        <v>1810</v>
      </c>
    </row>
    <row r="6952" spans="1:4" x14ac:dyDescent="0.2">
      <c r="A6952" t="s">
        <v>8495</v>
      </c>
      <c r="B6952" s="2">
        <v>43085</v>
      </c>
      <c r="C6952" t="s">
        <v>1889</v>
      </c>
      <c r="D6952" t="s">
        <v>1840</v>
      </c>
    </row>
    <row r="6953" spans="1:4" x14ac:dyDescent="0.2">
      <c r="A6953" t="s">
        <v>8496</v>
      </c>
      <c r="B6953" s="2">
        <v>43003</v>
      </c>
      <c r="C6953" t="s">
        <v>1806</v>
      </c>
      <c r="D6953" t="s">
        <v>1810</v>
      </c>
    </row>
    <row r="6954" spans="1:4" x14ac:dyDescent="0.2">
      <c r="A6954" t="s">
        <v>1574</v>
      </c>
      <c r="B6954" s="2">
        <v>43180</v>
      </c>
      <c r="C6954" t="s">
        <v>1987</v>
      </c>
      <c r="D6954" t="s">
        <v>1807</v>
      </c>
    </row>
    <row r="6955" spans="1:4" x14ac:dyDescent="0.2">
      <c r="A6955" t="s">
        <v>8497</v>
      </c>
      <c r="B6955" s="2">
        <v>43215</v>
      </c>
      <c r="C6955" t="s">
        <v>1836</v>
      </c>
      <c r="D6955" t="s">
        <v>1840</v>
      </c>
    </row>
    <row r="6956" spans="1:4" x14ac:dyDescent="0.2">
      <c r="A6956" t="s">
        <v>8498</v>
      </c>
      <c r="B6956" s="2">
        <v>43138</v>
      </c>
      <c r="C6956" t="s">
        <v>3827</v>
      </c>
      <c r="D6956" t="s">
        <v>1031</v>
      </c>
    </row>
    <row r="6957" spans="1:4" x14ac:dyDescent="0.2">
      <c r="A6957" t="s">
        <v>8499</v>
      </c>
      <c r="B6957" s="2">
        <v>43118</v>
      </c>
      <c r="C6957" t="s">
        <v>1816</v>
      </c>
      <c r="D6957" t="s">
        <v>1840</v>
      </c>
    </row>
    <row r="6958" spans="1:4" x14ac:dyDescent="0.2">
      <c r="A6958" t="s">
        <v>1576</v>
      </c>
      <c r="B6958" s="2">
        <v>43134</v>
      </c>
      <c r="C6958" t="s">
        <v>1905</v>
      </c>
      <c r="D6958" t="s">
        <v>1031</v>
      </c>
    </row>
    <row r="6959" spans="1:4" x14ac:dyDescent="0.2">
      <c r="A6959" t="s">
        <v>8500</v>
      </c>
      <c r="B6959" s="2">
        <v>43116</v>
      </c>
      <c r="C6959" t="s">
        <v>2829</v>
      </c>
      <c r="D6959" t="s">
        <v>1810</v>
      </c>
    </row>
    <row r="6960" spans="1:4" x14ac:dyDescent="0.2">
      <c r="A6960" t="s">
        <v>8501</v>
      </c>
      <c r="B6960" s="2">
        <v>43048</v>
      </c>
      <c r="C6960" t="s">
        <v>1836</v>
      </c>
      <c r="D6960" t="s">
        <v>1031</v>
      </c>
    </row>
    <row r="6961" spans="1:4" x14ac:dyDescent="0.2">
      <c r="A6961" t="s">
        <v>8502</v>
      </c>
      <c r="B6961" s="2">
        <v>43215</v>
      </c>
      <c r="C6961" t="s">
        <v>1827</v>
      </c>
      <c r="D6961" t="s">
        <v>1807</v>
      </c>
    </row>
    <row r="6962" spans="1:4" x14ac:dyDescent="0.2">
      <c r="A6962" t="s">
        <v>8503</v>
      </c>
      <c r="B6962" s="2">
        <v>42978</v>
      </c>
      <c r="C6962" t="s">
        <v>3440</v>
      </c>
      <c r="D6962" t="s">
        <v>1810</v>
      </c>
    </row>
    <row r="6963" spans="1:4" x14ac:dyDescent="0.2">
      <c r="A6963" t="s">
        <v>8504</v>
      </c>
      <c r="B6963" s="2">
        <v>43069</v>
      </c>
      <c r="C6963" t="s">
        <v>1836</v>
      </c>
      <c r="D6963" t="s">
        <v>1810</v>
      </c>
    </row>
    <row r="6964" spans="1:4" x14ac:dyDescent="0.2">
      <c r="A6964" t="s">
        <v>8505</v>
      </c>
      <c r="B6964" s="2">
        <v>43237</v>
      </c>
      <c r="C6964" t="s">
        <v>1836</v>
      </c>
      <c r="D6964" t="s">
        <v>1031</v>
      </c>
    </row>
    <row r="6965" spans="1:4" x14ac:dyDescent="0.2">
      <c r="A6965" t="s">
        <v>8506</v>
      </c>
      <c r="B6965" s="2">
        <v>43154</v>
      </c>
      <c r="C6965" t="s">
        <v>1836</v>
      </c>
      <c r="D6965" t="s">
        <v>1807</v>
      </c>
    </row>
    <row r="6966" spans="1:4" x14ac:dyDescent="0.2">
      <c r="A6966" t="s">
        <v>8507</v>
      </c>
      <c r="B6966" s="2">
        <v>43122</v>
      </c>
      <c r="C6966" t="s">
        <v>1836</v>
      </c>
      <c r="D6966" t="s">
        <v>1810</v>
      </c>
    </row>
    <row r="6967" spans="1:4" x14ac:dyDescent="0.2">
      <c r="A6967" t="s">
        <v>8508</v>
      </c>
      <c r="B6967" s="2">
        <v>43005</v>
      </c>
      <c r="C6967" t="s">
        <v>1816</v>
      </c>
      <c r="D6967" t="s">
        <v>1031</v>
      </c>
    </row>
    <row r="6968" spans="1:4" x14ac:dyDescent="0.2">
      <c r="A6968" t="s">
        <v>1578</v>
      </c>
      <c r="B6968" s="2">
        <v>43158</v>
      </c>
      <c r="C6968" t="s">
        <v>8509</v>
      </c>
      <c r="D6968" t="s">
        <v>1796</v>
      </c>
    </row>
    <row r="6969" spans="1:4" x14ac:dyDescent="0.2">
      <c r="A6969" t="s">
        <v>8510</v>
      </c>
      <c r="B6969" s="2">
        <v>42922</v>
      </c>
      <c r="C6969" t="s">
        <v>1919</v>
      </c>
      <c r="D6969" t="s">
        <v>160</v>
      </c>
    </row>
    <row r="6970" spans="1:4" x14ac:dyDescent="0.2">
      <c r="A6970" t="s">
        <v>8511</v>
      </c>
      <c r="B6970" s="2">
        <v>43159</v>
      </c>
      <c r="C6970" t="s">
        <v>1816</v>
      </c>
      <c r="D6970" t="s">
        <v>1840</v>
      </c>
    </row>
    <row r="6971" spans="1:4" x14ac:dyDescent="0.2">
      <c r="A6971" t="s">
        <v>8512</v>
      </c>
      <c r="B6971" s="2">
        <v>42945</v>
      </c>
      <c r="C6971" t="s">
        <v>3419</v>
      </c>
      <c r="D6971" t="s">
        <v>1810</v>
      </c>
    </row>
    <row r="6972" spans="1:4" x14ac:dyDescent="0.2">
      <c r="A6972" t="s">
        <v>8513</v>
      </c>
      <c r="B6972" s="2">
        <v>43182</v>
      </c>
      <c r="C6972" t="s">
        <v>2591</v>
      </c>
      <c r="D6972" t="s">
        <v>1849</v>
      </c>
    </row>
    <row r="6973" spans="1:4" x14ac:dyDescent="0.2">
      <c r="A6973" t="s">
        <v>8514</v>
      </c>
      <c r="B6973" s="2">
        <v>43215</v>
      </c>
      <c r="C6973" t="s">
        <v>1867</v>
      </c>
      <c r="D6973" t="s">
        <v>1810</v>
      </c>
    </row>
    <row r="6974" spans="1:4" x14ac:dyDescent="0.2">
      <c r="A6974" t="s">
        <v>8515</v>
      </c>
      <c r="B6974" s="2">
        <v>43014</v>
      </c>
      <c r="C6974" t="s">
        <v>1814</v>
      </c>
      <c r="D6974" t="s">
        <v>1810</v>
      </c>
    </row>
    <row r="6975" spans="1:4" x14ac:dyDescent="0.2">
      <c r="A6975" t="s">
        <v>8516</v>
      </c>
      <c r="B6975" s="2">
        <v>43207</v>
      </c>
      <c r="C6975" t="s">
        <v>1930</v>
      </c>
      <c r="D6975" t="s">
        <v>1807</v>
      </c>
    </row>
    <row r="6976" spans="1:4" x14ac:dyDescent="0.2">
      <c r="A6976" t="s">
        <v>1580</v>
      </c>
      <c r="B6976" s="2">
        <v>43200</v>
      </c>
      <c r="C6976" t="s">
        <v>1832</v>
      </c>
      <c r="D6976" t="s">
        <v>1807</v>
      </c>
    </row>
    <row r="6977" spans="1:4" x14ac:dyDescent="0.2">
      <c r="A6977" t="s">
        <v>8517</v>
      </c>
      <c r="B6977" s="2">
        <v>43180</v>
      </c>
      <c r="C6977" t="s">
        <v>2062</v>
      </c>
      <c r="D6977" t="s">
        <v>1810</v>
      </c>
    </row>
    <row r="6978" spans="1:4" x14ac:dyDescent="0.2">
      <c r="A6978" t="s">
        <v>8518</v>
      </c>
      <c r="B6978" s="2">
        <v>43127</v>
      </c>
      <c r="C6978" t="s">
        <v>1825</v>
      </c>
      <c r="D6978" t="s">
        <v>1810</v>
      </c>
    </row>
    <row r="6979" spans="1:4" x14ac:dyDescent="0.2">
      <c r="A6979" t="s">
        <v>1582</v>
      </c>
      <c r="B6979" s="2">
        <v>43157</v>
      </c>
      <c r="C6979" t="s">
        <v>2344</v>
      </c>
      <c r="D6979" t="s">
        <v>1840</v>
      </c>
    </row>
    <row r="6980" spans="1:4" x14ac:dyDescent="0.2">
      <c r="A6980" t="s">
        <v>8519</v>
      </c>
      <c r="B6980" s="2">
        <v>42997</v>
      </c>
      <c r="C6980" t="s">
        <v>1867</v>
      </c>
      <c r="D6980" t="s">
        <v>1807</v>
      </c>
    </row>
    <row r="6981" spans="1:4" x14ac:dyDescent="0.2">
      <c r="A6981" t="s">
        <v>8520</v>
      </c>
      <c r="B6981" s="2">
        <v>43188</v>
      </c>
      <c r="C6981" t="s">
        <v>1867</v>
      </c>
      <c r="D6981" t="s">
        <v>1807</v>
      </c>
    </row>
    <row r="6982" spans="1:4" x14ac:dyDescent="0.2">
      <c r="A6982" t="s">
        <v>1584</v>
      </c>
      <c r="B6982" s="2">
        <v>43222</v>
      </c>
      <c r="C6982" t="s">
        <v>1902</v>
      </c>
      <c r="D6982" t="s">
        <v>1810</v>
      </c>
    </row>
    <row r="6983" spans="1:4" x14ac:dyDescent="0.2">
      <c r="A6983" t="s">
        <v>8521</v>
      </c>
      <c r="B6983" s="2">
        <v>43186</v>
      </c>
      <c r="C6983" t="s">
        <v>1863</v>
      </c>
      <c r="D6983" t="s">
        <v>1829</v>
      </c>
    </row>
    <row r="6984" spans="1:4" x14ac:dyDescent="0.2">
      <c r="A6984" t="s">
        <v>8522</v>
      </c>
      <c r="B6984" s="2">
        <v>43137</v>
      </c>
      <c r="C6984" t="s">
        <v>2066</v>
      </c>
      <c r="D6984" t="s">
        <v>1813</v>
      </c>
    </row>
    <row r="6985" spans="1:4" x14ac:dyDescent="0.2">
      <c r="A6985" t="s">
        <v>8523</v>
      </c>
      <c r="B6985" s="2">
        <v>43212</v>
      </c>
      <c r="C6985" t="s">
        <v>1863</v>
      </c>
      <c r="D6985" t="s">
        <v>1804</v>
      </c>
    </row>
    <row r="6986" spans="1:4" x14ac:dyDescent="0.2">
      <c r="A6986" t="s">
        <v>8524</v>
      </c>
      <c r="B6986" s="2">
        <v>42968</v>
      </c>
      <c r="C6986" t="s">
        <v>3161</v>
      </c>
      <c r="D6986" t="s">
        <v>1829</v>
      </c>
    </row>
    <row r="6987" spans="1:4" x14ac:dyDescent="0.2">
      <c r="A6987" t="s">
        <v>8525</v>
      </c>
      <c r="B6987" s="2">
        <v>43019</v>
      </c>
      <c r="C6987" t="s">
        <v>1803</v>
      </c>
      <c r="D6987" t="s">
        <v>1804</v>
      </c>
    </row>
    <row r="6988" spans="1:4" x14ac:dyDescent="0.2">
      <c r="A6988" t="s">
        <v>8526</v>
      </c>
      <c r="B6988" s="2">
        <v>42949</v>
      </c>
      <c r="C6988" t="s">
        <v>1865</v>
      </c>
      <c r="D6988" t="s">
        <v>1810</v>
      </c>
    </row>
    <row r="6989" spans="1:4" x14ac:dyDescent="0.2">
      <c r="A6989" t="s">
        <v>8527</v>
      </c>
      <c r="B6989" s="2">
        <v>42996</v>
      </c>
      <c r="C6989" t="s">
        <v>3178</v>
      </c>
      <c r="D6989" t="s">
        <v>1031</v>
      </c>
    </row>
    <row r="6990" spans="1:4" x14ac:dyDescent="0.2">
      <c r="A6990" t="s">
        <v>8528</v>
      </c>
      <c r="B6990" s="2">
        <v>43215</v>
      </c>
      <c r="C6990" t="s">
        <v>1998</v>
      </c>
      <c r="D6990" t="s">
        <v>1807</v>
      </c>
    </row>
    <row r="6991" spans="1:4" x14ac:dyDescent="0.2">
      <c r="A6991" t="s">
        <v>8529</v>
      </c>
      <c r="B6991" s="2">
        <v>43110</v>
      </c>
      <c r="C6991" t="s">
        <v>1867</v>
      </c>
      <c r="D6991" t="s">
        <v>1810</v>
      </c>
    </row>
    <row r="6992" spans="1:4" x14ac:dyDescent="0.2">
      <c r="A6992" t="s">
        <v>8530</v>
      </c>
      <c r="B6992" s="2">
        <v>43238</v>
      </c>
      <c r="C6992" t="s">
        <v>2831</v>
      </c>
      <c r="D6992" t="s">
        <v>1807</v>
      </c>
    </row>
    <row r="6993" spans="1:4" x14ac:dyDescent="0.2">
      <c r="A6993" t="s">
        <v>8531</v>
      </c>
      <c r="B6993" s="2">
        <v>43137</v>
      </c>
      <c r="C6993" t="s">
        <v>3827</v>
      </c>
      <c r="D6993" t="s">
        <v>1810</v>
      </c>
    </row>
    <row r="6994" spans="1:4" x14ac:dyDescent="0.2">
      <c r="A6994" t="s">
        <v>8532</v>
      </c>
      <c r="B6994" s="2">
        <v>43106</v>
      </c>
      <c r="C6994" t="s">
        <v>1809</v>
      </c>
      <c r="D6994" t="s">
        <v>1810</v>
      </c>
    </row>
    <row r="6995" spans="1:4" x14ac:dyDescent="0.2">
      <c r="A6995" t="s">
        <v>8533</v>
      </c>
      <c r="B6995" s="2">
        <v>43194</v>
      </c>
      <c r="C6995" t="s">
        <v>2503</v>
      </c>
      <c r="D6995" t="s">
        <v>1810</v>
      </c>
    </row>
    <row r="6996" spans="1:4" x14ac:dyDescent="0.2">
      <c r="A6996" t="s">
        <v>8534</v>
      </c>
      <c r="B6996" s="2">
        <v>42933</v>
      </c>
      <c r="C6996" t="s">
        <v>1867</v>
      </c>
      <c r="D6996" t="s">
        <v>1810</v>
      </c>
    </row>
    <row r="6997" spans="1:4" x14ac:dyDescent="0.2">
      <c r="A6997" t="s">
        <v>8535</v>
      </c>
      <c r="B6997" s="2">
        <v>43013</v>
      </c>
      <c r="C6997" t="s">
        <v>1900</v>
      </c>
      <c r="D6997" t="s">
        <v>1829</v>
      </c>
    </row>
    <row r="6998" spans="1:4" x14ac:dyDescent="0.2">
      <c r="A6998" t="s">
        <v>8536</v>
      </c>
      <c r="B6998" s="2">
        <v>43236</v>
      </c>
      <c r="C6998" t="s">
        <v>1930</v>
      </c>
      <c r="D6998" t="s">
        <v>1829</v>
      </c>
    </row>
    <row r="6999" spans="1:4" x14ac:dyDescent="0.2">
      <c r="A6999" t="s">
        <v>8537</v>
      </c>
      <c r="B6999" s="2">
        <v>43036</v>
      </c>
      <c r="C6999" t="s">
        <v>1905</v>
      </c>
      <c r="D6999" t="s">
        <v>1840</v>
      </c>
    </row>
    <row r="7000" spans="1:4" x14ac:dyDescent="0.2">
      <c r="A7000" t="s">
        <v>8538</v>
      </c>
      <c r="B7000" s="2">
        <v>43183</v>
      </c>
      <c r="C7000" t="s">
        <v>1863</v>
      </c>
      <c r="D7000" t="s">
        <v>1804</v>
      </c>
    </row>
    <row r="7001" spans="1:4" x14ac:dyDescent="0.2">
      <c r="A7001" t="s">
        <v>8539</v>
      </c>
      <c r="B7001" s="2">
        <v>43146</v>
      </c>
      <c r="C7001" t="s">
        <v>1803</v>
      </c>
      <c r="D7001" t="s">
        <v>1804</v>
      </c>
    </row>
    <row r="7002" spans="1:4" x14ac:dyDescent="0.2">
      <c r="A7002" t="s">
        <v>8540</v>
      </c>
      <c r="B7002" s="2">
        <v>43002</v>
      </c>
      <c r="C7002" t="s">
        <v>1894</v>
      </c>
      <c r="D7002" t="s">
        <v>1804</v>
      </c>
    </row>
    <row r="7003" spans="1:4" x14ac:dyDescent="0.2">
      <c r="A7003" t="s">
        <v>8541</v>
      </c>
      <c r="B7003" s="2">
        <v>43223</v>
      </c>
      <c r="C7003" t="s">
        <v>1836</v>
      </c>
      <c r="D7003" t="s">
        <v>1810</v>
      </c>
    </row>
    <row r="7004" spans="1:4" x14ac:dyDescent="0.2">
      <c r="A7004" t="s">
        <v>8542</v>
      </c>
      <c r="B7004" s="2">
        <v>43124</v>
      </c>
      <c r="C7004" t="s">
        <v>1836</v>
      </c>
      <c r="D7004" t="s">
        <v>1031</v>
      </c>
    </row>
    <row r="7005" spans="1:4" x14ac:dyDescent="0.2">
      <c r="A7005" t="s">
        <v>8543</v>
      </c>
      <c r="B7005" s="2">
        <v>43245</v>
      </c>
      <c r="C7005" t="s">
        <v>2831</v>
      </c>
      <c r="D7005" t="s">
        <v>1810</v>
      </c>
    </row>
    <row r="7006" spans="1:4" x14ac:dyDescent="0.2">
      <c r="A7006" t="s">
        <v>8544</v>
      </c>
      <c r="B7006" s="2">
        <v>43056</v>
      </c>
      <c r="C7006" t="s">
        <v>1836</v>
      </c>
      <c r="D7006" t="s">
        <v>1031</v>
      </c>
    </row>
    <row r="7007" spans="1:4" x14ac:dyDescent="0.2">
      <c r="A7007" t="s">
        <v>8545</v>
      </c>
      <c r="B7007" s="2">
        <v>43236</v>
      </c>
      <c r="C7007" t="s">
        <v>1809</v>
      </c>
      <c r="D7007" t="s">
        <v>1810</v>
      </c>
    </row>
    <row r="7008" spans="1:4" x14ac:dyDescent="0.2">
      <c r="A7008" t="s">
        <v>8546</v>
      </c>
      <c r="B7008" s="2">
        <v>43173</v>
      </c>
      <c r="C7008" t="s">
        <v>1836</v>
      </c>
      <c r="D7008" t="s">
        <v>1031</v>
      </c>
    </row>
    <row r="7009" spans="1:4" x14ac:dyDescent="0.2">
      <c r="A7009" t="s">
        <v>8547</v>
      </c>
      <c r="B7009" s="2">
        <v>43062</v>
      </c>
      <c r="C7009" t="s">
        <v>1836</v>
      </c>
      <c r="D7009" t="s">
        <v>1031</v>
      </c>
    </row>
    <row r="7010" spans="1:4" x14ac:dyDescent="0.2">
      <c r="A7010" t="s">
        <v>1586</v>
      </c>
      <c r="B7010" s="2">
        <v>43155</v>
      </c>
      <c r="C7010" t="s">
        <v>1816</v>
      </c>
      <c r="D7010" t="s">
        <v>1810</v>
      </c>
    </row>
    <row r="7011" spans="1:4" x14ac:dyDescent="0.2">
      <c r="A7011" t="s">
        <v>8548</v>
      </c>
      <c r="B7011" s="2">
        <v>43185</v>
      </c>
      <c r="C7011" t="s">
        <v>1825</v>
      </c>
      <c r="D7011" t="s">
        <v>1810</v>
      </c>
    </row>
    <row r="7012" spans="1:4" x14ac:dyDescent="0.2">
      <c r="A7012" t="s">
        <v>8549</v>
      </c>
      <c r="B7012" s="2">
        <v>43150</v>
      </c>
      <c r="C7012" t="s">
        <v>4439</v>
      </c>
      <c r="D7012" t="s">
        <v>1810</v>
      </c>
    </row>
    <row r="7013" spans="1:4" x14ac:dyDescent="0.2">
      <c r="A7013" t="s">
        <v>8550</v>
      </c>
      <c r="B7013" s="2">
        <v>43200</v>
      </c>
      <c r="C7013" t="s">
        <v>1814</v>
      </c>
      <c r="D7013" t="s">
        <v>1810</v>
      </c>
    </row>
    <row r="7014" spans="1:4" x14ac:dyDescent="0.2">
      <c r="A7014" t="s">
        <v>8551</v>
      </c>
      <c r="B7014" s="2">
        <v>43123</v>
      </c>
      <c r="C7014" t="s">
        <v>1930</v>
      </c>
      <c r="D7014" t="s">
        <v>1840</v>
      </c>
    </row>
    <row r="7015" spans="1:4" x14ac:dyDescent="0.2">
      <c r="A7015" t="s">
        <v>8552</v>
      </c>
      <c r="B7015" s="2">
        <v>43152</v>
      </c>
      <c r="C7015" t="s">
        <v>1907</v>
      </c>
      <c r="D7015" t="s">
        <v>1807</v>
      </c>
    </row>
    <row r="7016" spans="1:4" x14ac:dyDescent="0.2">
      <c r="A7016" t="s">
        <v>8553</v>
      </c>
      <c r="B7016" s="2">
        <v>43186</v>
      </c>
      <c r="C7016" t="s">
        <v>1930</v>
      </c>
      <c r="D7016" t="s">
        <v>1807</v>
      </c>
    </row>
    <row r="7017" spans="1:4" x14ac:dyDescent="0.2">
      <c r="A7017" t="s">
        <v>8554</v>
      </c>
      <c r="B7017" s="2">
        <v>43159</v>
      </c>
      <c r="C7017" t="s">
        <v>1987</v>
      </c>
      <c r="D7017" t="s">
        <v>1810</v>
      </c>
    </row>
    <row r="7018" spans="1:4" x14ac:dyDescent="0.2">
      <c r="A7018" t="s">
        <v>8555</v>
      </c>
      <c r="B7018" s="2">
        <v>43145</v>
      </c>
      <c r="C7018" t="s">
        <v>1921</v>
      </c>
      <c r="D7018" t="s">
        <v>1810</v>
      </c>
    </row>
    <row r="7019" spans="1:4" x14ac:dyDescent="0.2">
      <c r="A7019" t="s">
        <v>1588</v>
      </c>
      <c r="B7019" s="2">
        <v>43208</v>
      </c>
      <c r="C7019" t="s">
        <v>1836</v>
      </c>
      <c r="D7019" t="s">
        <v>1810</v>
      </c>
    </row>
    <row r="7020" spans="1:4" x14ac:dyDescent="0.2">
      <c r="A7020" t="s">
        <v>8556</v>
      </c>
      <c r="B7020" s="2">
        <v>43126</v>
      </c>
      <c r="C7020" t="s">
        <v>1930</v>
      </c>
      <c r="D7020" t="s">
        <v>1807</v>
      </c>
    </row>
    <row r="7021" spans="1:4" x14ac:dyDescent="0.2">
      <c r="A7021" t="s">
        <v>1590</v>
      </c>
      <c r="B7021" s="2">
        <v>43137</v>
      </c>
      <c r="C7021" t="s">
        <v>1930</v>
      </c>
      <c r="D7021" t="s">
        <v>1807</v>
      </c>
    </row>
    <row r="7022" spans="1:4" x14ac:dyDescent="0.2">
      <c r="A7022" t="s">
        <v>8557</v>
      </c>
      <c r="B7022" s="2">
        <v>43184</v>
      </c>
      <c r="C7022" t="s">
        <v>1825</v>
      </c>
      <c r="D7022" t="s">
        <v>1810</v>
      </c>
    </row>
    <row r="7023" spans="1:4" x14ac:dyDescent="0.2">
      <c r="A7023" t="s">
        <v>1592</v>
      </c>
      <c r="B7023" s="2">
        <v>43130</v>
      </c>
      <c r="C7023" t="s">
        <v>1816</v>
      </c>
      <c r="D7023" t="s">
        <v>1810</v>
      </c>
    </row>
    <row r="7024" spans="1:4" x14ac:dyDescent="0.2">
      <c r="A7024" t="s">
        <v>8558</v>
      </c>
      <c r="B7024" s="2">
        <v>43166</v>
      </c>
      <c r="C7024" t="s">
        <v>1816</v>
      </c>
      <c r="D7024" t="s">
        <v>1810</v>
      </c>
    </row>
    <row r="7025" spans="1:4" x14ac:dyDescent="0.2">
      <c r="A7025" t="s">
        <v>8559</v>
      </c>
      <c r="B7025" s="2">
        <v>42960</v>
      </c>
      <c r="C7025" t="s">
        <v>2576</v>
      </c>
      <c r="D7025" t="s">
        <v>1031</v>
      </c>
    </row>
    <row r="7026" spans="1:4" x14ac:dyDescent="0.2">
      <c r="A7026" t="s">
        <v>8560</v>
      </c>
      <c r="B7026" s="2">
        <v>43105</v>
      </c>
      <c r="C7026" t="s">
        <v>1930</v>
      </c>
      <c r="D7026" t="s">
        <v>1807</v>
      </c>
    </row>
    <row r="7027" spans="1:4" x14ac:dyDescent="0.2">
      <c r="A7027" t="s">
        <v>8561</v>
      </c>
      <c r="B7027" s="2">
        <v>43179</v>
      </c>
      <c r="C7027" t="s">
        <v>1816</v>
      </c>
      <c r="D7027" t="s">
        <v>1910</v>
      </c>
    </row>
    <row r="7028" spans="1:4" x14ac:dyDescent="0.2">
      <c r="A7028" t="s">
        <v>8562</v>
      </c>
      <c r="B7028" s="2">
        <v>43210</v>
      </c>
      <c r="C7028" t="s">
        <v>1863</v>
      </c>
      <c r="D7028" t="s">
        <v>1804</v>
      </c>
    </row>
    <row r="7029" spans="1:4" x14ac:dyDescent="0.2">
      <c r="A7029" t="s">
        <v>8563</v>
      </c>
      <c r="B7029" s="2">
        <v>43126</v>
      </c>
      <c r="C7029" t="s">
        <v>1996</v>
      </c>
      <c r="D7029" t="s">
        <v>1804</v>
      </c>
    </row>
    <row r="7030" spans="1:4" x14ac:dyDescent="0.2">
      <c r="A7030" t="s">
        <v>8564</v>
      </c>
      <c r="B7030" s="2">
        <v>43188</v>
      </c>
      <c r="C7030" t="s">
        <v>1875</v>
      </c>
      <c r="D7030" t="s">
        <v>1810</v>
      </c>
    </row>
    <row r="7031" spans="1:4" x14ac:dyDescent="0.2">
      <c r="A7031" t="s">
        <v>8565</v>
      </c>
      <c r="B7031" s="2">
        <v>43232</v>
      </c>
      <c r="C7031" t="s">
        <v>1863</v>
      </c>
      <c r="D7031" t="s">
        <v>1804</v>
      </c>
    </row>
    <row r="7032" spans="1:4" x14ac:dyDescent="0.2">
      <c r="A7032" t="s">
        <v>8566</v>
      </c>
      <c r="B7032" s="2">
        <v>42969</v>
      </c>
      <c r="C7032" t="s">
        <v>1843</v>
      </c>
      <c r="D7032" t="s">
        <v>1807</v>
      </c>
    </row>
    <row r="7033" spans="1:4" x14ac:dyDescent="0.2">
      <c r="A7033" t="s">
        <v>8567</v>
      </c>
      <c r="B7033" s="2">
        <v>43230</v>
      </c>
      <c r="C7033" t="s">
        <v>1902</v>
      </c>
      <c r="D7033" t="s">
        <v>1840</v>
      </c>
    </row>
    <row r="7034" spans="1:4" x14ac:dyDescent="0.2">
      <c r="A7034" t="s">
        <v>8568</v>
      </c>
      <c r="B7034" s="2">
        <v>43102</v>
      </c>
      <c r="C7034" t="s">
        <v>1930</v>
      </c>
      <c r="D7034" t="s">
        <v>1829</v>
      </c>
    </row>
    <row r="7035" spans="1:4" x14ac:dyDescent="0.2">
      <c r="A7035" t="s">
        <v>1594</v>
      </c>
      <c r="B7035" s="2">
        <v>43055</v>
      </c>
      <c r="C7035" t="s">
        <v>1836</v>
      </c>
      <c r="D7035" t="s">
        <v>1031</v>
      </c>
    </row>
    <row r="7036" spans="1:4" x14ac:dyDescent="0.2">
      <c r="A7036" t="s">
        <v>8569</v>
      </c>
      <c r="B7036" s="2">
        <v>43067</v>
      </c>
      <c r="C7036" t="s">
        <v>1867</v>
      </c>
      <c r="D7036" t="s">
        <v>1810</v>
      </c>
    </row>
    <row r="7037" spans="1:4" x14ac:dyDescent="0.2">
      <c r="A7037" t="s">
        <v>8570</v>
      </c>
      <c r="B7037" s="2">
        <v>43089</v>
      </c>
      <c r="C7037" t="s">
        <v>1905</v>
      </c>
      <c r="D7037" t="s">
        <v>1810</v>
      </c>
    </row>
    <row r="7038" spans="1:4" x14ac:dyDescent="0.2">
      <c r="A7038" t="s">
        <v>8571</v>
      </c>
      <c r="B7038" s="2">
        <v>42953</v>
      </c>
      <c r="C7038" t="s">
        <v>1816</v>
      </c>
      <c r="D7038" t="s">
        <v>1840</v>
      </c>
    </row>
    <row r="7039" spans="1:4" x14ac:dyDescent="0.2">
      <c r="A7039" t="s">
        <v>8572</v>
      </c>
      <c r="B7039" s="2">
        <v>43133</v>
      </c>
      <c r="C7039" t="s">
        <v>1803</v>
      </c>
      <c r="D7039" t="s">
        <v>1804</v>
      </c>
    </row>
    <row r="7040" spans="1:4" x14ac:dyDescent="0.2">
      <c r="A7040" t="s">
        <v>8573</v>
      </c>
      <c r="B7040" s="2">
        <v>43164</v>
      </c>
      <c r="C7040" t="s">
        <v>2054</v>
      </c>
      <c r="D7040" t="s">
        <v>1031</v>
      </c>
    </row>
    <row r="7041" spans="1:4" x14ac:dyDescent="0.2">
      <c r="A7041" t="s">
        <v>8574</v>
      </c>
      <c r="B7041" s="2">
        <v>43160</v>
      </c>
      <c r="C7041" t="s">
        <v>2056</v>
      </c>
      <c r="D7041" t="s">
        <v>1807</v>
      </c>
    </row>
    <row r="7042" spans="1:4" x14ac:dyDescent="0.2">
      <c r="A7042" t="s">
        <v>8575</v>
      </c>
      <c r="B7042" s="2">
        <v>43228</v>
      </c>
      <c r="C7042" t="s">
        <v>8576</v>
      </c>
      <c r="D7042" t="s">
        <v>1813</v>
      </c>
    </row>
    <row r="7043" spans="1:4" x14ac:dyDescent="0.2">
      <c r="A7043" t="s">
        <v>1596</v>
      </c>
      <c r="B7043" s="2">
        <v>43230</v>
      </c>
      <c r="C7043" t="s">
        <v>8577</v>
      </c>
      <c r="D7043" t="s">
        <v>1796</v>
      </c>
    </row>
    <row r="7044" spans="1:4" x14ac:dyDescent="0.2">
      <c r="A7044" t="s">
        <v>8578</v>
      </c>
      <c r="B7044" s="2">
        <v>43143</v>
      </c>
      <c r="C7044" t="s">
        <v>1836</v>
      </c>
      <c r="D7044" t="s">
        <v>1807</v>
      </c>
    </row>
    <row r="7045" spans="1:4" x14ac:dyDescent="0.2">
      <c r="A7045" t="s">
        <v>8579</v>
      </c>
      <c r="B7045" s="2">
        <v>43013</v>
      </c>
      <c r="C7045" t="s">
        <v>1900</v>
      </c>
      <c r="D7045" t="s">
        <v>1810</v>
      </c>
    </row>
    <row r="7046" spans="1:4" x14ac:dyDescent="0.2">
      <c r="A7046" t="s">
        <v>8580</v>
      </c>
      <c r="B7046" s="2">
        <v>43220</v>
      </c>
      <c r="C7046" t="s">
        <v>1816</v>
      </c>
      <c r="D7046" t="s">
        <v>1810</v>
      </c>
    </row>
    <row r="7047" spans="1:4" x14ac:dyDescent="0.2">
      <c r="A7047" t="s">
        <v>8581</v>
      </c>
      <c r="B7047" s="2">
        <v>43102</v>
      </c>
      <c r="C7047" t="s">
        <v>1867</v>
      </c>
      <c r="D7047" t="s">
        <v>1810</v>
      </c>
    </row>
    <row r="7048" spans="1:4" x14ac:dyDescent="0.2">
      <c r="A7048" t="s">
        <v>8582</v>
      </c>
      <c r="B7048" s="2">
        <v>43107</v>
      </c>
      <c r="C7048" t="s">
        <v>1816</v>
      </c>
      <c r="D7048" t="s">
        <v>1840</v>
      </c>
    </row>
    <row r="7049" spans="1:4" x14ac:dyDescent="0.2">
      <c r="A7049" t="s">
        <v>1598</v>
      </c>
      <c r="B7049" s="2">
        <v>43020</v>
      </c>
      <c r="C7049" t="s">
        <v>1809</v>
      </c>
      <c r="D7049" t="s">
        <v>1807</v>
      </c>
    </row>
    <row r="7050" spans="1:4" x14ac:dyDescent="0.2">
      <c r="A7050" t="s">
        <v>8583</v>
      </c>
      <c r="B7050" s="2">
        <v>43220</v>
      </c>
      <c r="C7050" t="s">
        <v>8584</v>
      </c>
      <c r="D7050" t="s">
        <v>1810</v>
      </c>
    </row>
    <row r="7051" spans="1:4" x14ac:dyDescent="0.2">
      <c r="A7051" t="s">
        <v>8585</v>
      </c>
      <c r="B7051" s="2">
        <v>43172</v>
      </c>
      <c r="C7051" t="s">
        <v>2108</v>
      </c>
      <c r="D7051" t="s">
        <v>1813</v>
      </c>
    </row>
    <row r="7052" spans="1:4" x14ac:dyDescent="0.2">
      <c r="A7052" t="s">
        <v>8586</v>
      </c>
      <c r="B7052" s="2">
        <v>43215</v>
      </c>
      <c r="C7052" t="s">
        <v>1832</v>
      </c>
      <c r="D7052" t="s">
        <v>1807</v>
      </c>
    </row>
    <row r="7053" spans="1:4" x14ac:dyDescent="0.2">
      <c r="A7053" t="s">
        <v>8587</v>
      </c>
      <c r="B7053" s="2">
        <v>42958</v>
      </c>
      <c r="C7053" t="s">
        <v>2576</v>
      </c>
      <c r="D7053" t="s">
        <v>1807</v>
      </c>
    </row>
    <row r="7054" spans="1:4" x14ac:dyDescent="0.2">
      <c r="A7054" t="s">
        <v>1600</v>
      </c>
      <c r="B7054" s="2">
        <v>43166</v>
      </c>
      <c r="C7054" t="s">
        <v>1987</v>
      </c>
      <c r="D7054" t="s">
        <v>1807</v>
      </c>
    </row>
    <row r="7055" spans="1:4" x14ac:dyDescent="0.2">
      <c r="A7055" t="s">
        <v>8588</v>
      </c>
      <c r="B7055" s="2">
        <v>43174</v>
      </c>
      <c r="C7055" t="s">
        <v>1806</v>
      </c>
      <c r="D7055" t="s">
        <v>1810</v>
      </c>
    </row>
    <row r="7056" spans="1:4" x14ac:dyDescent="0.2">
      <c r="A7056" t="s">
        <v>8589</v>
      </c>
      <c r="B7056" s="2">
        <v>43181</v>
      </c>
      <c r="C7056" t="s">
        <v>1867</v>
      </c>
      <c r="D7056" t="s">
        <v>1840</v>
      </c>
    </row>
    <row r="7057" spans="1:4" x14ac:dyDescent="0.2">
      <c r="A7057" t="s">
        <v>8590</v>
      </c>
      <c r="B7057" s="2">
        <v>43104</v>
      </c>
      <c r="C7057" t="s">
        <v>1809</v>
      </c>
      <c r="D7057" t="s">
        <v>1810</v>
      </c>
    </row>
    <row r="7058" spans="1:4" x14ac:dyDescent="0.2">
      <c r="A7058" t="s">
        <v>1602</v>
      </c>
      <c r="B7058" s="2">
        <v>43201</v>
      </c>
      <c r="C7058" t="s">
        <v>1854</v>
      </c>
      <c r="D7058" t="s">
        <v>1807</v>
      </c>
    </row>
    <row r="7059" spans="1:4" x14ac:dyDescent="0.2">
      <c r="A7059" t="s">
        <v>8591</v>
      </c>
      <c r="B7059" s="2">
        <v>43137</v>
      </c>
      <c r="C7059" t="s">
        <v>3827</v>
      </c>
      <c r="D7059" t="s">
        <v>1813</v>
      </c>
    </row>
    <row r="7060" spans="1:4" x14ac:dyDescent="0.2">
      <c r="A7060" t="s">
        <v>8592</v>
      </c>
      <c r="B7060" s="2">
        <v>43193</v>
      </c>
      <c r="C7060" t="s">
        <v>1930</v>
      </c>
      <c r="D7060" t="s">
        <v>1807</v>
      </c>
    </row>
    <row r="7061" spans="1:4" x14ac:dyDescent="0.2">
      <c r="A7061" t="s">
        <v>8593</v>
      </c>
      <c r="B7061" s="2">
        <v>42996</v>
      </c>
      <c r="C7061" t="s">
        <v>2216</v>
      </c>
      <c r="D7061" t="s">
        <v>1807</v>
      </c>
    </row>
    <row r="7062" spans="1:4" x14ac:dyDescent="0.2">
      <c r="A7062" t="s">
        <v>8594</v>
      </c>
      <c r="B7062" s="2">
        <v>43244</v>
      </c>
      <c r="C7062" t="s">
        <v>1816</v>
      </c>
      <c r="D7062" t="s">
        <v>1810</v>
      </c>
    </row>
    <row r="7063" spans="1:4" x14ac:dyDescent="0.2">
      <c r="A7063" t="s">
        <v>1604</v>
      </c>
      <c r="B7063" s="2">
        <v>43226</v>
      </c>
      <c r="C7063" t="s">
        <v>1863</v>
      </c>
      <c r="D7063" t="s">
        <v>1804</v>
      </c>
    </row>
    <row r="7064" spans="1:4" x14ac:dyDescent="0.2">
      <c r="A7064" t="s">
        <v>8595</v>
      </c>
      <c r="B7064" s="2">
        <v>43058</v>
      </c>
      <c r="C7064" t="s">
        <v>2679</v>
      </c>
      <c r="D7064" t="s">
        <v>1840</v>
      </c>
    </row>
    <row r="7065" spans="1:4" x14ac:dyDescent="0.2">
      <c r="A7065" t="s">
        <v>8596</v>
      </c>
      <c r="B7065" s="2">
        <v>43130</v>
      </c>
      <c r="C7065" t="s">
        <v>8597</v>
      </c>
      <c r="D7065" t="s">
        <v>1810</v>
      </c>
    </row>
    <row r="7066" spans="1:4" x14ac:dyDescent="0.2">
      <c r="A7066" t="s">
        <v>1606</v>
      </c>
      <c r="B7066" s="2">
        <v>43172</v>
      </c>
      <c r="C7066" t="s">
        <v>1905</v>
      </c>
      <c r="D7066" t="s">
        <v>1810</v>
      </c>
    </row>
    <row r="7067" spans="1:4" x14ac:dyDescent="0.2">
      <c r="A7067" t="s">
        <v>8598</v>
      </c>
      <c r="B7067" s="2">
        <v>42925</v>
      </c>
      <c r="C7067" t="s">
        <v>1892</v>
      </c>
      <c r="D7067" t="s">
        <v>1849</v>
      </c>
    </row>
    <row r="7068" spans="1:4" x14ac:dyDescent="0.2">
      <c r="A7068" t="s">
        <v>8599</v>
      </c>
      <c r="B7068" s="2">
        <v>43159</v>
      </c>
      <c r="C7068" t="s">
        <v>3409</v>
      </c>
      <c r="D7068" t="s">
        <v>1810</v>
      </c>
    </row>
    <row r="7069" spans="1:4" x14ac:dyDescent="0.2">
      <c r="A7069" t="s">
        <v>8600</v>
      </c>
      <c r="B7069" s="2">
        <v>43069</v>
      </c>
      <c r="C7069" t="s">
        <v>1885</v>
      </c>
      <c r="D7069" t="s">
        <v>1807</v>
      </c>
    </row>
    <row r="7070" spans="1:4" x14ac:dyDescent="0.2">
      <c r="A7070" t="s">
        <v>8601</v>
      </c>
      <c r="B7070" s="2">
        <v>43061</v>
      </c>
      <c r="C7070" t="s">
        <v>1905</v>
      </c>
      <c r="D7070" t="s">
        <v>1810</v>
      </c>
    </row>
    <row r="7071" spans="1:4" x14ac:dyDescent="0.2">
      <c r="A7071" t="s">
        <v>8602</v>
      </c>
      <c r="B7071" s="2">
        <v>43245</v>
      </c>
      <c r="C7071" t="s">
        <v>1836</v>
      </c>
      <c r="D7071" t="s">
        <v>1031</v>
      </c>
    </row>
    <row r="7072" spans="1:4" x14ac:dyDescent="0.2">
      <c r="A7072" t="s">
        <v>8603</v>
      </c>
      <c r="B7072" s="2">
        <v>43208</v>
      </c>
      <c r="C7072" t="s">
        <v>1930</v>
      </c>
      <c r="D7072" t="s">
        <v>1807</v>
      </c>
    </row>
    <row r="7073" spans="1:4" x14ac:dyDescent="0.2">
      <c r="A7073" t="s">
        <v>8604</v>
      </c>
      <c r="B7073" s="2">
        <v>43185</v>
      </c>
      <c r="C7073" t="s">
        <v>1921</v>
      </c>
      <c r="D7073" t="s">
        <v>1829</v>
      </c>
    </row>
    <row r="7074" spans="1:4" x14ac:dyDescent="0.2">
      <c r="A7074" t="s">
        <v>8605</v>
      </c>
      <c r="B7074" s="2">
        <v>43232</v>
      </c>
      <c r="C7074" t="s">
        <v>1996</v>
      </c>
      <c r="D7074" t="s">
        <v>1804</v>
      </c>
    </row>
    <row r="7075" spans="1:4" x14ac:dyDescent="0.2">
      <c r="A7075" t="s">
        <v>8606</v>
      </c>
      <c r="B7075" s="2">
        <v>43010</v>
      </c>
      <c r="C7075" t="s">
        <v>1836</v>
      </c>
      <c r="D7075" t="s">
        <v>1031</v>
      </c>
    </row>
    <row r="7076" spans="1:4" x14ac:dyDescent="0.2">
      <c r="A7076" t="s">
        <v>8607</v>
      </c>
      <c r="B7076" s="2">
        <v>42948</v>
      </c>
      <c r="C7076" t="s">
        <v>1867</v>
      </c>
      <c r="D7076" t="s">
        <v>1813</v>
      </c>
    </row>
    <row r="7077" spans="1:4" x14ac:dyDescent="0.2">
      <c r="A7077" t="s">
        <v>8608</v>
      </c>
      <c r="B7077" s="2">
        <v>43214</v>
      </c>
      <c r="C7077" t="s">
        <v>2048</v>
      </c>
      <c r="D7077" t="s">
        <v>1804</v>
      </c>
    </row>
    <row r="7078" spans="1:4" x14ac:dyDescent="0.2">
      <c r="A7078" t="s">
        <v>8609</v>
      </c>
      <c r="B7078" s="2">
        <v>43124</v>
      </c>
      <c r="C7078" t="s">
        <v>3315</v>
      </c>
      <c r="D7078" t="s">
        <v>1807</v>
      </c>
    </row>
    <row r="7079" spans="1:4" x14ac:dyDescent="0.2">
      <c r="A7079" t="s">
        <v>8610</v>
      </c>
      <c r="B7079" s="2">
        <v>43061</v>
      </c>
      <c r="C7079" t="s">
        <v>1905</v>
      </c>
      <c r="D7079" t="s">
        <v>1810</v>
      </c>
    </row>
    <row r="7080" spans="1:4" x14ac:dyDescent="0.2">
      <c r="A7080" t="s">
        <v>8611</v>
      </c>
      <c r="B7080" s="2">
        <v>43150</v>
      </c>
      <c r="C7080" t="s">
        <v>1816</v>
      </c>
      <c r="D7080" t="s">
        <v>1810</v>
      </c>
    </row>
    <row r="7081" spans="1:4" x14ac:dyDescent="0.2">
      <c r="A7081" t="s">
        <v>8612</v>
      </c>
      <c r="B7081" s="2">
        <v>43174</v>
      </c>
      <c r="C7081" t="s">
        <v>1831</v>
      </c>
      <c r="D7081" t="s">
        <v>1829</v>
      </c>
    </row>
    <row r="7082" spans="1:4" x14ac:dyDescent="0.2">
      <c r="A7082" t="s">
        <v>8613</v>
      </c>
      <c r="B7082" s="2">
        <v>43114</v>
      </c>
      <c r="C7082" t="s">
        <v>1905</v>
      </c>
      <c r="D7082" t="s">
        <v>1810</v>
      </c>
    </row>
    <row r="7083" spans="1:4" x14ac:dyDescent="0.2">
      <c r="A7083" t="s">
        <v>8614</v>
      </c>
      <c r="B7083" s="2">
        <v>42992</v>
      </c>
      <c r="C7083" t="s">
        <v>1892</v>
      </c>
      <c r="D7083" t="s">
        <v>1840</v>
      </c>
    </row>
    <row r="7084" spans="1:4" x14ac:dyDescent="0.2">
      <c r="A7084" t="s">
        <v>8615</v>
      </c>
      <c r="B7084" s="2">
        <v>43062</v>
      </c>
      <c r="C7084" t="s">
        <v>1836</v>
      </c>
      <c r="D7084" t="s">
        <v>1031</v>
      </c>
    </row>
    <row r="7085" spans="1:4" x14ac:dyDescent="0.2">
      <c r="A7085" t="s">
        <v>8616</v>
      </c>
      <c r="B7085" s="2">
        <v>43225</v>
      </c>
      <c r="C7085" t="s">
        <v>1825</v>
      </c>
      <c r="D7085" t="s">
        <v>1810</v>
      </c>
    </row>
    <row r="7086" spans="1:4" x14ac:dyDescent="0.2">
      <c r="A7086" t="s">
        <v>8617</v>
      </c>
      <c r="B7086" s="2">
        <v>43160</v>
      </c>
      <c r="C7086" t="s">
        <v>2056</v>
      </c>
      <c r="D7086" t="s">
        <v>1810</v>
      </c>
    </row>
    <row r="7087" spans="1:4" x14ac:dyDescent="0.2">
      <c r="A7087" t="s">
        <v>8618</v>
      </c>
      <c r="B7087" s="2">
        <v>43055</v>
      </c>
      <c r="C7087" t="s">
        <v>1809</v>
      </c>
      <c r="D7087" t="s">
        <v>1810</v>
      </c>
    </row>
    <row r="7088" spans="1:4" x14ac:dyDescent="0.2">
      <c r="A7088" t="s">
        <v>8619</v>
      </c>
      <c r="B7088" s="2">
        <v>43130</v>
      </c>
      <c r="C7088" t="s">
        <v>1816</v>
      </c>
      <c r="D7088" t="s">
        <v>1807</v>
      </c>
    </row>
    <row r="7089" spans="1:4" x14ac:dyDescent="0.2">
      <c r="A7089" t="s">
        <v>8620</v>
      </c>
      <c r="B7089" s="2">
        <v>43224</v>
      </c>
      <c r="C7089" t="s">
        <v>1863</v>
      </c>
      <c r="D7089" t="s">
        <v>1804</v>
      </c>
    </row>
    <row r="7090" spans="1:4" x14ac:dyDescent="0.2">
      <c r="A7090" t="s">
        <v>8621</v>
      </c>
      <c r="B7090" s="2">
        <v>43103</v>
      </c>
      <c r="C7090" t="s">
        <v>1816</v>
      </c>
      <c r="D7090" t="s">
        <v>1807</v>
      </c>
    </row>
    <row r="7091" spans="1:4" x14ac:dyDescent="0.2">
      <c r="A7091" t="s">
        <v>8622</v>
      </c>
      <c r="B7091" s="2">
        <v>42980</v>
      </c>
      <c r="C7091" t="s">
        <v>1816</v>
      </c>
      <c r="D7091" t="s">
        <v>1810</v>
      </c>
    </row>
    <row r="7092" spans="1:4" x14ac:dyDescent="0.2">
      <c r="A7092" t="s">
        <v>8623</v>
      </c>
      <c r="B7092" s="2">
        <v>43065</v>
      </c>
      <c r="C7092" t="s">
        <v>1930</v>
      </c>
      <c r="D7092" t="s">
        <v>1807</v>
      </c>
    </row>
    <row r="7093" spans="1:4" x14ac:dyDescent="0.2">
      <c r="A7093" t="s">
        <v>8624</v>
      </c>
      <c r="B7093" s="2">
        <v>43122</v>
      </c>
      <c r="C7093" t="s">
        <v>1803</v>
      </c>
      <c r="D7093" t="s">
        <v>1804</v>
      </c>
    </row>
    <row r="7094" spans="1:4" x14ac:dyDescent="0.2">
      <c r="A7094" t="s">
        <v>8625</v>
      </c>
      <c r="B7094" s="2">
        <v>43150</v>
      </c>
      <c r="C7094" t="s">
        <v>1825</v>
      </c>
      <c r="D7094" t="s">
        <v>1829</v>
      </c>
    </row>
    <row r="7095" spans="1:4" x14ac:dyDescent="0.2">
      <c r="A7095" t="s">
        <v>8626</v>
      </c>
      <c r="B7095" s="2">
        <v>43162</v>
      </c>
      <c r="C7095" t="s">
        <v>1885</v>
      </c>
      <c r="D7095" t="s">
        <v>1807</v>
      </c>
    </row>
    <row r="7096" spans="1:4" x14ac:dyDescent="0.2">
      <c r="A7096" t="s">
        <v>8627</v>
      </c>
      <c r="B7096" s="2">
        <v>43109</v>
      </c>
      <c r="C7096" t="s">
        <v>1930</v>
      </c>
      <c r="D7096" t="s">
        <v>1807</v>
      </c>
    </row>
    <row r="7097" spans="1:4" x14ac:dyDescent="0.2">
      <c r="A7097" t="s">
        <v>8628</v>
      </c>
      <c r="B7097" s="2">
        <v>43234</v>
      </c>
      <c r="C7097" t="s">
        <v>1930</v>
      </c>
      <c r="D7097" t="s">
        <v>1807</v>
      </c>
    </row>
    <row r="7098" spans="1:4" x14ac:dyDescent="0.2">
      <c r="A7098" t="s">
        <v>8629</v>
      </c>
      <c r="B7098" s="2">
        <v>43179</v>
      </c>
      <c r="C7098" t="s">
        <v>1867</v>
      </c>
      <c r="D7098" t="s">
        <v>1807</v>
      </c>
    </row>
    <row r="7099" spans="1:4" x14ac:dyDescent="0.2">
      <c r="A7099" t="s">
        <v>8630</v>
      </c>
      <c r="B7099" s="2">
        <v>43117</v>
      </c>
      <c r="C7099" t="s">
        <v>2819</v>
      </c>
      <c r="D7099" t="s">
        <v>1813</v>
      </c>
    </row>
    <row r="7100" spans="1:4" x14ac:dyDescent="0.2">
      <c r="A7100" t="s">
        <v>8631</v>
      </c>
      <c r="B7100" s="2">
        <v>42934</v>
      </c>
      <c r="C7100" t="s">
        <v>1836</v>
      </c>
      <c r="D7100" t="s">
        <v>1031</v>
      </c>
    </row>
    <row r="7101" spans="1:4" x14ac:dyDescent="0.2">
      <c r="A7101" t="s">
        <v>8632</v>
      </c>
      <c r="B7101" s="2">
        <v>43146</v>
      </c>
      <c r="C7101" t="s">
        <v>8633</v>
      </c>
      <c r="D7101" t="s">
        <v>1807</v>
      </c>
    </row>
    <row r="7102" spans="1:4" x14ac:dyDescent="0.2">
      <c r="A7102" t="s">
        <v>8634</v>
      </c>
      <c r="B7102" s="2">
        <v>43150</v>
      </c>
      <c r="C7102" t="s">
        <v>1803</v>
      </c>
      <c r="D7102" t="s">
        <v>1031</v>
      </c>
    </row>
    <row r="7103" spans="1:4" x14ac:dyDescent="0.2">
      <c r="A7103" t="s">
        <v>1608</v>
      </c>
      <c r="B7103" s="2">
        <v>43203</v>
      </c>
      <c r="C7103" t="s">
        <v>1836</v>
      </c>
      <c r="D7103" t="s">
        <v>1031</v>
      </c>
    </row>
    <row r="7104" spans="1:4" x14ac:dyDescent="0.2">
      <c r="A7104" t="s">
        <v>8635</v>
      </c>
      <c r="B7104" s="2">
        <v>43119</v>
      </c>
      <c r="C7104" t="s">
        <v>1836</v>
      </c>
      <c r="D7104" t="s">
        <v>1031</v>
      </c>
    </row>
    <row r="7105" spans="1:4" x14ac:dyDescent="0.2">
      <c r="A7105" t="s">
        <v>8636</v>
      </c>
      <c r="B7105" s="2">
        <v>43153</v>
      </c>
      <c r="C7105" t="s">
        <v>2249</v>
      </c>
      <c r="D7105" t="s">
        <v>1807</v>
      </c>
    </row>
    <row r="7106" spans="1:4" x14ac:dyDescent="0.2">
      <c r="A7106" t="s">
        <v>8637</v>
      </c>
      <c r="B7106" s="2">
        <v>43109</v>
      </c>
      <c r="C7106" t="s">
        <v>2242</v>
      </c>
      <c r="D7106" t="s">
        <v>1807</v>
      </c>
    </row>
    <row r="7107" spans="1:4" x14ac:dyDescent="0.2">
      <c r="A7107" t="s">
        <v>8638</v>
      </c>
      <c r="B7107" s="2">
        <v>43146</v>
      </c>
      <c r="C7107" t="s">
        <v>1831</v>
      </c>
      <c r="D7107" t="s">
        <v>160</v>
      </c>
    </row>
    <row r="7108" spans="1:4" x14ac:dyDescent="0.2">
      <c r="A7108" t="s">
        <v>8639</v>
      </c>
      <c r="B7108" s="2">
        <v>43145</v>
      </c>
      <c r="C7108" t="s">
        <v>2206</v>
      </c>
      <c r="D7108" t="s">
        <v>1810</v>
      </c>
    </row>
    <row r="7109" spans="1:4" x14ac:dyDescent="0.2">
      <c r="A7109" t="s">
        <v>8640</v>
      </c>
      <c r="B7109" s="2">
        <v>43146</v>
      </c>
      <c r="C7109" t="s">
        <v>2054</v>
      </c>
      <c r="D7109" t="s">
        <v>1807</v>
      </c>
    </row>
    <row r="7110" spans="1:4" x14ac:dyDescent="0.2">
      <c r="A7110" t="s">
        <v>1610</v>
      </c>
      <c r="B7110" s="2">
        <v>43159</v>
      </c>
      <c r="C7110" t="s">
        <v>1825</v>
      </c>
      <c r="D7110" t="s">
        <v>1810</v>
      </c>
    </row>
    <row r="7111" spans="1:4" x14ac:dyDescent="0.2">
      <c r="A7111" t="s">
        <v>8641</v>
      </c>
      <c r="B7111" s="2">
        <v>43145</v>
      </c>
      <c r="C7111" t="s">
        <v>1803</v>
      </c>
      <c r="D7111" t="s">
        <v>1829</v>
      </c>
    </row>
    <row r="7112" spans="1:4" x14ac:dyDescent="0.2">
      <c r="A7112" t="s">
        <v>8642</v>
      </c>
      <c r="B7112" s="2">
        <v>43113</v>
      </c>
      <c r="C7112" t="s">
        <v>1809</v>
      </c>
      <c r="D7112" t="s">
        <v>1810</v>
      </c>
    </row>
    <row r="7113" spans="1:4" x14ac:dyDescent="0.2">
      <c r="A7113" t="s">
        <v>8643</v>
      </c>
      <c r="B7113" s="2">
        <v>42983</v>
      </c>
      <c r="C7113" t="s">
        <v>2318</v>
      </c>
      <c r="D7113" t="s">
        <v>160</v>
      </c>
    </row>
    <row r="7114" spans="1:4" x14ac:dyDescent="0.2">
      <c r="A7114" t="s">
        <v>8644</v>
      </c>
      <c r="B7114" s="2">
        <v>43187</v>
      </c>
      <c r="C7114" t="s">
        <v>1875</v>
      </c>
      <c r="D7114" t="s">
        <v>1807</v>
      </c>
    </row>
    <row r="7115" spans="1:4" x14ac:dyDescent="0.2">
      <c r="A7115" t="s">
        <v>8645</v>
      </c>
      <c r="B7115" s="2">
        <v>43195</v>
      </c>
      <c r="C7115" t="s">
        <v>1905</v>
      </c>
      <c r="D7115" t="s">
        <v>1031</v>
      </c>
    </row>
    <row r="7116" spans="1:4" x14ac:dyDescent="0.2">
      <c r="A7116" t="s">
        <v>8646</v>
      </c>
      <c r="B7116" s="2">
        <v>43155</v>
      </c>
      <c r="C7116" t="s">
        <v>1803</v>
      </c>
      <c r="D7116" t="s">
        <v>1804</v>
      </c>
    </row>
    <row r="7117" spans="1:4" x14ac:dyDescent="0.2">
      <c r="A7117" t="s">
        <v>8647</v>
      </c>
      <c r="B7117" s="2">
        <v>42976</v>
      </c>
      <c r="C7117" t="s">
        <v>1907</v>
      </c>
      <c r="D7117" t="s">
        <v>1810</v>
      </c>
    </row>
    <row r="7118" spans="1:4" x14ac:dyDescent="0.2">
      <c r="A7118" t="s">
        <v>8648</v>
      </c>
      <c r="B7118" s="2">
        <v>43236</v>
      </c>
      <c r="C7118" t="s">
        <v>1905</v>
      </c>
      <c r="D7118" t="s">
        <v>1810</v>
      </c>
    </row>
    <row r="7119" spans="1:4" x14ac:dyDescent="0.2">
      <c r="A7119" t="s">
        <v>8649</v>
      </c>
      <c r="B7119" s="2">
        <v>43129</v>
      </c>
      <c r="C7119" t="s">
        <v>1803</v>
      </c>
      <c r="D7119" t="s">
        <v>1804</v>
      </c>
    </row>
    <row r="7120" spans="1:4" x14ac:dyDescent="0.2">
      <c r="A7120" t="s">
        <v>1612</v>
      </c>
      <c r="B7120" s="2">
        <v>43220</v>
      </c>
      <c r="C7120" t="s">
        <v>5931</v>
      </c>
      <c r="D7120" t="s">
        <v>1796</v>
      </c>
    </row>
    <row r="7121" spans="1:4" x14ac:dyDescent="0.2">
      <c r="A7121" t="s">
        <v>8650</v>
      </c>
      <c r="B7121" s="2">
        <v>43199</v>
      </c>
      <c r="C7121" t="s">
        <v>8651</v>
      </c>
      <c r="D7121" t="s">
        <v>1810</v>
      </c>
    </row>
    <row r="7122" spans="1:4" x14ac:dyDescent="0.2">
      <c r="A7122" t="s">
        <v>8652</v>
      </c>
      <c r="B7122" s="2">
        <v>43109</v>
      </c>
      <c r="C7122" t="s">
        <v>1930</v>
      </c>
      <c r="D7122" t="s">
        <v>1810</v>
      </c>
    </row>
    <row r="7123" spans="1:4" x14ac:dyDescent="0.2">
      <c r="A7123" t="s">
        <v>8653</v>
      </c>
      <c r="B7123" s="2">
        <v>43068</v>
      </c>
      <c r="C7123" t="s">
        <v>1816</v>
      </c>
      <c r="D7123" t="s">
        <v>1840</v>
      </c>
    </row>
    <row r="7124" spans="1:4" x14ac:dyDescent="0.2">
      <c r="A7124" t="s">
        <v>8654</v>
      </c>
      <c r="B7124" s="2">
        <v>42981</v>
      </c>
      <c r="C7124" t="s">
        <v>1816</v>
      </c>
      <c r="D7124" t="s">
        <v>1910</v>
      </c>
    </row>
    <row r="7125" spans="1:4" x14ac:dyDescent="0.2">
      <c r="A7125" t="s">
        <v>8655</v>
      </c>
      <c r="B7125" s="2">
        <v>43226</v>
      </c>
      <c r="C7125" t="s">
        <v>1809</v>
      </c>
      <c r="D7125" t="s">
        <v>1810</v>
      </c>
    </row>
    <row r="7126" spans="1:4" x14ac:dyDescent="0.2">
      <c r="A7126" t="s">
        <v>8656</v>
      </c>
      <c r="B7126" s="2">
        <v>43137</v>
      </c>
      <c r="C7126" t="s">
        <v>1897</v>
      </c>
      <c r="D7126" t="s">
        <v>1810</v>
      </c>
    </row>
    <row r="7127" spans="1:4" x14ac:dyDescent="0.2">
      <c r="A7127" t="s">
        <v>8657</v>
      </c>
      <c r="B7127" s="2">
        <v>43104</v>
      </c>
      <c r="C7127" t="s">
        <v>1905</v>
      </c>
      <c r="D7127" t="s">
        <v>1910</v>
      </c>
    </row>
    <row r="7128" spans="1:4" x14ac:dyDescent="0.2">
      <c r="A7128" t="s">
        <v>8658</v>
      </c>
      <c r="B7128" s="2">
        <v>43111</v>
      </c>
      <c r="C7128" t="s">
        <v>1905</v>
      </c>
      <c r="D7128" t="s">
        <v>1810</v>
      </c>
    </row>
    <row r="7129" spans="1:4" x14ac:dyDescent="0.2">
      <c r="A7129" t="s">
        <v>8659</v>
      </c>
      <c r="B7129" s="2">
        <v>43192</v>
      </c>
      <c r="C7129" t="s">
        <v>8660</v>
      </c>
      <c r="D7129" t="s">
        <v>1031</v>
      </c>
    </row>
    <row r="7130" spans="1:4" x14ac:dyDescent="0.2">
      <c r="A7130" t="s">
        <v>8661</v>
      </c>
      <c r="B7130" s="2">
        <v>43025</v>
      </c>
      <c r="C7130" t="s">
        <v>1892</v>
      </c>
      <c r="D7130" t="s">
        <v>1810</v>
      </c>
    </row>
    <row r="7131" spans="1:4" x14ac:dyDescent="0.2">
      <c r="A7131" t="s">
        <v>1614</v>
      </c>
      <c r="B7131" s="2">
        <v>43249</v>
      </c>
      <c r="C7131" t="s">
        <v>1863</v>
      </c>
      <c r="D7131" t="s">
        <v>1804</v>
      </c>
    </row>
    <row r="7132" spans="1:4" x14ac:dyDescent="0.2">
      <c r="A7132" t="s">
        <v>8662</v>
      </c>
      <c r="B7132" s="2">
        <v>42962</v>
      </c>
      <c r="C7132" t="s">
        <v>1894</v>
      </c>
      <c r="D7132" t="s">
        <v>1804</v>
      </c>
    </row>
    <row r="7133" spans="1:4" x14ac:dyDescent="0.2">
      <c r="A7133" t="s">
        <v>8663</v>
      </c>
      <c r="B7133" s="2">
        <v>42956</v>
      </c>
      <c r="C7133" t="s">
        <v>2576</v>
      </c>
      <c r="D7133" t="s">
        <v>1031</v>
      </c>
    </row>
    <row r="7134" spans="1:4" x14ac:dyDescent="0.2">
      <c r="A7134" t="s">
        <v>8664</v>
      </c>
      <c r="B7134" s="2">
        <v>43049</v>
      </c>
      <c r="C7134" t="s">
        <v>1892</v>
      </c>
      <c r="D7134" t="s">
        <v>1810</v>
      </c>
    </row>
    <row r="7135" spans="1:4" x14ac:dyDescent="0.2">
      <c r="A7135" t="s">
        <v>8665</v>
      </c>
      <c r="B7135" s="2">
        <v>43171</v>
      </c>
      <c r="C7135" t="s">
        <v>1836</v>
      </c>
      <c r="D7135" t="s">
        <v>1810</v>
      </c>
    </row>
    <row r="7136" spans="1:4" x14ac:dyDescent="0.2">
      <c r="A7136" t="s">
        <v>8666</v>
      </c>
      <c r="B7136" s="2">
        <v>43210</v>
      </c>
      <c r="C7136" t="s">
        <v>1873</v>
      </c>
      <c r="D7136" t="s">
        <v>1810</v>
      </c>
    </row>
    <row r="7137" spans="1:4" x14ac:dyDescent="0.2">
      <c r="A7137" t="s">
        <v>8667</v>
      </c>
      <c r="B7137" s="2">
        <v>43137</v>
      </c>
      <c r="C7137" t="s">
        <v>3827</v>
      </c>
      <c r="D7137" t="s">
        <v>1807</v>
      </c>
    </row>
    <row r="7138" spans="1:4" x14ac:dyDescent="0.2">
      <c r="A7138" t="s">
        <v>8668</v>
      </c>
      <c r="B7138" s="2">
        <v>42947</v>
      </c>
      <c r="C7138" t="s">
        <v>1836</v>
      </c>
      <c r="D7138" t="s">
        <v>1810</v>
      </c>
    </row>
    <row r="7139" spans="1:4" x14ac:dyDescent="0.2">
      <c r="A7139" t="s">
        <v>8669</v>
      </c>
      <c r="B7139" s="2">
        <v>42986</v>
      </c>
      <c r="C7139" t="s">
        <v>3165</v>
      </c>
      <c r="D7139" t="s">
        <v>1810</v>
      </c>
    </row>
    <row r="7140" spans="1:4" x14ac:dyDescent="0.2">
      <c r="A7140" t="s">
        <v>8670</v>
      </c>
      <c r="B7140" s="2">
        <v>43160</v>
      </c>
      <c r="C7140" t="s">
        <v>1867</v>
      </c>
      <c r="D7140" t="s">
        <v>1810</v>
      </c>
    </row>
    <row r="7141" spans="1:4" x14ac:dyDescent="0.2">
      <c r="A7141" t="s">
        <v>8671</v>
      </c>
      <c r="B7141" s="2">
        <v>43105</v>
      </c>
      <c r="C7141" t="s">
        <v>1803</v>
      </c>
      <c r="D7141" t="s">
        <v>1804</v>
      </c>
    </row>
    <row r="7142" spans="1:4" x14ac:dyDescent="0.2">
      <c r="A7142" t="s">
        <v>1616</v>
      </c>
      <c r="B7142" s="2">
        <v>43229</v>
      </c>
      <c r="C7142" t="s">
        <v>8672</v>
      </c>
      <c r="D7142" t="s">
        <v>1031</v>
      </c>
    </row>
    <row r="7143" spans="1:4" x14ac:dyDescent="0.2">
      <c r="A7143" t="s">
        <v>8673</v>
      </c>
      <c r="B7143" s="2">
        <v>42963</v>
      </c>
      <c r="C7143" t="s">
        <v>1894</v>
      </c>
      <c r="D7143" t="s">
        <v>1804</v>
      </c>
    </row>
    <row r="7144" spans="1:4" x14ac:dyDescent="0.2">
      <c r="A7144" t="s">
        <v>1618</v>
      </c>
      <c r="B7144" s="2">
        <v>42978</v>
      </c>
      <c r="C7144" t="s">
        <v>1867</v>
      </c>
      <c r="D7144" t="s">
        <v>1807</v>
      </c>
    </row>
    <row r="7145" spans="1:4" x14ac:dyDescent="0.2">
      <c r="A7145" t="s">
        <v>8674</v>
      </c>
      <c r="B7145" s="2">
        <v>42991</v>
      </c>
      <c r="C7145" t="s">
        <v>1907</v>
      </c>
      <c r="D7145" t="s">
        <v>1807</v>
      </c>
    </row>
    <row r="7146" spans="1:4" x14ac:dyDescent="0.2">
      <c r="A7146" t="s">
        <v>8675</v>
      </c>
      <c r="B7146" s="2">
        <v>42956</v>
      </c>
      <c r="C7146" t="s">
        <v>2143</v>
      </c>
      <c r="D7146" t="s">
        <v>1810</v>
      </c>
    </row>
    <row r="7147" spans="1:4" x14ac:dyDescent="0.2">
      <c r="A7147" t="s">
        <v>8676</v>
      </c>
      <c r="B7147" s="2">
        <v>43220</v>
      </c>
      <c r="C7147" t="s">
        <v>1836</v>
      </c>
      <c r="D7147" t="s">
        <v>1031</v>
      </c>
    </row>
    <row r="7148" spans="1:4" x14ac:dyDescent="0.2">
      <c r="A7148" t="s">
        <v>8677</v>
      </c>
      <c r="B7148" s="2">
        <v>43189</v>
      </c>
      <c r="C7148" t="s">
        <v>1825</v>
      </c>
      <c r="D7148" t="s">
        <v>1804</v>
      </c>
    </row>
    <row r="7149" spans="1:4" x14ac:dyDescent="0.2">
      <c r="A7149" t="s">
        <v>8678</v>
      </c>
      <c r="B7149" s="2">
        <v>43139</v>
      </c>
      <c r="C7149" t="s">
        <v>1905</v>
      </c>
      <c r="D7149" t="s">
        <v>1810</v>
      </c>
    </row>
    <row r="7150" spans="1:4" x14ac:dyDescent="0.2">
      <c r="A7150" t="s">
        <v>8679</v>
      </c>
      <c r="B7150" s="2">
        <v>42991</v>
      </c>
      <c r="C7150" t="s">
        <v>3732</v>
      </c>
      <c r="D7150" t="s">
        <v>1849</v>
      </c>
    </row>
    <row r="7151" spans="1:4" x14ac:dyDescent="0.2">
      <c r="A7151" t="s">
        <v>8680</v>
      </c>
      <c r="B7151" s="2">
        <v>43033</v>
      </c>
      <c r="C7151" t="s">
        <v>2066</v>
      </c>
      <c r="D7151" t="s">
        <v>1813</v>
      </c>
    </row>
    <row r="7152" spans="1:4" x14ac:dyDescent="0.2">
      <c r="A7152" t="s">
        <v>8681</v>
      </c>
      <c r="B7152" s="2">
        <v>43238</v>
      </c>
      <c r="C7152" t="s">
        <v>1863</v>
      </c>
      <c r="D7152" t="s">
        <v>1804</v>
      </c>
    </row>
    <row r="7153" spans="1:4" x14ac:dyDescent="0.2">
      <c r="A7153" t="s">
        <v>8682</v>
      </c>
      <c r="B7153" s="2">
        <v>43229</v>
      </c>
      <c r="C7153" t="s">
        <v>1816</v>
      </c>
      <c r="D7153" t="s">
        <v>1807</v>
      </c>
    </row>
    <row r="7154" spans="1:4" x14ac:dyDescent="0.2">
      <c r="A7154" t="s">
        <v>8683</v>
      </c>
      <c r="B7154" s="2">
        <v>43046</v>
      </c>
      <c r="C7154" t="s">
        <v>2535</v>
      </c>
      <c r="D7154" t="s">
        <v>1807</v>
      </c>
    </row>
    <row r="7155" spans="1:4" x14ac:dyDescent="0.2">
      <c r="A7155" t="s">
        <v>8684</v>
      </c>
      <c r="B7155" s="2">
        <v>43224</v>
      </c>
      <c r="C7155" t="s">
        <v>2462</v>
      </c>
      <c r="D7155" t="s">
        <v>1810</v>
      </c>
    </row>
    <row r="7156" spans="1:4" x14ac:dyDescent="0.2">
      <c r="A7156" t="s">
        <v>8685</v>
      </c>
      <c r="B7156" s="2">
        <v>43104</v>
      </c>
      <c r="C7156" t="s">
        <v>1831</v>
      </c>
      <c r="D7156" t="s">
        <v>160</v>
      </c>
    </row>
    <row r="7157" spans="1:4" x14ac:dyDescent="0.2">
      <c r="A7157" t="s">
        <v>8686</v>
      </c>
      <c r="B7157" s="2">
        <v>42964</v>
      </c>
      <c r="C7157" t="s">
        <v>1907</v>
      </c>
      <c r="D7157" t="s">
        <v>1810</v>
      </c>
    </row>
    <row r="7158" spans="1:4" x14ac:dyDescent="0.2">
      <c r="A7158" t="s">
        <v>8687</v>
      </c>
      <c r="B7158" s="2">
        <v>43246</v>
      </c>
      <c r="C7158" t="s">
        <v>1809</v>
      </c>
      <c r="D7158" t="s">
        <v>1807</v>
      </c>
    </row>
    <row r="7159" spans="1:4" x14ac:dyDescent="0.2">
      <c r="A7159" t="s">
        <v>8688</v>
      </c>
      <c r="B7159" s="2">
        <v>43234</v>
      </c>
      <c r="C7159" t="s">
        <v>1863</v>
      </c>
      <c r="D7159" t="s">
        <v>1804</v>
      </c>
    </row>
    <row r="7160" spans="1:4" x14ac:dyDescent="0.2">
      <c r="A7160" t="s">
        <v>1620</v>
      </c>
      <c r="B7160" s="2">
        <v>43125</v>
      </c>
      <c r="C7160" t="s">
        <v>1816</v>
      </c>
      <c r="D7160" t="s">
        <v>1810</v>
      </c>
    </row>
    <row r="7161" spans="1:4" x14ac:dyDescent="0.2">
      <c r="A7161" t="s">
        <v>8689</v>
      </c>
      <c r="B7161" s="2">
        <v>43210</v>
      </c>
      <c r="C7161" t="s">
        <v>1863</v>
      </c>
      <c r="D7161" t="s">
        <v>1804</v>
      </c>
    </row>
    <row r="7162" spans="1:4" x14ac:dyDescent="0.2">
      <c r="A7162" t="s">
        <v>8690</v>
      </c>
      <c r="B7162" s="2">
        <v>43186</v>
      </c>
      <c r="C7162" t="s">
        <v>1828</v>
      </c>
      <c r="D7162" t="s">
        <v>1810</v>
      </c>
    </row>
    <row r="7163" spans="1:4" x14ac:dyDescent="0.2">
      <c r="A7163" t="s">
        <v>8691</v>
      </c>
      <c r="B7163" s="2">
        <v>43102</v>
      </c>
      <c r="C7163" t="s">
        <v>1867</v>
      </c>
      <c r="D7163" t="s">
        <v>1840</v>
      </c>
    </row>
    <row r="7164" spans="1:4" x14ac:dyDescent="0.2">
      <c r="A7164" t="s">
        <v>1622</v>
      </c>
      <c r="B7164" s="2">
        <v>43107</v>
      </c>
      <c r="C7164" t="s">
        <v>1905</v>
      </c>
      <c r="D7164" t="s">
        <v>1840</v>
      </c>
    </row>
    <row r="7165" spans="1:4" x14ac:dyDescent="0.2">
      <c r="A7165" t="s">
        <v>8692</v>
      </c>
      <c r="B7165" s="2">
        <v>42963</v>
      </c>
      <c r="C7165" t="s">
        <v>1816</v>
      </c>
      <c r="D7165" t="s">
        <v>1810</v>
      </c>
    </row>
    <row r="7166" spans="1:4" x14ac:dyDescent="0.2">
      <c r="A7166" t="s">
        <v>8693</v>
      </c>
      <c r="B7166" s="2">
        <v>42982</v>
      </c>
      <c r="C7166" t="s">
        <v>1885</v>
      </c>
      <c r="D7166" t="s">
        <v>1807</v>
      </c>
    </row>
    <row r="7167" spans="1:4" x14ac:dyDescent="0.2">
      <c r="A7167" t="s">
        <v>8694</v>
      </c>
      <c r="B7167" s="2">
        <v>42945</v>
      </c>
      <c r="C7167" t="s">
        <v>2433</v>
      </c>
      <c r="D7167" t="s">
        <v>1804</v>
      </c>
    </row>
    <row r="7168" spans="1:4" x14ac:dyDescent="0.2">
      <c r="A7168" t="s">
        <v>8695</v>
      </c>
      <c r="B7168" s="2">
        <v>43235</v>
      </c>
      <c r="C7168" t="s">
        <v>1905</v>
      </c>
      <c r="D7168" t="s">
        <v>1810</v>
      </c>
    </row>
    <row r="7169" spans="1:4" x14ac:dyDescent="0.2">
      <c r="A7169" t="s">
        <v>8696</v>
      </c>
      <c r="B7169" s="2">
        <v>43241</v>
      </c>
      <c r="C7169" t="s">
        <v>1867</v>
      </c>
      <c r="D7169" t="s">
        <v>1910</v>
      </c>
    </row>
    <row r="7170" spans="1:4" x14ac:dyDescent="0.2">
      <c r="A7170" t="s">
        <v>8697</v>
      </c>
      <c r="B7170" s="2">
        <v>43210</v>
      </c>
      <c r="C7170" t="s">
        <v>1816</v>
      </c>
      <c r="D7170" t="s">
        <v>1810</v>
      </c>
    </row>
    <row r="7171" spans="1:4" x14ac:dyDescent="0.2">
      <c r="A7171" t="s">
        <v>8698</v>
      </c>
      <c r="B7171" s="2">
        <v>43117</v>
      </c>
      <c r="C7171" t="s">
        <v>1816</v>
      </c>
      <c r="D7171" t="s">
        <v>1810</v>
      </c>
    </row>
    <row r="7172" spans="1:4" x14ac:dyDescent="0.2">
      <c r="A7172" t="s">
        <v>8699</v>
      </c>
      <c r="B7172" s="2">
        <v>43208</v>
      </c>
      <c r="C7172" t="s">
        <v>2158</v>
      </c>
      <c r="D7172" t="s">
        <v>1807</v>
      </c>
    </row>
    <row r="7173" spans="1:4" x14ac:dyDescent="0.2">
      <c r="A7173" t="s">
        <v>8700</v>
      </c>
      <c r="B7173" s="2">
        <v>43153</v>
      </c>
      <c r="C7173" t="s">
        <v>2242</v>
      </c>
      <c r="D7173" t="s">
        <v>1840</v>
      </c>
    </row>
    <row r="7174" spans="1:4" x14ac:dyDescent="0.2">
      <c r="A7174" t="s">
        <v>8701</v>
      </c>
      <c r="B7174" s="2">
        <v>43187</v>
      </c>
      <c r="C7174" t="s">
        <v>1806</v>
      </c>
      <c r="D7174" t="s">
        <v>1807</v>
      </c>
    </row>
    <row r="7175" spans="1:4" x14ac:dyDescent="0.2">
      <c r="A7175" t="s">
        <v>8702</v>
      </c>
      <c r="B7175" s="2">
        <v>43192</v>
      </c>
      <c r="C7175" t="s">
        <v>1863</v>
      </c>
      <c r="D7175" t="s">
        <v>1804</v>
      </c>
    </row>
    <row r="7176" spans="1:4" x14ac:dyDescent="0.2">
      <c r="A7176" t="s">
        <v>8703</v>
      </c>
      <c r="B7176" s="2">
        <v>43213</v>
      </c>
      <c r="C7176" t="s">
        <v>1863</v>
      </c>
      <c r="D7176" t="s">
        <v>1804</v>
      </c>
    </row>
    <row r="7177" spans="1:4" x14ac:dyDescent="0.2">
      <c r="A7177" t="s">
        <v>8704</v>
      </c>
      <c r="B7177" s="2">
        <v>43147</v>
      </c>
      <c r="C7177" t="s">
        <v>1803</v>
      </c>
      <c r="D7177" t="s">
        <v>1804</v>
      </c>
    </row>
    <row r="7178" spans="1:4" x14ac:dyDescent="0.2">
      <c r="A7178" t="s">
        <v>8705</v>
      </c>
      <c r="B7178" s="2">
        <v>43239</v>
      </c>
      <c r="C7178" t="s">
        <v>2831</v>
      </c>
      <c r="D7178" t="s">
        <v>1796</v>
      </c>
    </row>
    <row r="7179" spans="1:4" x14ac:dyDescent="0.2">
      <c r="A7179" t="s">
        <v>1624</v>
      </c>
      <c r="B7179" s="2">
        <v>43161</v>
      </c>
      <c r="C7179" t="s">
        <v>1834</v>
      </c>
      <c r="D7179" t="s">
        <v>1810</v>
      </c>
    </row>
    <row r="7180" spans="1:4" x14ac:dyDescent="0.2">
      <c r="A7180" t="s">
        <v>8706</v>
      </c>
      <c r="B7180" s="2">
        <v>43241</v>
      </c>
      <c r="C7180" t="s">
        <v>2643</v>
      </c>
      <c r="D7180" t="s">
        <v>1813</v>
      </c>
    </row>
    <row r="7181" spans="1:4" x14ac:dyDescent="0.2">
      <c r="A7181" t="s">
        <v>8707</v>
      </c>
      <c r="B7181" s="2">
        <v>42930</v>
      </c>
      <c r="C7181" t="s">
        <v>1900</v>
      </c>
      <c r="D7181" t="s">
        <v>1810</v>
      </c>
    </row>
    <row r="7182" spans="1:4" x14ac:dyDescent="0.2">
      <c r="A7182" t="s">
        <v>8708</v>
      </c>
      <c r="B7182" s="2">
        <v>43220</v>
      </c>
      <c r="C7182" t="s">
        <v>1863</v>
      </c>
      <c r="D7182" t="s">
        <v>1804</v>
      </c>
    </row>
    <row r="7183" spans="1:4" x14ac:dyDescent="0.2">
      <c r="A7183" t="s">
        <v>8709</v>
      </c>
      <c r="B7183" s="2">
        <v>43248</v>
      </c>
      <c r="C7183" t="s">
        <v>1863</v>
      </c>
      <c r="D7183" t="s">
        <v>1804</v>
      </c>
    </row>
    <row r="7184" spans="1:4" x14ac:dyDescent="0.2">
      <c r="A7184" t="s">
        <v>8710</v>
      </c>
      <c r="B7184" s="2">
        <v>43112</v>
      </c>
      <c r="C7184" t="s">
        <v>1905</v>
      </c>
      <c r="D7184" t="s">
        <v>1829</v>
      </c>
    </row>
    <row r="7185" spans="1:4" x14ac:dyDescent="0.2">
      <c r="A7185" t="s">
        <v>1626</v>
      </c>
      <c r="B7185" s="2">
        <v>43089</v>
      </c>
      <c r="C7185" t="s">
        <v>1836</v>
      </c>
      <c r="D7185" t="s">
        <v>1031</v>
      </c>
    </row>
    <row r="7186" spans="1:4" x14ac:dyDescent="0.2">
      <c r="A7186" t="s">
        <v>8711</v>
      </c>
      <c r="B7186" s="2">
        <v>43235</v>
      </c>
      <c r="C7186" t="s">
        <v>1818</v>
      </c>
      <c r="D7186" t="s">
        <v>1813</v>
      </c>
    </row>
    <row r="7187" spans="1:4" x14ac:dyDescent="0.2">
      <c r="A7187" t="s">
        <v>8712</v>
      </c>
      <c r="B7187" s="2">
        <v>43139</v>
      </c>
      <c r="C7187" t="s">
        <v>2503</v>
      </c>
      <c r="D7187" t="s">
        <v>1840</v>
      </c>
    </row>
    <row r="7188" spans="1:4" x14ac:dyDescent="0.2">
      <c r="A7188" t="s">
        <v>8713</v>
      </c>
      <c r="B7188" s="2">
        <v>43112</v>
      </c>
      <c r="C7188" t="s">
        <v>1836</v>
      </c>
      <c r="D7188" t="s">
        <v>1031</v>
      </c>
    </row>
    <row r="7189" spans="1:4" x14ac:dyDescent="0.2">
      <c r="A7189" t="s">
        <v>8714</v>
      </c>
      <c r="B7189" s="2">
        <v>43224</v>
      </c>
      <c r="C7189" t="s">
        <v>1867</v>
      </c>
      <c r="D7189" t="s">
        <v>1810</v>
      </c>
    </row>
    <row r="7190" spans="1:4" x14ac:dyDescent="0.2">
      <c r="A7190" t="s">
        <v>8715</v>
      </c>
      <c r="B7190" s="2">
        <v>43050</v>
      </c>
      <c r="C7190" t="s">
        <v>1803</v>
      </c>
      <c r="D7190" t="s">
        <v>1804</v>
      </c>
    </row>
    <row r="7191" spans="1:4" x14ac:dyDescent="0.2">
      <c r="A7191" t="s">
        <v>8716</v>
      </c>
      <c r="B7191" s="2">
        <v>43137</v>
      </c>
      <c r="C7191" t="s">
        <v>1825</v>
      </c>
      <c r="D7191" t="s">
        <v>1810</v>
      </c>
    </row>
    <row r="7192" spans="1:4" x14ac:dyDescent="0.2">
      <c r="A7192" t="s">
        <v>1629</v>
      </c>
      <c r="B7192" s="2">
        <v>43053</v>
      </c>
      <c r="C7192" t="s">
        <v>1814</v>
      </c>
      <c r="D7192" t="s">
        <v>1807</v>
      </c>
    </row>
    <row r="7193" spans="1:4" x14ac:dyDescent="0.2">
      <c r="A7193" t="s">
        <v>8717</v>
      </c>
      <c r="B7193" s="2">
        <v>43226</v>
      </c>
      <c r="C7193" t="s">
        <v>1863</v>
      </c>
      <c r="D7193" t="s">
        <v>1804</v>
      </c>
    </row>
    <row r="7194" spans="1:4" x14ac:dyDescent="0.2">
      <c r="A7194" t="s">
        <v>8718</v>
      </c>
      <c r="B7194" s="2">
        <v>43207</v>
      </c>
      <c r="C7194" t="s">
        <v>1930</v>
      </c>
      <c r="D7194" t="s">
        <v>1807</v>
      </c>
    </row>
    <row r="7195" spans="1:4" x14ac:dyDescent="0.2">
      <c r="A7195" t="s">
        <v>8719</v>
      </c>
      <c r="B7195" s="2">
        <v>43248</v>
      </c>
      <c r="C7195" t="s">
        <v>1863</v>
      </c>
      <c r="D7195" t="s">
        <v>1804</v>
      </c>
    </row>
    <row r="7196" spans="1:4" x14ac:dyDescent="0.2">
      <c r="A7196" t="s">
        <v>8720</v>
      </c>
      <c r="B7196" s="2">
        <v>43158</v>
      </c>
      <c r="C7196" t="s">
        <v>1809</v>
      </c>
      <c r="D7196" t="s">
        <v>1810</v>
      </c>
    </row>
    <row r="7197" spans="1:4" x14ac:dyDescent="0.2">
      <c r="A7197" t="s">
        <v>8721</v>
      </c>
      <c r="B7197" s="2">
        <v>43043</v>
      </c>
      <c r="C7197" t="s">
        <v>1803</v>
      </c>
      <c r="D7197" t="s">
        <v>1804</v>
      </c>
    </row>
    <row r="7198" spans="1:4" x14ac:dyDescent="0.2">
      <c r="A7198" t="s">
        <v>8722</v>
      </c>
      <c r="B7198" s="2">
        <v>43194</v>
      </c>
      <c r="C7198" t="s">
        <v>2318</v>
      </c>
      <c r="D7198" t="s">
        <v>1810</v>
      </c>
    </row>
    <row r="7199" spans="1:4" x14ac:dyDescent="0.2">
      <c r="A7199" t="s">
        <v>8723</v>
      </c>
      <c r="B7199" s="2">
        <v>43179</v>
      </c>
      <c r="C7199" t="s">
        <v>1867</v>
      </c>
      <c r="D7199" t="s">
        <v>1810</v>
      </c>
    </row>
    <row r="7200" spans="1:4" x14ac:dyDescent="0.2">
      <c r="A7200" t="s">
        <v>1631</v>
      </c>
      <c r="B7200" s="2">
        <v>43243</v>
      </c>
      <c r="C7200" t="s">
        <v>1836</v>
      </c>
      <c r="D7200" t="s">
        <v>1810</v>
      </c>
    </row>
    <row r="7201" spans="1:4" x14ac:dyDescent="0.2">
      <c r="A7201" t="s">
        <v>8724</v>
      </c>
      <c r="B7201" s="2">
        <v>43206</v>
      </c>
      <c r="C7201" t="s">
        <v>1816</v>
      </c>
      <c r="D7201" t="s">
        <v>1807</v>
      </c>
    </row>
    <row r="7202" spans="1:4" x14ac:dyDescent="0.2">
      <c r="A7202" t="s">
        <v>8725</v>
      </c>
      <c r="B7202" s="2">
        <v>42964</v>
      </c>
      <c r="C7202" t="s">
        <v>2569</v>
      </c>
      <c r="D7202" t="s">
        <v>1813</v>
      </c>
    </row>
    <row r="7203" spans="1:4" x14ac:dyDescent="0.2">
      <c r="A7203" t="s">
        <v>8726</v>
      </c>
      <c r="B7203" s="2">
        <v>43130</v>
      </c>
      <c r="C7203" t="s">
        <v>1921</v>
      </c>
      <c r="D7203" t="s">
        <v>1829</v>
      </c>
    </row>
    <row r="7204" spans="1:4" x14ac:dyDescent="0.2">
      <c r="A7204" t="s">
        <v>8727</v>
      </c>
      <c r="B7204" s="2">
        <v>43234</v>
      </c>
      <c r="C7204" t="s">
        <v>1863</v>
      </c>
      <c r="D7204" t="s">
        <v>1804</v>
      </c>
    </row>
    <row r="7205" spans="1:4" x14ac:dyDescent="0.2">
      <c r="A7205" t="s">
        <v>8728</v>
      </c>
      <c r="B7205" s="2">
        <v>43127</v>
      </c>
      <c r="C7205" t="s">
        <v>1867</v>
      </c>
      <c r="D7205" t="s">
        <v>160</v>
      </c>
    </row>
    <row r="7206" spans="1:4" x14ac:dyDescent="0.2">
      <c r="A7206" t="s">
        <v>8729</v>
      </c>
      <c r="B7206" s="2">
        <v>43216</v>
      </c>
      <c r="C7206" t="s">
        <v>2170</v>
      </c>
      <c r="D7206" t="s">
        <v>1810</v>
      </c>
    </row>
    <row r="7207" spans="1:4" x14ac:dyDescent="0.2">
      <c r="A7207" t="s">
        <v>8730</v>
      </c>
      <c r="B7207" s="2">
        <v>43144</v>
      </c>
      <c r="C7207" t="s">
        <v>1836</v>
      </c>
      <c r="D7207" t="s">
        <v>1031</v>
      </c>
    </row>
    <row r="7208" spans="1:4" x14ac:dyDescent="0.2">
      <c r="A7208" t="s">
        <v>8731</v>
      </c>
      <c r="B7208" s="2">
        <v>43218</v>
      </c>
      <c r="C7208" t="s">
        <v>1863</v>
      </c>
      <c r="D7208" t="s">
        <v>1804</v>
      </c>
    </row>
    <row r="7209" spans="1:4" x14ac:dyDescent="0.2">
      <c r="A7209" t="s">
        <v>8732</v>
      </c>
      <c r="B7209" s="2">
        <v>42926</v>
      </c>
      <c r="C7209" t="s">
        <v>1806</v>
      </c>
      <c r="D7209" t="s">
        <v>1810</v>
      </c>
    </row>
    <row r="7210" spans="1:4" x14ac:dyDescent="0.2">
      <c r="A7210" t="s">
        <v>8733</v>
      </c>
      <c r="B7210" s="2">
        <v>43108</v>
      </c>
      <c r="C7210" t="s">
        <v>1831</v>
      </c>
      <c r="D7210" t="s">
        <v>1810</v>
      </c>
    </row>
    <row r="7211" spans="1:4" x14ac:dyDescent="0.2">
      <c r="A7211" t="s">
        <v>8734</v>
      </c>
      <c r="B7211" s="2">
        <v>43040</v>
      </c>
      <c r="C7211" t="s">
        <v>2683</v>
      </c>
      <c r="D7211" t="s">
        <v>1810</v>
      </c>
    </row>
    <row r="7212" spans="1:4" x14ac:dyDescent="0.2">
      <c r="A7212" t="s">
        <v>8735</v>
      </c>
      <c r="B7212" s="2">
        <v>43133</v>
      </c>
      <c r="C7212" t="s">
        <v>1905</v>
      </c>
      <c r="D7212" t="s">
        <v>1810</v>
      </c>
    </row>
    <row r="7213" spans="1:4" x14ac:dyDescent="0.2">
      <c r="A7213" t="s">
        <v>8736</v>
      </c>
      <c r="B7213" s="2">
        <v>43146</v>
      </c>
      <c r="C7213" t="s">
        <v>1930</v>
      </c>
      <c r="D7213" t="s">
        <v>1807</v>
      </c>
    </row>
    <row r="7214" spans="1:4" x14ac:dyDescent="0.2">
      <c r="A7214" t="s">
        <v>8737</v>
      </c>
      <c r="B7214" s="2">
        <v>43250</v>
      </c>
      <c r="C7214" t="s">
        <v>1816</v>
      </c>
      <c r="D7214" t="s">
        <v>1810</v>
      </c>
    </row>
    <row r="7215" spans="1:4" x14ac:dyDescent="0.2">
      <c r="A7215" t="s">
        <v>8738</v>
      </c>
      <c r="B7215" s="2">
        <v>43179</v>
      </c>
      <c r="C7215" t="s">
        <v>1831</v>
      </c>
      <c r="D7215" t="s">
        <v>1829</v>
      </c>
    </row>
    <row r="7216" spans="1:4" x14ac:dyDescent="0.2">
      <c r="A7216" t="s">
        <v>8739</v>
      </c>
      <c r="B7216" s="2">
        <v>43185</v>
      </c>
      <c r="C7216" t="s">
        <v>1816</v>
      </c>
      <c r="D7216" t="s">
        <v>1840</v>
      </c>
    </row>
    <row r="7217" spans="1:4" x14ac:dyDescent="0.2">
      <c r="A7217" t="s">
        <v>8740</v>
      </c>
      <c r="B7217" s="2">
        <v>43178</v>
      </c>
      <c r="C7217" t="s">
        <v>2023</v>
      </c>
      <c r="D7217" t="s">
        <v>1810</v>
      </c>
    </row>
    <row r="7218" spans="1:4" x14ac:dyDescent="0.2">
      <c r="A7218" t="s">
        <v>8741</v>
      </c>
      <c r="B7218" s="2">
        <v>43206</v>
      </c>
      <c r="C7218" t="s">
        <v>3650</v>
      </c>
      <c r="D7218" t="s">
        <v>1807</v>
      </c>
    </row>
    <row r="7219" spans="1:4" x14ac:dyDescent="0.2">
      <c r="A7219" t="s">
        <v>8742</v>
      </c>
      <c r="B7219" s="2">
        <v>43180</v>
      </c>
      <c r="C7219" t="s">
        <v>2062</v>
      </c>
      <c r="D7219" t="s">
        <v>1810</v>
      </c>
    </row>
    <row r="7220" spans="1:4" x14ac:dyDescent="0.2">
      <c r="A7220" t="s">
        <v>8743</v>
      </c>
      <c r="B7220" s="2">
        <v>42992</v>
      </c>
      <c r="C7220" t="s">
        <v>2318</v>
      </c>
      <c r="D7220" t="s">
        <v>1810</v>
      </c>
    </row>
    <row r="7221" spans="1:4" x14ac:dyDescent="0.2">
      <c r="A7221" t="s">
        <v>8744</v>
      </c>
      <c r="B7221" s="2">
        <v>43215</v>
      </c>
      <c r="C7221" t="s">
        <v>1836</v>
      </c>
      <c r="D7221" t="s">
        <v>1031</v>
      </c>
    </row>
    <row r="7222" spans="1:4" x14ac:dyDescent="0.2">
      <c r="A7222" t="s">
        <v>8745</v>
      </c>
      <c r="B7222" s="2">
        <v>43115</v>
      </c>
      <c r="C7222" t="s">
        <v>1905</v>
      </c>
      <c r="D7222" t="s">
        <v>1813</v>
      </c>
    </row>
    <row r="7223" spans="1:4" x14ac:dyDescent="0.2">
      <c r="A7223" t="s">
        <v>8746</v>
      </c>
      <c r="B7223" s="2">
        <v>43107</v>
      </c>
      <c r="C7223" t="s">
        <v>1803</v>
      </c>
      <c r="D7223" t="s">
        <v>1807</v>
      </c>
    </row>
    <row r="7224" spans="1:4" x14ac:dyDescent="0.2">
      <c r="A7224" t="s">
        <v>8747</v>
      </c>
      <c r="B7224" s="2">
        <v>43242</v>
      </c>
      <c r="C7224" t="s">
        <v>2283</v>
      </c>
      <c r="D7224" t="s">
        <v>1813</v>
      </c>
    </row>
    <row r="7225" spans="1:4" x14ac:dyDescent="0.2">
      <c r="A7225" t="s">
        <v>8748</v>
      </c>
      <c r="B7225" s="2">
        <v>43227</v>
      </c>
      <c r="C7225" t="s">
        <v>1905</v>
      </c>
      <c r="D7225" t="s">
        <v>1810</v>
      </c>
    </row>
    <row r="7226" spans="1:4" x14ac:dyDescent="0.2">
      <c r="A7226" t="s">
        <v>8749</v>
      </c>
      <c r="B7226" s="2">
        <v>43137</v>
      </c>
      <c r="C7226" t="s">
        <v>1816</v>
      </c>
      <c r="D7226" t="s">
        <v>1840</v>
      </c>
    </row>
    <row r="7227" spans="1:4" x14ac:dyDescent="0.2">
      <c r="A7227" t="s">
        <v>8750</v>
      </c>
      <c r="B7227" s="2">
        <v>43240</v>
      </c>
      <c r="C7227" t="s">
        <v>1863</v>
      </c>
      <c r="D7227" t="s">
        <v>1804</v>
      </c>
    </row>
    <row r="7228" spans="1:4" x14ac:dyDescent="0.2">
      <c r="A7228" t="s">
        <v>8751</v>
      </c>
      <c r="B7228" s="2">
        <v>43206</v>
      </c>
      <c r="C7228" t="s">
        <v>2115</v>
      </c>
      <c r="D7228" t="s">
        <v>1804</v>
      </c>
    </row>
    <row r="7229" spans="1:4" x14ac:dyDescent="0.2">
      <c r="A7229" t="s">
        <v>8752</v>
      </c>
      <c r="B7229" s="2">
        <v>43159</v>
      </c>
      <c r="C7229" t="s">
        <v>2108</v>
      </c>
      <c r="D7229" t="s">
        <v>1810</v>
      </c>
    </row>
    <row r="7230" spans="1:4" x14ac:dyDescent="0.2">
      <c r="A7230" t="s">
        <v>8753</v>
      </c>
      <c r="B7230" s="2">
        <v>42955</v>
      </c>
      <c r="C7230" t="s">
        <v>1987</v>
      </c>
      <c r="D7230" t="s">
        <v>1807</v>
      </c>
    </row>
    <row r="7231" spans="1:4" x14ac:dyDescent="0.2">
      <c r="A7231" t="s">
        <v>1633</v>
      </c>
      <c r="B7231" s="2">
        <v>43166</v>
      </c>
      <c r="C7231" t="s">
        <v>1836</v>
      </c>
      <c r="D7231" t="s">
        <v>1810</v>
      </c>
    </row>
    <row r="7232" spans="1:4" x14ac:dyDescent="0.2">
      <c r="A7232" t="s">
        <v>8754</v>
      </c>
      <c r="B7232" s="2">
        <v>43124</v>
      </c>
      <c r="C7232" t="s">
        <v>1836</v>
      </c>
      <c r="D7232" t="s">
        <v>1031</v>
      </c>
    </row>
    <row r="7233" spans="1:4" x14ac:dyDescent="0.2">
      <c r="A7233" t="s">
        <v>8755</v>
      </c>
      <c r="B7233" s="2">
        <v>43013</v>
      </c>
      <c r="C7233" t="s">
        <v>1816</v>
      </c>
      <c r="D7233" t="s">
        <v>1810</v>
      </c>
    </row>
    <row r="7234" spans="1:4" x14ac:dyDescent="0.2">
      <c r="A7234" t="s">
        <v>8756</v>
      </c>
      <c r="B7234" s="2">
        <v>43206</v>
      </c>
      <c r="C7234" t="s">
        <v>1889</v>
      </c>
      <c r="D7234" t="s">
        <v>1840</v>
      </c>
    </row>
    <row r="7235" spans="1:4" x14ac:dyDescent="0.2">
      <c r="A7235" t="s">
        <v>8757</v>
      </c>
      <c r="B7235" s="2">
        <v>43230</v>
      </c>
      <c r="C7235" t="s">
        <v>1836</v>
      </c>
      <c r="D7235" t="s">
        <v>1031</v>
      </c>
    </row>
    <row r="7236" spans="1:4" x14ac:dyDescent="0.2">
      <c r="A7236" t="s">
        <v>1635</v>
      </c>
      <c r="B7236" s="2">
        <v>43110</v>
      </c>
      <c r="C7236" t="s">
        <v>1816</v>
      </c>
      <c r="D7236" t="s">
        <v>1810</v>
      </c>
    </row>
    <row r="7237" spans="1:4" x14ac:dyDescent="0.2">
      <c r="A7237" t="s">
        <v>8758</v>
      </c>
      <c r="B7237" s="2">
        <v>42985</v>
      </c>
      <c r="C7237" t="s">
        <v>2535</v>
      </c>
      <c r="D7237" t="s">
        <v>1807</v>
      </c>
    </row>
    <row r="7238" spans="1:4" x14ac:dyDescent="0.2">
      <c r="A7238" t="s">
        <v>8759</v>
      </c>
      <c r="B7238" s="2">
        <v>42975</v>
      </c>
      <c r="C7238" t="s">
        <v>1843</v>
      </c>
      <c r="D7238" t="s">
        <v>1807</v>
      </c>
    </row>
    <row r="7239" spans="1:4" x14ac:dyDescent="0.2">
      <c r="A7239" t="s">
        <v>8760</v>
      </c>
      <c r="B7239" s="2">
        <v>43144</v>
      </c>
      <c r="C7239" t="s">
        <v>2187</v>
      </c>
      <c r="D7239" t="s">
        <v>1807</v>
      </c>
    </row>
    <row r="7240" spans="1:4" x14ac:dyDescent="0.2">
      <c r="A7240" t="s">
        <v>8761</v>
      </c>
      <c r="B7240" s="2">
        <v>43019</v>
      </c>
      <c r="C7240" t="s">
        <v>1907</v>
      </c>
      <c r="D7240" t="s">
        <v>1810</v>
      </c>
    </row>
    <row r="7241" spans="1:4" x14ac:dyDescent="0.2">
      <c r="A7241" t="s">
        <v>8762</v>
      </c>
      <c r="B7241" s="2">
        <v>43243</v>
      </c>
      <c r="C7241" t="s">
        <v>3210</v>
      </c>
      <c r="D7241" t="s">
        <v>1807</v>
      </c>
    </row>
    <row r="7242" spans="1:4" x14ac:dyDescent="0.2">
      <c r="A7242" t="s">
        <v>8763</v>
      </c>
      <c r="B7242" s="2">
        <v>43164</v>
      </c>
      <c r="C7242" t="s">
        <v>1825</v>
      </c>
      <c r="D7242" t="s">
        <v>1810</v>
      </c>
    </row>
    <row r="7243" spans="1:4" x14ac:dyDescent="0.2">
      <c r="A7243" t="s">
        <v>8764</v>
      </c>
      <c r="B7243" s="2">
        <v>43244</v>
      </c>
      <c r="C7243" t="s">
        <v>1816</v>
      </c>
      <c r="D7243" t="s">
        <v>1810</v>
      </c>
    </row>
    <row r="7244" spans="1:4" x14ac:dyDescent="0.2">
      <c r="A7244" t="s">
        <v>8765</v>
      </c>
      <c r="B7244" s="2">
        <v>43004</v>
      </c>
      <c r="C7244" t="s">
        <v>2357</v>
      </c>
      <c r="D7244" t="s">
        <v>1810</v>
      </c>
    </row>
    <row r="7245" spans="1:4" x14ac:dyDescent="0.2">
      <c r="A7245" t="s">
        <v>8766</v>
      </c>
      <c r="B7245" s="2">
        <v>43137</v>
      </c>
      <c r="C7245" t="s">
        <v>1825</v>
      </c>
      <c r="D7245" t="s">
        <v>1810</v>
      </c>
    </row>
    <row r="7246" spans="1:4" x14ac:dyDescent="0.2">
      <c r="A7246" t="s">
        <v>8767</v>
      </c>
      <c r="B7246" s="2">
        <v>43115</v>
      </c>
      <c r="C7246" t="s">
        <v>1905</v>
      </c>
      <c r="D7246" t="s">
        <v>1807</v>
      </c>
    </row>
    <row r="7247" spans="1:4" x14ac:dyDescent="0.2">
      <c r="A7247" t="s">
        <v>8768</v>
      </c>
      <c r="B7247" s="2">
        <v>43215</v>
      </c>
      <c r="C7247" t="s">
        <v>1909</v>
      </c>
      <c r="D7247" t="s">
        <v>1813</v>
      </c>
    </row>
    <row r="7248" spans="1:4" x14ac:dyDescent="0.2">
      <c r="A7248" t="s">
        <v>8769</v>
      </c>
      <c r="B7248" s="2">
        <v>43044</v>
      </c>
      <c r="C7248" t="s">
        <v>1905</v>
      </c>
      <c r="D7248" t="s">
        <v>1840</v>
      </c>
    </row>
    <row r="7249" spans="1:4" x14ac:dyDescent="0.2">
      <c r="A7249" t="s">
        <v>8770</v>
      </c>
      <c r="B7249" s="2">
        <v>43139</v>
      </c>
      <c r="C7249" t="s">
        <v>2242</v>
      </c>
      <c r="D7249" t="s">
        <v>1840</v>
      </c>
    </row>
    <row r="7250" spans="1:4" x14ac:dyDescent="0.2">
      <c r="A7250" t="s">
        <v>8771</v>
      </c>
      <c r="B7250" s="2">
        <v>43152</v>
      </c>
      <c r="C7250" t="s">
        <v>2591</v>
      </c>
      <c r="D7250" t="s">
        <v>1813</v>
      </c>
    </row>
    <row r="7251" spans="1:4" x14ac:dyDescent="0.2">
      <c r="A7251" t="s">
        <v>8772</v>
      </c>
      <c r="B7251" s="2">
        <v>43222</v>
      </c>
      <c r="C7251" t="s">
        <v>1825</v>
      </c>
      <c r="D7251" t="s">
        <v>1804</v>
      </c>
    </row>
    <row r="7252" spans="1:4" x14ac:dyDescent="0.2">
      <c r="A7252" t="s">
        <v>8773</v>
      </c>
      <c r="B7252" s="2">
        <v>43138</v>
      </c>
      <c r="C7252" t="s">
        <v>1803</v>
      </c>
      <c r="D7252" t="s">
        <v>1804</v>
      </c>
    </row>
    <row r="7253" spans="1:4" x14ac:dyDescent="0.2">
      <c r="A7253" t="s">
        <v>8774</v>
      </c>
      <c r="B7253" s="2">
        <v>43236</v>
      </c>
      <c r="C7253" t="s">
        <v>1905</v>
      </c>
      <c r="D7253" t="s">
        <v>1810</v>
      </c>
    </row>
    <row r="7254" spans="1:4" x14ac:dyDescent="0.2">
      <c r="A7254" t="s">
        <v>8775</v>
      </c>
      <c r="B7254" s="2">
        <v>43129</v>
      </c>
      <c r="C7254" t="s">
        <v>1825</v>
      </c>
      <c r="D7254" t="s">
        <v>1807</v>
      </c>
    </row>
    <row r="7255" spans="1:4" x14ac:dyDescent="0.2">
      <c r="A7255" t="s">
        <v>1637</v>
      </c>
      <c r="B7255" s="2">
        <v>43049</v>
      </c>
      <c r="C7255" t="s">
        <v>1905</v>
      </c>
      <c r="D7255" t="s">
        <v>1807</v>
      </c>
    </row>
    <row r="7256" spans="1:4" x14ac:dyDescent="0.2">
      <c r="A7256" t="s">
        <v>8776</v>
      </c>
      <c r="B7256" s="2">
        <v>43215</v>
      </c>
      <c r="C7256" t="s">
        <v>1909</v>
      </c>
      <c r="D7256" t="s">
        <v>1031</v>
      </c>
    </row>
    <row r="7257" spans="1:4" x14ac:dyDescent="0.2">
      <c r="A7257" t="s">
        <v>8777</v>
      </c>
      <c r="B7257" s="2">
        <v>43141</v>
      </c>
      <c r="C7257" t="s">
        <v>1937</v>
      </c>
      <c r="D7257" t="s">
        <v>1810</v>
      </c>
    </row>
    <row r="7258" spans="1:4" x14ac:dyDescent="0.2">
      <c r="A7258" t="s">
        <v>8778</v>
      </c>
      <c r="B7258" s="2">
        <v>43163</v>
      </c>
      <c r="C7258" t="s">
        <v>1803</v>
      </c>
      <c r="D7258" t="s">
        <v>1804</v>
      </c>
    </row>
    <row r="7259" spans="1:4" x14ac:dyDescent="0.2">
      <c r="A7259" t="s">
        <v>8779</v>
      </c>
      <c r="B7259" s="2">
        <v>43105</v>
      </c>
      <c r="C7259" t="s">
        <v>8780</v>
      </c>
      <c r="D7259" t="s">
        <v>1829</v>
      </c>
    </row>
    <row r="7260" spans="1:4" x14ac:dyDescent="0.2">
      <c r="A7260" t="s">
        <v>8781</v>
      </c>
      <c r="B7260" s="2">
        <v>43131</v>
      </c>
      <c r="C7260" t="s">
        <v>1867</v>
      </c>
      <c r="D7260" t="s">
        <v>1031</v>
      </c>
    </row>
    <row r="7261" spans="1:4" x14ac:dyDescent="0.2">
      <c r="A7261" t="s">
        <v>8782</v>
      </c>
      <c r="B7261" s="2">
        <v>43146</v>
      </c>
      <c r="C7261" t="s">
        <v>1803</v>
      </c>
      <c r="D7261" t="s">
        <v>1804</v>
      </c>
    </row>
    <row r="7262" spans="1:4" x14ac:dyDescent="0.2">
      <c r="A7262" t="s">
        <v>8783</v>
      </c>
      <c r="B7262" s="2">
        <v>43137</v>
      </c>
      <c r="C7262" t="s">
        <v>1930</v>
      </c>
      <c r="D7262" t="s">
        <v>1810</v>
      </c>
    </row>
    <row r="7263" spans="1:4" x14ac:dyDescent="0.2">
      <c r="A7263" t="s">
        <v>8784</v>
      </c>
      <c r="B7263" s="2">
        <v>42983</v>
      </c>
      <c r="C7263" t="s">
        <v>2014</v>
      </c>
      <c r="D7263" t="s">
        <v>1807</v>
      </c>
    </row>
    <row r="7264" spans="1:4" x14ac:dyDescent="0.2">
      <c r="A7264" t="s">
        <v>8785</v>
      </c>
      <c r="B7264" s="2">
        <v>43130</v>
      </c>
      <c r="C7264" t="s">
        <v>1816</v>
      </c>
      <c r="D7264" t="s">
        <v>1810</v>
      </c>
    </row>
    <row r="7265" spans="1:4" x14ac:dyDescent="0.2">
      <c r="A7265" t="s">
        <v>8786</v>
      </c>
      <c r="B7265" s="2">
        <v>43245</v>
      </c>
      <c r="C7265" t="s">
        <v>1836</v>
      </c>
      <c r="D7265" t="s">
        <v>1804</v>
      </c>
    </row>
    <row r="7266" spans="1:4" x14ac:dyDescent="0.2">
      <c r="A7266" t="s">
        <v>8787</v>
      </c>
      <c r="B7266" s="2">
        <v>43173</v>
      </c>
      <c r="C7266" t="s">
        <v>1905</v>
      </c>
      <c r="D7266" t="s">
        <v>1810</v>
      </c>
    </row>
    <row r="7267" spans="1:4" x14ac:dyDescent="0.2">
      <c r="A7267" t="s">
        <v>8788</v>
      </c>
      <c r="B7267" s="2">
        <v>43145</v>
      </c>
      <c r="C7267" t="s">
        <v>1809</v>
      </c>
      <c r="D7267" t="s">
        <v>1849</v>
      </c>
    </row>
    <row r="7268" spans="1:4" x14ac:dyDescent="0.2">
      <c r="A7268" t="s">
        <v>1639</v>
      </c>
      <c r="B7268" s="2">
        <v>43151</v>
      </c>
      <c r="C7268" t="s">
        <v>2242</v>
      </c>
      <c r="D7268" t="s">
        <v>1840</v>
      </c>
    </row>
    <row r="7269" spans="1:4" x14ac:dyDescent="0.2">
      <c r="A7269" t="s">
        <v>8789</v>
      </c>
      <c r="B7269" s="2">
        <v>43224</v>
      </c>
      <c r="C7269" t="s">
        <v>1857</v>
      </c>
      <c r="D7269" t="s">
        <v>1804</v>
      </c>
    </row>
    <row r="7270" spans="1:4" x14ac:dyDescent="0.2">
      <c r="A7270" t="s">
        <v>8790</v>
      </c>
      <c r="B7270" s="2">
        <v>43209</v>
      </c>
      <c r="C7270" t="s">
        <v>2500</v>
      </c>
      <c r="D7270" t="s">
        <v>1810</v>
      </c>
    </row>
    <row r="7271" spans="1:4" x14ac:dyDescent="0.2">
      <c r="A7271" t="s">
        <v>8791</v>
      </c>
      <c r="B7271" s="2">
        <v>43046</v>
      </c>
      <c r="C7271" t="s">
        <v>1867</v>
      </c>
      <c r="D7271" t="s">
        <v>1829</v>
      </c>
    </row>
    <row r="7272" spans="1:4" x14ac:dyDescent="0.2">
      <c r="A7272" t="s">
        <v>8792</v>
      </c>
      <c r="B7272" s="2">
        <v>43196</v>
      </c>
      <c r="C7272" t="s">
        <v>2503</v>
      </c>
      <c r="D7272" t="s">
        <v>1031</v>
      </c>
    </row>
    <row r="7273" spans="1:4" x14ac:dyDescent="0.2">
      <c r="A7273" t="s">
        <v>1641</v>
      </c>
      <c r="B7273" s="2">
        <v>43147</v>
      </c>
      <c r="C7273" t="s">
        <v>1836</v>
      </c>
      <c r="D7273" t="s">
        <v>1031</v>
      </c>
    </row>
    <row r="7274" spans="1:4" x14ac:dyDescent="0.2">
      <c r="A7274" t="s">
        <v>8793</v>
      </c>
      <c r="B7274" s="2">
        <v>42954</v>
      </c>
      <c r="C7274" t="s">
        <v>1836</v>
      </c>
      <c r="D7274" t="s">
        <v>1829</v>
      </c>
    </row>
    <row r="7275" spans="1:4" x14ac:dyDescent="0.2">
      <c r="A7275" t="s">
        <v>8794</v>
      </c>
      <c r="B7275" s="2">
        <v>43210</v>
      </c>
      <c r="C7275" t="s">
        <v>1863</v>
      </c>
      <c r="D7275" t="s">
        <v>1804</v>
      </c>
    </row>
    <row r="7276" spans="1:4" x14ac:dyDescent="0.2">
      <c r="A7276" t="s">
        <v>8795</v>
      </c>
      <c r="B7276" s="2">
        <v>43117</v>
      </c>
      <c r="C7276" t="s">
        <v>2303</v>
      </c>
      <c r="D7276" t="s">
        <v>1810</v>
      </c>
    </row>
    <row r="7277" spans="1:4" x14ac:dyDescent="0.2">
      <c r="A7277" t="s">
        <v>8796</v>
      </c>
      <c r="B7277" s="2">
        <v>43187</v>
      </c>
      <c r="C7277" t="s">
        <v>1885</v>
      </c>
      <c r="D7277" t="s">
        <v>1807</v>
      </c>
    </row>
    <row r="7278" spans="1:4" x14ac:dyDescent="0.2">
      <c r="A7278" t="s">
        <v>8797</v>
      </c>
      <c r="B7278" s="2">
        <v>43082</v>
      </c>
      <c r="C7278" t="s">
        <v>8798</v>
      </c>
      <c r="D7278" t="s">
        <v>1807</v>
      </c>
    </row>
    <row r="7279" spans="1:4" x14ac:dyDescent="0.2">
      <c r="A7279" t="s">
        <v>8799</v>
      </c>
      <c r="B7279" s="2">
        <v>43184</v>
      </c>
      <c r="C7279" t="s">
        <v>2901</v>
      </c>
      <c r="D7279" t="s">
        <v>1807</v>
      </c>
    </row>
    <row r="7280" spans="1:4" x14ac:dyDescent="0.2">
      <c r="A7280" t="s">
        <v>8800</v>
      </c>
      <c r="B7280" s="2">
        <v>43116</v>
      </c>
      <c r="C7280" t="s">
        <v>1831</v>
      </c>
      <c r="D7280" t="s">
        <v>1810</v>
      </c>
    </row>
    <row r="7281" spans="1:4" x14ac:dyDescent="0.2">
      <c r="A7281" t="s">
        <v>8801</v>
      </c>
      <c r="B7281" s="2">
        <v>43122</v>
      </c>
      <c r="C7281" t="s">
        <v>1880</v>
      </c>
      <c r="D7281" t="s">
        <v>1813</v>
      </c>
    </row>
    <row r="7282" spans="1:4" x14ac:dyDescent="0.2">
      <c r="A7282" t="s">
        <v>8802</v>
      </c>
      <c r="B7282" s="2">
        <v>43248</v>
      </c>
      <c r="C7282" t="s">
        <v>2019</v>
      </c>
      <c r="D7282" t="s">
        <v>1813</v>
      </c>
    </row>
    <row r="7283" spans="1:4" x14ac:dyDescent="0.2">
      <c r="A7283" t="s">
        <v>8803</v>
      </c>
      <c r="B7283" s="2">
        <v>42981</v>
      </c>
      <c r="C7283" t="s">
        <v>1892</v>
      </c>
      <c r="D7283" t="s">
        <v>1810</v>
      </c>
    </row>
    <row r="7284" spans="1:4" x14ac:dyDescent="0.2">
      <c r="A7284" t="s">
        <v>8804</v>
      </c>
      <c r="B7284" s="2">
        <v>43097</v>
      </c>
      <c r="C7284" t="s">
        <v>1865</v>
      </c>
      <c r="D7284" t="s">
        <v>1810</v>
      </c>
    </row>
    <row r="7285" spans="1:4" x14ac:dyDescent="0.2">
      <c r="A7285" t="s">
        <v>1643</v>
      </c>
      <c r="B7285" s="2">
        <v>43126</v>
      </c>
      <c r="C7285" t="s">
        <v>1809</v>
      </c>
      <c r="D7285" t="s">
        <v>1810</v>
      </c>
    </row>
    <row r="7286" spans="1:4" x14ac:dyDescent="0.2">
      <c r="A7286" t="s">
        <v>8805</v>
      </c>
      <c r="B7286" s="2">
        <v>43036</v>
      </c>
      <c r="C7286" t="s">
        <v>1803</v>
      </c>
      <c r="D7286" t="s">
        <v>1804</v>
      </c>
    </row>
    <row r="7287" spans="1:4" x14ac:dyDescent="0.2">
      <c r="A7287" t="s">
        <v>8806</v>
      </c>
      <c r="B7287" s="2">
        <v>43130</v>
      </c>
      <c r="C7287" t="s">
        <v>1816</v>
      </c>
      <c r="D7287" t="s">
        <v>1810</v>
      </c>
    </row>
    <row r="7288" spans="1:4" x14ac:dyDescent="0.2">
      <c r="A7288" t="s">
        <v>8807</v>
      </c>
      <c r="B7288" s="2">
        <v>43034</v>
      </c>
      <c r="C7288" t="s">
        <v>8808</v>
      </c>
      <c r="D7288" t="s">
        <v>1810</v>
      </c>
    </row>
    <row r="7289" spans="1:4" x14ac:dyDescent="0.2">
      <c r="A7289" t="s">
        <v>8809</v>
      </c>
      <c r="B7289" s="2">
        <v>42976</v>
      </c>
      <c r="C7289" t="s">
        <v>2535</v>
      </c>
      <c r="D7289" t="s">
        <v>1807</v>
      </c>
    </row>
    <row r="7290" spans="1:4" x14ac:dyDescent="0.2">
      <c r="A7290" t="s">
        <v>8810</v>
      </c>
      <c r="B7290" s="2">
        <v>43195</v>
      </c>
      <c r="C7290" t="s">
        <v>1836</v>
      </c>
      <c r="D7290" t="s">
        <v>1031</v>
      </c>
    </row>
    <row r="7291" spans="1:4" x14ac:dyDescent="0.2">
      <c r="A7291" t="s">
        <v>8811</v>
      </c>
      <c r="B7291" s="2">
        <v>43143</v>
      </c>
      <c r="C7291" t="s">
        <v>1996</v>
      </c>
      <c r="D7291" t="s">
        <v>1804</v>
      </c>
    </row>
    <row r="7292" spans="1:4" x14ac:dyDescent="0.2">
      <c r="A7292" t="s">
        <v>8812</v>
      </c>
      <c r="B7292" s="2">
        <v>43193</v>
      </c>
      <c r="C7292" t="s">
        <v>1831</v>
      </c>
      <c r="D7292" t="s">
        <v>160</v>
      </c>
    </row>
    <row r="7293" spans="1:4" x14ac:dyDescent="0.2">
      <c r="A7293" t="s">
        <v>8813</v>
      </c>
      <c r="B7293" s="2">
        <v>42956</v>
      </c>
      <c r="C7293" t="s">
        <v>3857</v>
      </c>
      <c r="D7293" t="s">
        <v>1796</v>
      </c>
    </row>
    <row r="7294" spans="1:4" x14ac:dyDescent="0.2">
      <c r="A7294" t="s">
        <v>8814</v>
      </c>
      <c r="B7294" s="2">
        <v>42983</v>
      </c>
      <c r="C7294" t="s">
        <v>3064</v>
      </c>
      <c r="D7294" t="s">
        <v>1849</v>
      </c>
    </row>
    <row r="7295" spans="1:4" x14ac:dyDescent="0.2">
      <c r="A7295" t="s">
        <v>8815</v>
      </c>
      <c r="B7295" s="2">
        <v>43111</v>
      </c>
      <c r="C7295" t="s">
        <v>2324</v>
      </c>
      <c r="D7295" t="s">
        <v>1840</v>
      </c>
    </row>
    <row r="7296" spans="1:4" x14ac:dyDescent="0.2">
      <c r="A7296" t="s">
        <v>8816</v>
      </c>
      <c r="B7296" s="2">
        <v>42992</v>
      </c>
      <c r="C7296" t="s">
        <v>3074</v>
      </c>
      <c r="D7296" t="s">
        <v>1840</v>
      </c>
    </row>
    <row r="7297" spans="1:4" x14ac:dyDescent="0.2">
      <c r="A7297" t="s">
        <v>8817</v>
      </c>
      <c r="B7297" s="2">
        <v>43167</v>
      </c>
      <c r="C7297" t="s">
        <v>1816</v>
      </c>
      <c r="D7297" t="s">
        <v>1810</v>
      </c>
    </row>
    <row r="7298" spans="1:4" x14ac:dyDescent="0.2">
      <c r="A7298" t="s">
        <v>8818</v>
      </c>
      <c r="B7298" s="2">
        <v>43158</v>
      </c>
      <c r="C7298" t="s">
        <v>1809</v>
      </c>
      <c r="D7298" t="s">
        <v>1810</v>
      </c>
    </row>
    <row r="7299" spans="1:4" x14ac:dyDescent="0.2">
      <c r="A7299" t="s">
        <v>8819</v>
      </c>
      <c r="B7299" s="2">
        <v>42972</v>
      </c>
      <c r="C7299" t="s">
        <v>2242</v>
      </c>
      <c r="D7299" t="s">
        <v>160</v>
      </c>
    </row>
    <row r="7300" spans="1:4" x14ac:dyDescent="0.2">
      <c r="A7300" t="s">
        <v>8820</v>
      </c>
      <c r="B7300" s="2">
        <v>43124</v>
      </c>
      <c r="C7300" t="s">
        <v>2012</v>
      </c>
      <c r="D7300" t="s">
        <v>1807</v>
      </c>
    </row>
    <row r="7301" spans="1:4" x14ac:dyDescent="0.2">
      <c r="A7301" t="s">
        <v>8821</v>
      </c>
      <c r="B7301" s="2">
        <v>43234</v>
      </c>
      <c r="C7301" t="s">
        <v>1816</v>
      </c>
      <c r="D7301" t="s">
        <v>1840</v>
      </c>
    </row>
    <row r="7302" spans="1:4" x14ac:dyDescent="0.2">
      <c r="A7302" t="s">
        <v>8822</v>
      </c>
      <c r="B7302" s="2">
        <v>43122</v>
      </c>
      <c r="C7302" t="s">
        <v>1905</v>
      </c>
      <c r="D7302" t="s">
        <v>1840</v>
      </c>
    </row>
    <row r="7303" spans="1:4" x14ac:dyDescent="0.2">
      <c r="A7303" t="s">
        <v>8823</v>
      </c>
      <c r="B7303" s="2">
        <v>43193</v>
      </c>
      <c r="C7303" t="s">
        <v>1836</v>
      </c>
      <c r="D7303" t="s">
        <v>1031</v>
      </c>
    </row>
    <row r="7304" spans="1:4" x14ac:dyDescent="0.2">
      <c r="A7304" t="s">
        <v>8824</v>
      </c>
      <c r="B7304" s="2">
        <v>43172</v>
      </c>
      <c r="C7304" t="s">
        <v>2108</v>
      </c>
      <c r="D7304" t="s">
        <v>1813</v>
      </c>
    </row>
    <row r="7305" spans="1:4" x14ac:dyDescent="0.2">
      <c r="A7305" t="s">
        <v>8825</v>
      </c>
      <c r="B7305" s="2">
        <v>43138</v>
      </c>
      <c r="C7305" t="s">
        <v>1905</v>
      </c>
      <c r="D7305" t="s">
        <v>1849</v>
      </c>
    </row>
    <row r="7306" spans="1:4" x14ac:dyDescent="0.2">
      <c r="A7306" t="s">
        <v>8826</v>
      </c>
      <c r="B7306" s="2">
        <v>42989</v>
      </c>
      <c r="C7306" t="s">
        <v>1816</v>
      </c>
      <c r="D7306" t="s">
        <v>1804</v>
      </c>
    </row>
    <row r="7307" spans="1:4" x14ac:dyDescent="0.2">
      <c r="A7307" t="s">
        <v>8827</v>
      </c>
      <c r="B7307" s="2">
        <v>43106</v>
      </c>
      <c r="C7307" t="s">
        <v>1930</v>
      </c>
      <c r="D7307" t="s">
        <v>1813</v>
      </c>
    </row>
    <row r="7308" spans="1:4" x14ac:dyDescent="0.2">
      <c r="A7308" t="s">
        <v>8828</v>
      </c>
      <c r="B7308" s="2">
        <v>42960</v>
      </c>
      <c r="C7308" t="s">
        <v>1894</v>
      </c>
      <c r="D7308" t="s">
        <v>1804</v>
      </c>
    </row>
    <row r="7309" spans="1:4" x14ac:dyDescent="0.2">
      <c r="A7309" t="s">
        <v>8829</v>
      </c>
      <c r="B7309" s="2">
        <v>43182</v>
      </c>
      <c r="C7309" t="s">
        <v>1816</v>
      </c>
      <c r="D7309" t="s">
        <v>1840</v>
      </c>
    </row>
    <row r="7310" spans="1:4" x14ac:dyDescent="0.2">
      <c r="A7310" t="s">
        <v>1645</v>
      </c>
      <c r="B7310" s="2">
        <v>43112</v>
      </c>
      <c r="C7310" t="s">
        <v>1836</v>
      </c>
      <c r="D7310" t="s">
        <v>1031</v>
      </c>
    </row>
    <row r="7311" spans="1:4" x14ac:dyDescent="0.2">
      <c r="A7311" t="s">
        <v>8830</v>
      </c>
      <c r="B7311" s="2">
        <v>43210</v>
      </c>
      <c r="C7311" t="s">
        <v>1863</v>
      </c>
      <c r="D7311" t="s">
        <v>1804</v>
      </c>
    </row>
    <row r="7312" spans="1:4" x14ac:dyDescent="0.2">
      <c r="A7312" t="s">
        <v>8831</v>
      </c>
      <c r="B7312" s="2">
        <v>43227</v>
      </c>
      <c r="C7312" t="s">
        <v>1863</v>
      </c>
      <c r="D7312" t="s">
        <v>1804</v>
      </c>
    </row>
    <row r="7313" spans="1:4" x14ac:dyDescent="0.2">
      <c r="A7313" t="s">
        <v>8832</v>
      </c>
      <c r="B7313" s="2">
        <v>43024</v>
      </c>
      <c r="C7313" t="s">
        <v>1825</v>
      </c>
      <c r="D7313" t="s">
        <v>1810</v>
      </c>
    </row>
    <row r="7314" spans="1:4" x14ac:dyDescent="0.2">
      <c r="A7314" t="s">
        <v>8833</v>
      </c>
      <c r="B7314" s="2">
        <v>43134</v>
      </c>
      <c r="C7314" t="s">
        <v>2163</v>
      </c>
      <c r="D7314" t="s">
        <v>1813</v>
      </c>
    </row>
    <row r="7315" spans="1:4" x14ac:dyDescent="0.2">
      <c r="A7315" t="s">
        <v>8834</v>
      </c>
      <c r="B7315" s="2">
        <v>43237</v>
      </c>
      <c r="C7315" t="s">
        <v>1863</v>
      </c>
      <c r="D7315" t="s">
        <v>1804</v>
      </c>
    </row>
    <row r="7316" spans="1:4" x14ac:dyDescent="0.2">
      <c r="A7316" t="s">
        <v>8835</v>
      </c>
      <c r="B7316" s="2">
        <v>43024</v>
      </c>
      <c r="C7316" t="s">
        <v>1822</v>
      </c>
      <c r="D7316" t="s">
        <v>1810</v>
      </c>
    </row>
    <row r="7317" spans="1:4" x14ac:dyDescent="0.2">
      <c r="A7317" t="s">
        <v>8836</v>
      </c>
      <c r="B7317" s="2">
        <v>42958</v>
      </c>
      <c r="C7317" t="s">
        <v>2576</v>
      </c>
      <c r="D7317" t="s">
        <v>1031</v>
      </c>
    </row>
    <row r="7318" spans="1:4" x14ac:dyDescent="0.2">
      <c r="A7318" t="s">
        <v>8837</v>
      </c>
      <c r="B7318" s="2">
        <v>43219</v>
      </c>
      <c r="C7318" t="s">
        <v>1831</v>
      </c>
      <c r="D7318" t="s">
        <v>1810</v>
      </c>
    </row>
    <row r="7319" spans="1:4" x14ac:dyDescent="0.2">
      <c r="A7319" t="s">
        <v>8838</v>
      </c>
      <c r="B7319" s="2">
        <v>43204</v>
      </c>
      <c r="C7319" t="s">
        <v>1832</v>
      </c>
      <c r="D7319" t="s">
        <v>1807</v>
      </c>
    </row>
    <row r="7320" spans="1:4" x14ac:dyDescent="0.2">
      <c r="A7320" t="s">
        <v>8839</v>
      </c>
      <c r="B7320" s="2">
        <v>43099</v>
      </c>
      <c r="C7320" t="s">
        <v>1859</v>
      </c>
      <c r="D7320" t="s">
        <v>1810</v>
      </c>
    </row>
    <row r="7321" spans="1:4" x14ac:dyDescent="0.2">
      <c r="A7321" t="s">
        <v>8840</v>
      </c>
      <c r="B7321" s="2">
        <v>43247</v>
      </c>
      <c r="C7321" t="s">
        <v>1816</v>
      </c>
      <c r="D7321" t="s">
        <v>1840</v>
      </c>
    </row>
    <row r="7322" spans="1:4" x14ac:dyDescent="0.2">
      <c r="A7322" t="s">
        <v>8841</v>
      </c>
      <c r="B7322" s="2">
        <v>43011</v>
      </c>
      <c r="C7322" t="s">
        <v>2216</v>
      </c>
      <c r="D7322" t="s">
        <v>1807</v>
      </c>
    </row>
    <row r="7323" spans="1:4" x14ac:dyDescent="0.2">
      <c r="A7323" t="s">
        <v>8842</v>
      </c>
      <c r="B7323" s="2">
        <v>43194</v>
      </c>
      <c r="C7323" t="s">
        <v>1816</v>
      </c>
      <c r="D7323" t="s">
        <v>1807</v>
      </c>
    </row>
    <row r="7324" spans="1:4" x14ac:dyDescent="0.2">
      <c r="A7324" t="s">
        <v>8843</v>
      </c>
      <c r="B7324" s="2">
        <v>43048</v>
      </c>
      <c r="C7324" t="s">
        <v>7393</v>
      </c>
      <c r="D7324" t="s">
        <v>1810</v>
      </c>
    </row>
    <row r="7325" spans="1:4" x14ac:dyDescent="0.2">
      <c r="A7325" t="s">
        <v>8844</v>
      </c>
      <c r="B7325" s="2">
        <v>42929</v>
      </c>
      <c r="C7325" t="s">
        <v>2380</v>
      </c>
      <c r="D7325" t="s">
        <v>1031</v>
      </c>
    </row>
    <row r="7326" spans="1:4" x14ac:dyDescent="0.2">
      <c r="A7326" t="s">
        <v>8845</v>
      </c>
      <c r="B7326" s="2">
        <v>42950</v>
      </c>
      <c r="C7326" t="s">
        <v>1843</v>
      </c>
      <c r="D7326" t="s">
        <v>1840</v>
      </c>
    </row>
    <row r="7327" spans="1:4" x14ac:dyDescent="0.2">
      <c r="A7327" t="s">
        <v>8846</v>
      </c>
      <c r="B7327" s="2">
        <v>43251</v>
      </c>
      <c r="C7327" t="s">
        <v>1827</v>
      </c>
      <c r="D7327" t="s">
        <v>1807</v>
      </c>
    </row>
    <row r="7328" spans="1:4" x14ac:dyDescent="0.2">
      <c r="A7328" t="s">
        <v>8847</v>
      </c>
      <c r="B7328" s="2">
        <v>43133</v>
      </c>
      <c r="C7328" t="s">
        <v>1836</v>
      </c>
      <c r="D7328" t="s">
        <v>1031</v>
      </c>
    </row>
    <row r="7329" spans="1:4" x14ac:dyDescent="0.2">
      <c r="A7329" t="s">
        <v>8848</v>
      </c>
      <c r="B7329" s="2">
        <v>43102</v>
      </c>
      <c r="C7329" t="s">
        <v>1831</v>
      </c>
      <c r="D7329" t="s">
        <v>1810</v>
      </c>
    </row>
    <row r="7330" spans="1:4" x14ac:dyDescent="0.2">
      <c r="A7330" t="s">
        <v>8849</v>
      </c>
      <c r="B7330" s="2">
        <v>43154</v>
      </c>
      <c r="C7330" t="s">
        <v>1905</v>
      </c>
      <c r="D7330" t="s">
        <v>1840</v>
      </c>
    </row>
    <row r="7331" spans="1:4" x14ac:dyDescent="0.2">
      <c r="A7331" t="s">
        <v>8850</v>
      </c>
      <c r="B7331" s="2">
        <v>43199</v>
      </c>
      <c r="C7331" t="s">
        <v>1827</v>
      </c>
      <c r="D7331" t="s">
        <v>1807</v>
      </c>
    </row>
    <row r="7332" spans="1:4" x14ac:dyDescent="0.2">
      <c r="A7332" t="s">
        <v>8851</v>
      </c>
      <c r="B7332" s="2">
        <v>43161</v>
      </c>
      <c r="C7332" t="s">
        <v>8852</v>
      </c>
      <c r="D7332" t="s">
        <v>1031</v>
      </c>
    </row>
    <row r="7333" spans="1:4" x14ac:dyDescent="0.2">
      <c r="A7333" t="s">
        <v>8853</v>
      </c>
      <c r="B7333" s="2">
        <v>43112</v>
      </c>
      <c r="C7333" t="s">
        <v>1836</v>
      </c>
      <c r="D7333" t="s">
        <v>1031</v>
      </c>
    </row>
    <row r="7334" spans="1:4" x14ac:dyDescent="0.2">
      <c r="A7334" t="s">
        <v>8854</v>
      </c>
      <c r="B7334" s="2">
        <v>43158</v>
      </c>
      <c r="C7334" t="s">
        <v>1825</v>
      </c>
      <c r="D7334" t="s">
        <v>1840</v>
      </c>
    </row>
    <row r="7335" spans="1:4" x14ac:dyDescent="0.2">
      <c r="A7335" t="s">
        <v>8855</v>
      </c>
      <c r="B7335" s="2">
        <v>43206</v>
      </c>
      <c r="C7335" t="s">
        <v>2831</v>
      </c>
      <c r="D7335" t="s">
        <v>1807</v>
      </c>
    </row>
    <row r="7336" spans="1:4" x14ac:dyDescent="0.2">
      <c r="A7336" t="s">
        <v>1647</v>
      </c>
      <c r="B7336" s="2">
        <v>43145</v>
      </c>
      <c r="C7336" t="s">
        <v>1905</v>
      </c>
      <c r="D7336" t="s">
        <v>1810</v>
      </c>
    </row>
    <row r="7337" spans="1:4" x14ac:dyDescent="0.2">
      <c r="A7337" t="s">
        <v>8856</v>
      </c>
      <c r="B7337" s="2">
        <v>43060</v>
      </c>
      <c r="C7337" t="s">
        <v>1825</v>
      </c>
      <c r="D7337" t="s">
        <v>1810</v>
      </c>
    </row>
    <row r="7338" spans="1:4" x14ac:dyDescent="0.2">
      <c r="A7338" t="s">
        <v>8857</v>
      </c>
      <c r="B7338" s="2">
        <v>43192</v>
      </c>
      <c r="C7338" t="s">
        <v>1863</v>
      </c>
      <c r="D7338" t="s">
        <v>1804</v>
      </c>
    </row>
    <row r="7339" spans="1:4" x14ac:dyDescent="0.2">
      <c r="A7339" t="s">
        <v>1649</v>
      </c>
      <c r="B7339" s="2">
        <v>43138</v>
      </c>
      <c r="C7339" t="s">
        <v>1803</v>
      </c>
      <c r="D7339" t="s">
        <v>1804</v>
      </c>
    </row>
    <row r="7340" spans="1:4" x14ac:dyDescent="0.2">
      <c r="A7340" t="s">
        <v>8858</v>
      </c>
      <c r="B7340" s="2">
        <v>43215</v>
      </c>
      <c r="C7340" t="s">
        <v>1863</v>
      </c>
      <c r="D7340" t="s">
        <v>1804</v>
      </c>
    </row>
    <row r="7341" spans="1:4" x14ac:dyDescent="0.2">
      <c r="A7341" t="s">
        <v>8859</v>
      </c>
      <c r="B7341" s="2">
        <v>43052</v>
      </c>
      <c r="C7341" t="s">
        <v>1889</v>
      </c>
      <c r="D7341" t="s">
        <v>1031</v>
      </c>
    </row>
    <row r="7342" spans="1:4" x14ac:dyDescent="0.2">
      <c r="A7342" t="s">
        <v>8860</v>
      </c>
      <c r="B7342" s="2">
        <v>43101</v>
      </c>
      <c r="C7342" t="s">
        <v>1930</v>
      </c>
      <c r="D7342" t="s">
        <v>1807</v>
      </c>
    </row>
    <row r="7343" spans="1:4" x14ac:dyDescent="0.2">
      <c r="A7343" t="s">
        <v>1651</v>
      </c>
      <c r="B7343" s="2">
        <v>43074</v>
      </c>
      <c r="C7343" t="s">
        <v>1816</v>
      </c>
      <c r="D7343" t="s">
        <v>1810</v>
      </c>
    </row>
    <row r="7344" spans="1:4" x14ac:dyDescent="0.2">
      <c r="A7344" t="s">
        <v>8861</v>
      </c>
      <c r="B7344" s="2">
        <v>43231</v>
      </c>
      <c r="C7344" t="s">
        <v>2291</v>
      </c>
      <c r="D7344" t="s">
        <v>1807</v>
      </c>
    </row>
    <row r="7345" spans="1:4" x14ac:dyDescent="0.2">
      <c r="A7345" t="s">
        <v>8862</v>
      </c>
      <c r="B7345" s="2">
        <v>42934</v>
      </c>
      <c r="C7345" t="s">
        <v>1974</v>
      </c>
      <c r="D7345" t="s">
        <v>1849</v>
      </c>
    </row>
    <row r="7346" spans="1:4" x14ac:dyDescent="0.2">
      <c r="A7346" t="s">
        <v>8863</v>
      </c>
      <c r="B7346" s="2">
        <v>43090</v>
      </c>
      <c r="C7346" t="s">
        <v>1836</v>
      </c>
      <c r="D7346" t="s">
        <v>1031</v>
      </c>
    </row>
    <row r="7347" spans="1:4" x14ac:dyDescent="0.2">
      <c r="A7347" t="s">
        <v>8864</v>
      </c>
      <c r="B7347" s="2">
        <v>43122</v>
      </c>
      <c r="C7347" t="s">
        <v>1996</v>
      </c>
      <c r="D7347" t="s">
        <v>1804</v>
      </c>
    </row>
    <row r="7348" spans="1:4" x14ac:dyDescent="0.2">
      <c r="A7348" t="s">
        <v>8865</v>
      </c>
      <c r="B7348" s="2">
        <v>43172</v>
      </c>
      <c r="C7348" t="s">
        <v>1825</v>
      </c>
      <c r="D7348" t="s">
        <v>1810</v>
      </c>
    </row>
    <row r="7349" spans="1:4" x14ac:dyDescent="0.2">
      <c r="A7349" t="s">
        <v>8866</v>
      </c>
      <c r="B7349" s="2">
        <v>43128</v>
      </c>
      <c r="C7349" t="s">
        <v>1803</v>
      </c>
      <c r="D7349" t="s">
        <v>1804</v>
      </c>
    </row>
    <row r="7350" spans="1:4" x14ac:dyDescent="0.2">
      <c r="A7350" t="s">
        <v>8867</v>
      </c>
      <c r="B7350" s="2">
        <v>43178</v>
      </c>
      <c r="C7350" t="s">
        <v>1885</v>
      </c>
      <c r="D7350" t="s">
        <v>1807</v>
      </c>
    </row>
    <row r="7351" spans="1:4" x14ac:dyDescent="0.2">
      <c r="A7351" t="s">
        <v>8868</v>
      </c>
      <c r="B7351" s="2">
        <v>43241</v>
      </c>
      <c r="C7351" t="s">
        <v>1836</v>
      </c>
      <c r="D7351" t="s">
        <v>1840</v>
      </c>
    </row>
    <row r="7352" spans="1:4" x14ac:dyDescent="0.2">
      <c r="A7352" t="s">
        <v>8869</v>
      </c>
      <c r="B7352" s="2">
        <v>42972</v>
      </c>
      <c r="C7352" t="s">
        <v>1836</v>
      </c>
      <c r="D7352" t="s">
        <v>1031</v>
      </c>
    </row>
    <row r="7353" spans="1:4" x14ac:dyDescent="0.2">
      <c r="A7353" t="s">
        <v>8870</v>
      </c>
      <c r="B7353" s="2">
        <v>43185</v>
      </c>
      <c r="C7353" t="s">
        <v>6505</v>
      </c>
      <c r="D7353" t="s">
        <v>1031</v>
      </c>
    </row>
    <row r="7354" spans="1:4" x14ac:dyDescent="0.2">
      <c r="A7354" t="s">
        <v>8871</v>
      </c>
      <c r="B7354" s="2">
        <v>43174</v>
      </c>
      <c r="C7354" t="s">
        <v>1836</v>
      </c>
      <c r="D7354" t="s">
        <v>1031</v>
      </c>
    </row>
    <row r="7355" spans="1:4" x14ac:dyDescent="0.2">
      <c r="A7355" t="s">
        <v>8872</v>
      </c>
      <c r="B7355" s="2">
        <v>43207</v>
      </c>
      <c r="C7355" t="s">
        <v>2078</v>
      </c>
      <c r="D7355" t="s">
        <v>1807</v>
      </c>
    </row>
    <row r="7356" spans="1:4" x14ac:dyDescent="0.2">
      <c r="A7356" t="s">
        <v>8873</v>
      </c>
      <c r="B7356" s="2">
        <v>43105</v>
      </c>
      <c r="C7356" t="s">
        <v>1816</v>
      </c>
      <c r="D7356" t="s">
        <v>1810</v>
      </c>
    </row>
    <row r="7357" spans="1:4" x14ac:dyDescent="0.2">
      <c r="A7357" t="s">
        <v>8874</v>
      </c>
      <c r="B7357" s="2">
        <v>43209</v>
      </c>
      <c r="C7357" t="s">
        <v>1854</v>
      </c>
      <c r="D7357" t="s">
        <v>1829</v>
      </c>
    </row>
    <row r="7358" spans="1:4" x14ac:dyDescent="0.2">
      <c r="A7358" t="s">
        <v>8875</v>
      </c>
      <c r="B7358" s="2">
        <v>43182</v>
      </c>
      <c r="C7358" t="s">
        <v>1863</v>
      </c>
      <c r="D7358" t="s">
        <v>1804</v>
      </c>
    </row>
    <row r="7359" spans="1:4" x14ac:dyDescent="0.2">
      <c r="A7359" t="s">
        <v>8876</v>
      </c>
      <c r="B7359" s="2">
        <v>43224</v>
      </c>
      <c r="C7359" t="s">
        <v>2182</v>
      </c>
      <c r="D7359" t="s">
        <v>1810</v>
      </c>
    </row>
    <row r="7360" spans="1:4" x14ac:dyDescent="0.2">
      <c r="A7360" t="s">
        <v>8877</v>
      </c>
      <c r="B7360" s="2">
        <v>43138</v>
      </c>
      <c r="C7360" t="s">
        <v>1930</v>
      </c>
      <c r="D7360" t="s">
        <v>1807</v>
      </c>
    </row>
    <row r="7361" spans="1:4" x14ac:dyDescent="0.2">
      <c r="A7361" t="s">
        <v>8878</v>
      </c>
      <c r="B7361" s="2">
        <v>43154</v>
      </c>
      <c r="C7361" t="s">
        <v>1803</v>
      </c>
      <c r="D7361" t="s">
        <v>1804</v>
      </c>
    </row>
    <row r="7362" spans="1:4" x14ac:dyDescent="0.2">
      <c r="A7362" t="s">
        <v>8879</v>
      </c>
      <c r="B7362" s="2">
        <v>43112</v>
      </c>
      <c r="C7362" t="s">
        <v>1865</v>
      </c>
      <c r="D7362" t="s">
        <v>1810</v>
      </c>
    </row>
    <row r="7363" spans="1:4" x14ac:dyDescent="0.2">
      <c r="A7363" t="s">
        <v>8880</v>
      </c>
      <c r="B7363" s="2">
        <v>43223</v>
      </c>
      <c r="C7363" t="s">
        <v>1905</v>
      </c>
      <c r="D7363" t="s">
        <v>1804</v>
      </c>
    </row>
    <row r="7364" spans="1:4" x14ac:dyDescent="0.2">
      <c r="A7364" t="s">
        <v>8881</v>
      </c>
      <c r="B7364" s="2">
        <v>43206</v>
      </c>
      <c r="C7364" t="s">
        <v>1863</v>
      </c>
      <c r="D7364" t="s">
        <v>1807</v>
      </c>
    </row>
    <row r="7365" spans="1:4" x14ac:dyDescent="0.2">
      <c r="A7365" t="s">
        <v>1653</v>
      </c>
      <c r="B7365" s="2">
        <v>43202</v>
      </c>
      <c r="C7365" t="s">
        <v>1836</v>
      </c>
      <c r="D7365" t="s">
        <v>1807</v>
      </c>
    </row>
    <row r="7366" spans="1:4" x14ac:dyDescent="0.2">
      <c r="A7366" t="s">
        <v>8882</v>
      </c>
      <c r="B7366" s="2">
        <v>43134</v>
      </c>
      <c r="C7366" t="s">
        <v>1885</v>
      </c>
      <c r="D7366" t="s">
        <v>1810</v>
      </c>
    </row>
    <row r="7367" spans="1:4" x14ac:dyDescent="0.2">
      <c r="A7367" t="s">
        <v>8883</v>
      </c>
      <c r="B7367" s="2">
        <v>43200</v>
      </c>
      <c r="C7367" t="s">
        <v>1937</v>
      </c>
      <c r="D7367" t="s">
        <v>1849</v>
      </c>
    </row>
    <row r="7368" spans="1:4" x14ac:dyDescent="0.2">
      <c r="A7368" t="s">
        <v>8884</v>
      </c>
      <c r="B7368" s="2">
        <v>43243</v>
      </c>
      <c r="C7368" t="s">
        <v>1836</v>
      </c>
      <c r="D7368" t="s">
        <v>1031</v>
      </c>
    </row>
    <row r="7369" spans="1:4" x14ac:dyDescent="0.2">
      <c r="A7369" t="s">
        <v>1655</v>
      </c>
      <c r="B7369" s="2">
        <v>43171</v>
      </c>
      <c r="C7369" t="s">
        <v>1921</v>
      </c>
      <c r="D7369" t="s">
        <v>1810</v>
      </c>
    </row>
    <row r="7370" spans="1:4" x14ac:dyDescent="0.2">
      <c r="A7370" t="s">
        <v>8885</v>
      </c>
      <c r="B7370" s="2">
        <v>43235</v>
      </c>
      <c r="C7370" t="s">
        <v>1863</v>
      </c>
      <c r="D7370" t="s">
        <v>1804</v>
      </c>
    </row>
    <row r="7371" spans="1:4" x14ac:dyDescent="0.2">
      <c r="A7371" t="s">
        <v>1657</v>
      </c>
      <c r="B7371" s="2">
        <v>43231</v>
      </c>
      <c r="C7371" t="s">
        <v>1930</v>
      </c>
      <c r="D7371" t="s">
        <v>1810</v>
      </c>
    </row>
    <row r="7372" spans="1:4" x14ac:dyDescent="0.2">
      <c r="A7372" t="s">
        <v>1659</v>
      </c>
      <c r="B7372" s="2">
        <v>43181</v>
      </c>
      <c r="C7372" t="s">
        <v>1836</v>
      </c>
      <c r="D7372" t="s">
        <v>1031</v>
      </c>
    </row>
    <row r="7373" spans="1:4" x14ac:dyDescent="0.2">
      <c r="A7373" t="s">
        <v>8886</v>
      </c>
      <c r="B7373" s="2">
        <v>43090</v>
      </c>
      <c r="C7373" t="s">
        <v>1930</v>
      </c>
      <c r="D7373" t="s">
        <v>1807</v>
      </c>
    </row>
    <row r="7374" spans="1:4" x14ac:dyDescent="0.2">
      <c r="A7374" t="s">
        <v>8887</v>
      </c>
      <c r="B7374" s="2">
        <v>43050</v>
      </c>
      <c r="C7374" t="s">
        <v>1803</v>
      </c>
      <c r="D7374" t="s">
        <v>1804</v>
      </c>
    </row>
    <row r="7375" spans="1:4" x14ac:dyDescent="0.2">
      <c r="A7375" t="s">
        <v>8888</v>
      </c>
      <c r="B7375" s="2">
        <v>43130</v>
      </c>
      <c r="C7375" t="s">
        <v>1803</v>
      </c>
      <c r="D7375" t="s">
        <v>1804</v>
      </c>
    </row>
    <row r="7376" spans="1:4" x14ac:dyDescent="0.2">
      <c r="A7376" t="s">
        <v>8889</v>
      </c>
      <c r="B7376" s="2">
        <v>43242</v>
      </c>
      <c r="C7376" t="s">
        <v>1816</v>
      </c>
      <c r="D7376" t="s">
        <v>1807</v>
      </c>
    </row>
    <row r="7377" spans="1:4" x14ac:dyDescent="0.2">
      <c r="A7377" t="s">
        <v>8890</v>
      </c>
      <c r="B7377" s="2">
        <v>43185</v>
      </c>
      <c r="C7377" t="s">
        <v>1905</v>
      </c>
      <c r="D7377" t="s">
        <v>1810</v>
      </c>
    </row>
    <row r="7378" spans="1:4" x14ac:dyDescent="0.2">
      <c r="A7378" t="s">
        <v>8891</v>
      </c>
      <c r="B7378" s="2">
        <v>42989</v>
      </c>
      <c r="C7378" t="s">
        <v>1894</v>
      </c>
      <c r="D7378" t="s">
        <v>1804</v>
      </c>
    </row>
    <row r="7379" spans="1:4" x14ac:dyDescent="0.2">
      <c r="A7379" t="s">
        <v>8892</v>
      </c>
      <c r="B7379" s="2">
        <v>43222</v>
      </c>
      <c r="C7379" t="s">
        <v>1831</v>
      </c>
      <c r="D7379" t="s">
        <v>1810</v>
      </c>
    </row>
    <row r="7380" spans="1:4" x14ac:dyDescent="0.2">
      <c r="A7380" t="s">
        <v>8893</v>
      </c>
      <c r="B7380" s="2">
        <v>43112</v>
      </c>
      <c r="C7380" t="s">
        <v>1838</v>
      </c>
      <c r="D7380" t="s">
        <v>1810</v>
      </c>
    </row>
    <row r="7381" spans="1:4" x14ac:dyDescent="0.2">
      <c r="A7381" t="s">
        <v>1661</v>
      </c>
      <c r="B7381" s="2">
        <v>43076</v>
      </c>
      <c r="C7381" t="s">
        <v>2242</v>
      </c>
      <c r="D7381" t="s">
        <v>1810</v>
      </c>
    </row>
    <row r="7382" spans="1:4" x14ac:dyDescent="0.2">
      <c r="A7382" t="s">
        <v>1663</v>
      </c>
      <c r="B7382" s="2">
        <v>43145</v>
      </c>
      <c r="C7382" t="s">
        <v>1905</v>
      </c>
      <c r="D7382" t="s">
        <v>1807</v>
      </c>
    </row>
    <row r="7383" spans="1:4" x14ac:dyDescent="0.2">
      <c r="A7383" t="s">
        <v>8894</v>
      </c>
      <c r="B7383" s="2">
        <v>43226</v>
      </c>
      <c r="C7383" t="s">
        <v>1816</v>
      </c>
      <c r="D7383" t="s">
        <v>1840</v>
      </c>
    </row>
    <row r="7384" spans="1:4" x14ac:dyDescent="0.2">
      <c r="A7384" t="s">
        <v>8895</v>
      </c>
      <c r="B7384" s="2">
        <v>43055</v>
      </c>
      <c r="C7384" t="s">
        <v>1889</v>
      </c>
      <c r="D7384" t="s">
        <v>1810</v>
      </c>
    </row>
    <row r="7385" spans="1:4" x14ac:dyDescent="0.2">
      <c r="A7385" t="s">
        <v>1665</v>
      </c>
      <c r="B7385" s="2">
        <v>43193</v>
      </c>
      <c r="C7385" t="s">
        <v>1836</v>
      </c>
      <c r="D7385" t="s">
        <v>1031</v>
      </c>
    </row>
    <row r="7386" spans="1:4" x14ac:dyDescent="0.2">
      <c r="A7386" t="s">
        <v>8896</v>
      </c>
      <c r="B7386" s="2">
        <v>43090</v>
      </c>
      <c r="C7386" t="s">
        <v>1915</v>
      </c>
      <c r="D7386" t="s">
        <v>1807</v>
      </c>
    </row>
    <row r="7387" spans="1:4" x14ac:dyDescent="0.2">
      <c r="A7387" t="s">
        <v>8897</v>
      </c>
      <c r="B7387" s="2">
        <v>43108</v>
      </c>
      <c r="C7387" t="s">
        <v>8898</v>
      </c>
      <c r="D7387" t="s">
        <v>1804</v>
      </c>
    </row>
    <row r="7388" spans="1:4" x14ac:dyDescent="0.2">
      <c r="A7388" t="s">
        <v>8899</v>
      </c>
      <c r="B7388" s="2">
        <v>43230</v>
      </c>
      <c r="C7388" t="s">
        <v>1863</v>
      </c>
      <c r="D7388" t="s">
        <v>1807</v>
      </c>
    </row>
    <row r="7389" spans="1:4" x14ac:dyDescent="0.2">
      <c r="A7389" t="s">
        <v>8900</v>
      </c>
      <c r="B7389" s="2">
        <v>43159</v>
      </c>
      <c r="C7389" t="s">
        <v>1836</v>
      </c>
      <c r="D7389" t="s">
        <v>1031</v>
      </c>
    </row>
    <row r="7390" spans="1:4" x14ac:dyDescent="0.2">
      <c r="A7390" t="s">
        <v>8901</v>
      </c>
      <c r="B7390" s="2">
        <v>43210</v>
      </c>
      <c r="C7390" t="s">
        <v>1863</v>
      </c>
      <c r="D7390" t="s">
        <v>1804</v>
      </c>
    </row>
    <row r="7391" spans="1:4" x14ac:dyDescent="0.2">
      <c r="A7391" t="s">
        <v>8902</v>
      </c>
      <c r="B7391" s="2">
        <v>43070</v>
      </c>
      <c r="C7391" t="s">
        <v>1825</v>
      </c>
      <c r="D7391" t="s">
        <v>1829</v>
      </c>
    </row>
    <row r="7392" spans="1:4" x14ac:dyDescent="0.2">
      <c r="A7392" t="s">
        <v>8903</v>
      </c>
      <c r="B7392" s="2">
        <v>43241</v>
      </c>
      <c r="C7392" t="s">
        <v>1915</v>
      </c>
      <c r="D7392" t="s">
        <v>1910</v>
      </c>
    </row>
    <row r="7393" spans="1:4" x14ac:dyDescent="0.2">
      <c r="A7393" t="s">
        <v>8904</v>
      </c>
      <c r="B7393" s="2">
        <v>43188</v>
      </c>
      <c r="C7393" t="s">
        <v>2242</v>
      </c>
      <c r="D7393" t="s">
        <v>1810</v>
      </c>
    </row>
    <row r="7394" spans="1:4" x14ac:dyDescent="0.2">
      <c r="A7394" t="s">
        <v>8905</v>
      </c>
      <c r="B7394" s="2">
        <v>43188</v>
      </c>
      <c r="C7394" t="s">
        <v>4744</v>
      </c>
      <c r="D7394" t="s">
        <v>1031</v>
      </c>
    </row>
    <row r="7395" spans="1:4" x14ac:dyDescent="0.2">
      <c r="A7395" t="s">
        <v>8906</v>
      </c>
      <c r="B7395" s="2">
        <v>43070</v>
      </c>
      <c r="C7395" t="s">
        <v>1803</v>
      </c>
      <c r="D7395" t="s">
        <v>1810</v>
      </c>
    </row>
    <row r="7396" spans="1:4" x14ac:dyDescent="0.2">
      <c r="A7396" t="s">
        <v>8907</v>
      </c>
      <c r="B7396" s="2">
        <v>43108</v>
      </c>
      <c r="C7396" t="s">
        <v>1836</v>
      </c>
      <c r="D7396" t="s">
        <v>1031</v>
      </c>
    </row>
    <row r="7397" spans="1:4" x14ac:dyDescent="0.2">
      <c r="A7397" t="s">
        <v>8908</v>
      </c>
      <c r="B7397" s="2">
        <v>43156</v>
      </c>
      <c r="C7397" t="s">
        <v>1816</v>
      </c>
      <c r="D7397" t="s">
        <v>1810</v>
      </c>
    </row>
    <row r="7398" spans="1:4" x14ac:dyDescent="0.2">
      <c r="A7398" t="s">
        <v>8909</v>
      </c>
      <c r="B7398" s="2">
        <v>43153</v>
      </c>
      <c r="C7398" t="s">
        <v>1803</v>
      </c>
      <c r="D7398" t="s">
        <v>1804</v>
      </c>
    </row>
    <row r="7399" spans="1:4" x14ac:dyDescent="0.2">
      <c r="A7399" t="s">
        <v>8910</v>
      </c>
      <c r="B7399" s="2">
        <v>43158</v>
      </c>
      <c r="C7399" t="s">
        <v>1996</v>
      </c>
      <c r="D7399" t="s">
        <v>1804</v>
      </c>
    </row>
    <row r="7400" spans="1:4" x14ac:dyDescent="0.2">
      <c r="A7400" t="s">
        <v>8911</v>
      </c>
      <c r="B7400" s="2">
        <v>43062</v>
      </c>
      <c r="C7400" t="s">
        <v>1836</v>
      </c>
      <c r="D7400" t="s">
        <v>1031</v>
      </c>
    </row>
    <row r="7401" spans="1:4" x14ac:dyDescent="0.2">
      <c r="A7401" t="s">
        <v>1667</v>
      </c>
      <c r="B7401" s="2">
        <v>43231</v>
      </c>
      <c r="C7401" t="s">
        <v>1836</v>
      </c>
      <c r="D7401" t="s">
        <v>1031</v>
      </c>
    </row>
    <row r="7402" spans="1:4" x14ac:dyDescent="0.2">
      <c r="A7402" t="s">
        <v>1669</v>
      </c>
      <c r="B7402" s="2">
        <v>43196</v>
      </c>
      <c r="C7402" t="s">
        <v>1863</v>
      </c>
      <c r="D7402" t="s">
        <v>1031</v>
      </c>
    </row>
    <row r="7403" spans="1:4" x14ac:dyDescent="0.2">
      <c r="A7403" t="s">
        <v>8912</v>
      </c>
      <c r="B7403" s="2">
        <v>42938</v>
      </c>
      <c r="C7403" t="s">
        <v>3268</v>
      </c>
      <c r="D7403" t="s">
        <v>1849</v>
      </c>
    </row>
    <row r="7404" spans="1:4" x14ac:dyDescent="0.2">
      <c r="A7404" t="s">
        <v>8913</v>
      </c>
      <c r="B7404" s="2">
        <v>43215</v>
      </c>
      <c r="C7404" t="s">
        <v>3234</v>
      </c>
      <c r="D7404" t="s">
        <v>1813</v>
      </c>
    </row>
    <row r="7405" spans="1:4" x14ac:dyDescent="0.2">
      <c r="A7405" t="s">
        <v>8914</v>
      </c>
      <c r="B7405" s="2">
        <v>42963</v>
      </c>
      <c r="C7405" t="s">
        <v>1892</v>
      </c>
      <c r="D7405" t="s">
        <v>1810</v>
      </c>
    </row>
    <row r="7406" spans="1:4" x14ac:dyDescent="0.2">
      <c r="A7406" t="s">
        <v>8915</v>
      </c>
      <c r="B7406" s="2">
        <v>43172</v>
      </c>
      <c r="C7406" t="s">
        <v>2019</v>
      </c>
      <c r="D7406" t="s">
        <v>160</v>
      </c>
    </row>
    <row r="7407" spans="1:4" x14ac:dyDescent="0.2">
      <c r="A7407" t="s">
        <v>8916</v>
      </c>
      <c r="B7407" s="2">
        <v>42992</v>
      </c>
      <c r="C7407" t="s">
        <v>2276</v>
      </c>
      <c r="D7407" t="s">
        <v>1813</v>
      </c>
    </row>
    <row r="7408" spans="1:4" x14ac:dyDescent="0.2">
      <c r="A7408" t="s">
        <v>8917</v>
      </c>
      <c r="B7408" s="2">
        <v>43171</v>
      </c>
      <c r="C7408" t="s">
        <v>2048</v>
      </c>
      <c r="D7408" t="s">
        <v>1840</v>
      </c>
    </row>
    <row r="7409" spans="1:4" x14ac:dyDescent="0.2">
      <c r="A7409" t="s">
        <v>1671</v>
      </c>
      <c r="B7409" s="2">
        <v>43171</v>
      </c>
      <c r="C7409" t="s">
        <v>1905</v>
      </c>
      <c r="D7409" t="s">
        <v>1810</v>
      </c>
    </row>
    <row r="7410" spans="1:4" x14ac:dyDescent="0.2">
      <c r="A7410" t="s">
        <v>8918</v>
      </c>
      <c r="B7410" s="2">
        <v>42977</v>
      </c>
      <c r="C7410" t="s">
        <v>1816</v>
      </c>
      <c r="D7410" t="s">
        <v>1810</v>
      </c>
    </row>
    <row r="7411" spans="1:4" x14ac:dyDescent="0.2">
      <c r="A7411" t="s">
        <v>1673</v>
      </c>
      <c r="B7411" s="2">
        <v>43147</v>
      </c>
      <c r="C7411" t="s">
        <v>2058</v>
      </c>
      <c r="D7411" t="s">
        <v>1807</v>
      </c>
    </row>
    <row r="7412" spans="1:4" x14ac:dyDescent="0.2">
      <c r="A7412" t="s">
        <v>8919</v>
      </c>
      <c r="B7412" s="2">
        <v>43176</v>
      </c>
      <c r="C7412" t="s">
        <v>1907</v>
      </c>
      <c r="D7412" t="s">
        <v>1807</v>
      </c>
    </row>
    <row r="7413" spans="1:4" x14ac:dyDescent="0.2">
      <c r="A7413" t="s">
        <v>8920</v>
      </c>
      <c r="B7413" s="2">
        <v>43112</v>
      </c>
      <c r="C7413" t="s">
        <v>1836</v>
      </c>
      <c r="D7413" t="s">
        <v>1031</v>
      </c>
    </row>
    <row r="7414" spans="1:4" x14ac:dyDescent="0.2">
      <c r="A7414" t="s">
        <v>8921</v>
      </c>
      <c r="B7414" s="2">
        <v>43219</v>
      </c>
      <c r="C7414" t="s">
        <v>1867</v>
      </c>
      <c r="D7414" t="s">
        <v>1804</v>
      </c>
    </row>
    <row r="7415" spans="1:4" x14ac:dyDescent="0.2">
      <c r="A7415" t="s">
        <v>8922</v>
      </c>
      <c r="B7415" s="2">
        <v>43185</v>
      </c>
      <c r="C7415" t="s">
        <v>2170</v>
      </c>
      <c r="D7415" t="s">
        <v>1840</v>
      </c>
    </row>
    <row r="7416" spans="1:4" x14ac:dyDescent="0.2">
      <c r="A7416" t="s">
        <v>8923</v>
      </c>
      <c r="B7416" s="2">
        <v>43210</v>
      </c>
      <c r="C7416" t="s">
        <v>1863</v>
      </c>
      <c r="D7416" t="s">
        <v>1804</v>
      </c>
    </row>
    <row r="7417" spans="1:4" x14ac:dyDescent="0.2">
      <c r="A7417" t="s">
        <v>8924</v>
      </c>
      <c r="B7417" s="2">
        <v>43172</v>
      </c>
      <c r="C7417" t="s">
        <v>2019</v>
      </c>
      <c r="D7417" t="s">
        <v>160</v>
      </c>
    </row>
    <row r="7418" spans="1:4" x14ac:dyDescent="0.2">
      <c r="A7418" t="s">
        <v>8925</v>
      </c>
      <c r="B7418" s="2">
        <v>43072</v>
      </c>
      <c r="C7418" t="s">
        <v>1803</v>
      </c>
      <c r="D7418" t="s">
        <v>1804</v>
      </c>
    </row>
    <row r="7419" spans="1:4" x14ac:dyDescent="0.2">
      <c r="A7419" t="s">
        <v>8926</v>
      </c>
      <c r="B7419" s="2">
        <v>43018</v>
      </c>
      <c r="C7419" t="s">
        <v>1816</v>
      </c>
      <c r="D7419" t="s">
        <v>1031</v>
      </c>
    </row>
    <row r="7420" spans="1:4" x14ac:dyDescent="0.2">
      <c r="A7420" t="s">
        <v>8927</v>
      </c>
      <c r="B7420" s="2">
        <v>43123</v>
      </c>
      <c r="C7420" t="s">
        <v>1831</v>
      </c>
      <c r="D7420" t="s">
        <v>1810</v>
      </c>
    </row>
    <row r="7421" spans="1:4" x14ac:dyDescent="0.2">
      <c r="A7421" t="s">
        <v>8928</v>
      </c>
      <c r="B7421" s="2">
        <v>43223</v>
      </c>
      <c r="C7421" t="s">
        <v>1836</v>
      </c>
      <c r="D7421" t="s">
        <v>1031</v>
      </c>
    </row>
    <row r="7422" spans="1:4" x14ac:dyDescent="0.2">
      <c r="A7422" t="s">
        <v>8929</v>
      </c>
      <c r="B7422" s="2">
        <v>43166</v>
      </c>
      <c r="C7422" t="s">
        <v>1993</v>
      </c>
      <c r="D7422" t="s">
        <v>1813</v>
      </c>
    </row>
    <row r="7423" spans="1:4" x14ac:dyDescent="0.2">
      <c r="A7423" t="s">
        <v>8930</v>
      </c>
      <c r="B7423" s="2">
        <v>43199</v>
      </c>
      <c r="C7423" t="s">
        <v>1828</v>
      </c>
      <c r="D7423" t="s">
        <v>1840</v>
      </c>
    </row>
    <row r="7424" spans="1:4" x14ac:dyDescent="0.2">
      <c r="A7424" t="s">
        <v>8931</v>
      </c>
      <c r="B7424" s="2">
        <v>43188</v>
      </c>
      <c r="C7424" t="s">
        <v>1816</v>
      </c>
      <c r="D7424" t="s">
        <v>1810</v>
      </c>
    </row>
    <row r="7425" spans="1:4" x14ac:dyDescent="0.2">
      <c r="A7425" t="s">
        <v>8932</v>
      </c>
      <c r="B7425" s="2">
        <v>43110</v>
      </c>
      <c r="C7425" t="s">
        <v>1803</v>
      </c>
      <c r="D7425" t="s">
        <v>1804</v>
      </c>
    </row>
    <row r="7426" spans="1:4" x14ac:dyDescent="0.2">
      <c r="A7426" t="s">
        <v>8933</v>
      </c>
      <c r="B7426" s="2">
        <v>43130</v>
      </c>
      <c r="C7426" t="s">
        <v>3234</v>
      </c>
      <c r="D7426" t="s">
        <v>1804</v>
      </c>
    </row>
    <row r="7427" spans="1:4" x14ac:dyDescent="0.2">
      <c r="A7427" t="s">
        <v>8934</v>
      </c>
      <c r="B7427" s="2">
        <v>43136</v>
      </c>
      <c r="C7427" t="s">
        <v>1825</v>
      </c>
      <c r="D7427" t="s">
        <v>1810</v>
      </c>
    </row>
    <row r="7428" spans="1:4" x14ac:dyDescent="0.2">
      <c r="A7428" t="s">
        <v>8935</v>
      </c>
      <c r="B7428" s="2">
        <v>43200</v>
      </c>
      <c r="C7428" t="s">
        <v>1865</v>
      </c>
      <c r="D7428" t="s">
        <v>1810</v>
      </c>
    </row>
    <row r="7429" spans="1:4" x14ac:dyDescent="0.2">
      <c r="A7429" t="s">
        <v>8936</v>
      </c>
      <c r="B7429" s="2">
        <v>43054</v>
      </c>
      <c r="C7429" t="s">
        <v>1889</v>
      </c>
      <c r="D7429" t="s">
        <v>1804</v>
      </c>
    </row>
    <row r="7430" spans="1:4" x14ac:dyDescent="0.2">
      <c r="A7430" t="s">
        <v>8937</v>
      </c>
      <c r="B7430" s="2">
        <v>43210</v>
      </c>
      <c r="C7430" t="s">
        <v>1816</v>
      </c>
      <c r="D7430" t="s">
        <v>1804</v>
      </c>
    </row>
    <row r="7431" spans="1:4" x14ac:dyDescent="0.2">
      <c r="A7431" t="s">
        <v>8938</v>
      </c>
      <c r="B7431" s="2">
        <v>43120</v>
      </c>
      <c r="C7431" t="s">
        <v>2187</v>
      </c>
      <c r="D7431" t="s">
        <v>1807</v>
      </c>
    </row>
    <row r="7432" spans="1:4" x14ac:dyDescent="0.2">
      <c r="A7432" t="s">
        <v>8939</v>
      </c>
      <c r="B7432" s="2">
        <v>43097</v>
      </c>
      <c r="C7432" t="s">
        <v>1930</v>
      </c>
      <c r="D7432" t="s">
        <v>1810</v>
      </c>
    </row>
    <row r="7433" spans="1:4" x14ac:dyDescent="0.2">
      <c r="A7433" t="s">
        <v>8940</v>
      </c>
      <c r="B7433" s="2">
        <v>43185</v>
      </c>
      <c r="C7433" t="s">
        <v>1809</v>
      </c>
      <c r="D7433" t="s">
        <v>1849</v>
      </c>
    </row>
    <row r="7434" spans="1:4" x14ac:dyDescent="0.2">
      <c r="A7434" t="s">
        <v>8941</v>
      </c>
      <c r="B7434" s="2">
        <v>43219</v>
      </c>
      <c r="C7434" t="s">
        <v>1867</v>
      </c>
      <c r="D7434" t="s">
        <v>1810</v>
      </c>
    </row>
    <row r="7435" spans="1:4" x14ac:dyDescent="0.2">
      <c r="A7435" t="s">
        <v>8942</v>
      </c>
      <c r="B7435" s="2">
        <v>42967</v>
      </c>
      <c r="C7435" t="s">
        <v>1816</v>
      </c>
      <c r="D7435" t="s">
        <v>1810</v>
      </c>
    </row>
    <row r="7436" spans="1:4" x14ac:dyDescent="0.2">
      <c r="A7436" t="s">
        <v>8943</v>
      </c>
      <c r="B7436" s="2">
        <v>43141</v>
      </c>
      <c r="C7436" t="s">
        <v>1915</v>
      </c>
      <c r="D7436" t="s">
        <v>1807</v>
      </c>
    </row>
    <row r="7437" spans="1:4" x14ac:dyDescent="0.2">
      <c r="A7437" t="s">
        <v>8944</v>
      </c>
      <c r="B7437" s="2">
        <v>43155</v>
      </c>
      <c r="C7437" t="s">
        <v>1930</v>
      </c>
      <c r="D7437" t="s">
        <v>1810</v>
      </c>
    </row>
    <row r="7438" spans="1:4" x14ac:dyDescent="0.2">
      <c r="A7438" t="s">
        <v>8945</v>
      </c>
      <c r="B7438" s="2">
        <v>43189</v>
      </c>
      <c r="C7438" t="s">
        <v>1827</v>
      </c>
      <c r="D7438" t="s">
        <v>1807</v>
      </c>
    </row>
    <row r="7439" spans="1:4" x14ac:dyDescent="0.2">
      <c r="A7439" t="s">
        <v>8946</v>
      </c>
      <c r="B7439" s="2">
        <v>43179</v>
      </c>
      <c r="C7439" t="s">
        <v>1816</v>
      </c>
      <c r="D7439" t="s">
        <v>1829</v>
      </c>
    </row>
    <row r="7440" spans="1:4" x14ac:dyDescent="0.2">
      <c r="A7440" t="s">
        <v>8947</v>
      </c>
      <c r="B7440" s="2">
        <v>42945</v>
      </c>
      <c r="C7440" t="s">
        <v>3268</v>
      </c>
      <c r="D7440" t="s">
        <v>1849</v>
      </c>
    </row>
    <row r="7441" spans="1:4" x14ac:dyDescent="0.2">
      <c r="A7441" t="s">
        <v>8948</v>
      </c>
      <c r="B7441" s="2">
        <v>43156</v>
      </c>
      <c r="C7441" t="s">
        <v>3827</v>
      </c>
      <c r="D7441" t="s">
        <v>1031</v>
      </c>
    </row>
    <row r="7442" spans="1:4" x14ac:dyDescent="0.2">
      <c r="A7442" t="s">
        <v>8949</v>
      </c>
      <c r="B7442" s="2">
        <v>43174</v>
      </c>
      <c r="C7442" t="s">
        <v>1928</v>
      </c>
      <c r="D7442" t="s">
        <v>1813</v>
      </c>
    </row>
    <row r="7443" spans="1:4" x14ac:dyDescent="0.2">
      <c r="A7443" t="s">
        <v>8950</v>
      </c>
      <c r="B7443" s="2">
        <v>43236</v>
      </c>
      <c r="C7443" t="s">
        <v>1827</v>
      </c>
      <c r="D7443" t="s">
        <v>1807</v>
      </c>
    </row>
    <row r="7444" spans="1:4" x14ac:dyDescent="0.2">
      <c r="A7444" t="s">
        <v>8951</v>
      </c>
      <c r="B7444" s="2">
        <v>43194</v>
      </c>
      <c r="C7444" t="s">
        <v>1816</v>
      </c>
      <c r="D7444" t="s">
        <v>1810</v>
      </c>
    </row>
    <row r="7445" spans="1:4" x14ac:dyDescent="0.2">
      <c r="A7445" t="s">
        <v>8952</v>
      </c>
      <c r="B7445" s="2">
        <v>43178</v>
      </c>
      <c r="C7445" t="s">
        <v>1928</v>
      </c>
      <c r="D7445" t="s">
        <v>1804</v>
      </c>
    </row>
    <row r="7446" spans="1:4" x14ac:dyDescent="0.2">
      <c r="A7446" t="s">
        <v>8953</v>
      </c>
      <c r="B7446" s="2">
        <v>43110</v>
      </c>
      <c r="C7446" t="s">
        <v>1907</v>
      </c>
      <c r="D7446" t="s">
        <v>1807</v>
      </c>
    </row>
    <row r="7447" spans="1:4" x14ac:dyDescent="0.2">
      <c r="A7447" t="s">
        <v>8954</v>
      </c>
      <c r="B7447" s="2">
        <v>42937</v>
      </c>
      <c r="C7447" t="s">
        <v>1892</v>
      </c>
      <c r="D7447" t="s">
        <v>1810</v>
      </c>
    </row>
    <row r="7448" spans="1:4" x14ac:dyDescent="0.2">
      <c r="A7448" t="s">
        <v>8955</v>
      </c>
      <c r="B7448" s="2">
        <v>43225</v>
      </c>
      <c r="C7448" t="s">
        <v>1930</v>
      </c>
      <c r="D7448" t="s">
        <v>1807</v>
      </c>
    </row>
    <row r="7449" spans="1:4" x14ac:dyDescent="0.2">
      <c r="A7449" t="s">
        <v>8956</v>
      </c>
      <c r="B7449" s="2">
        <v>43207</v>
      </c>
      <c r="C7449" t="s">
        <v>1832</v>
      </c>
      <c r="D7449" t="s">
        <v>1807</v>
      </c>
    </row>
    <row r="7450" spans="1:4" x14ac:dyDescent="0.2">
      <c r="A7450" t="s">
        <v>8957</v>
      </c>
      <c r="B7450" s="2">
        <v>43018</v>
      </c>
      <c r="C7450" t="s">
        <v>1889</v>
      </c>
      <c r="D7450" t="s">
        <v>1804</v>
      </c>
    </row>
    <row r="7451" spans="1:4" x14ac:dyDescent="0.2">
      <c r="A7451" t="s">
        <v>8958</v>
      </c>
      <c r="B7451" s="2">
        <v>43149</v>
      </c>
      <c r="C7451" t="s">
        <v>1803</v>
      </c>
      <c r="D7451" t="s">
        <v>1804</v>
      </c>
    </row>
    <row r="7452" spans="1:4" x14ac:dyDescent="0.2">
      <c r="A7452" t="s">
        <v>8959</v>
      </c>
      <c r="B7452" s="2">
        <v>43243</v>
      </c>
      <c r="C7452" t="s">
        <v>1905</v>
      </c>
      <c r="D7452" t="s">
        <v>1810</v>
      </c>
    </row>
    <row r="7453" spans="1:4" x14ac:dyDescent="0.2">
      <c r="A7453" t="s">
        <v>1675</v>
      </c>
      <c r="B7453" s="2">
        <v>43119</v>
      </c>
      <c r="C7453" t="s">
        <v>1803</v>
      </c>
      <c r="D7453" t="s">
        <v>1804</v>
      </c>
    </row>
    <row r="7454" spans="1:4" x14ac:dyDescent="0.2">
      <c r="A7454" t="s">
        <v>8960</v>
      </c>
      <c r="B7454" s="2">
        <v>43067</v>
      </c>
      <c r="C7454" t="s">
        <v>1803</v>
      </c>
      <c r="D7454" t="s">
        <v>1804</v>
      </c>
    </row>
    <row r="7455" spans="1:4" x14ac:dyDescent="0.2">
      <c r="A7455" t="s">
        <v>8961</v>
      </c>
      <c r="B7455" s="2">
        <v>42936</v>
      </c>
      <c r="C7455" t="s">
        <v>3369</v>
      </c>
      <c r="D7455" t="s">
        <v>1829</v>
      </c>
    </row>
    <row r="7456" spans="1:4" x14ac:dyDescent="0.2">
      <c r="A7456" t="s">
        <v>8962</v>
      </c>
      <c r="B7456" s="2">
        <v>43211</v>
      </c>
      <c r="C7456" t="s">
        <v>1905</v>
      </c>
      <c r="D7456" t="s">
        <v>1810</v>
      </c>
    </row>
    <row r="7457" spans="1:4" x14ac:dyDescent="0.2">
      <c r="A7457" t="s">
        <v>1677</v>
      </c>
      <c r="B7457" s="2">
        <v>43222</v>
      </c>
      <c r="C7457" t="s">
        <v>1836</v>
      </c>
      <c r="D7457" t="s">
        <v>1031</v>
      </c>
    </row>
    <row r="7458" spans="1:4" x14ac:dyDescent="0.2">
      <c r="A7458" t="s">
        <v>8963</v>
      </c>
      <c r="B7458" s="2">
        <v>43195</v>
      </c>
      <c r="C7458" t="s">
        <v>1827</v>
      </c>
      <c r="D7458" t="s">
        <v>1807</v>
      </c>
    </row>
    <row r="7459" spans="1:4" x14ac:dyDescent="0.2">
      <c r="A7459" t="s">
        <v>8964</v>
      </c>
      <c r="B7459" s="2">
        <v>43074</v>
      </c>
      <c r="C7459" t="s">
        <v>1825</v>
      </c>
      <c r="D7459" t="s">
        <v>1804</v>
      </c>
    </row>
    <row r="7460" spans="1:4" x14ac:dyDescent="0.2">
      <c r="A7460" t="s">
        <v>8965</v>
      </c>
      <c r="B7460" s="2">
        <v>43210</v>
      </c>
      <c r="C7460" t="s">
        <v>1816</v>
      </c>
      <c r="D7460" t="s">
        <v>1804</v>
      </c>
    </row>
    <row r="7461" spans="1:4" x14ac:dyDescent="0.2">
      <c r="A7461" t="s">
        <v>8966</v>
      </c>
      <c r="B7461" s="2">
        <v>43245</v>
      </c>
      <c r="C7461" t="s">
        <v>1859</v>
      </c>
      <c r="D7461" t="s">
        <v>1810</v>
      </c>
    </row>
    <row r="7462" spans="1:4" x14ac:dyDescent="0.2">
      <c r="A7462" t="s">
        <v>8967</v>
      </c>
      <c r="B7462" s="2">
        <v>43238</v>
      </c>
      <c r="C7462" t="s">
        <v>1836</v>
      </c>
      <c r="D7462" t="s">
        <v>1031</v>
      </c>
    </row>
    <row r="7463" spans="1:4" x14ac:dyDescent="0.2">
      <c r="A7463" t="s">
        <v>1679</v>
      </c>
      <c r="B7463" s="2">
        <v>43122</v>
      </c>
      <c r="C7463" t="s">
        <v>4328</v>
      </c>
      <c r="D7463" t="s">
        <v>1807</v>
      </c>
    </row>
    <row r="7464" spans="1:4" x14ac:dyDescent="0.2">
      <c r="A7464" t="s">
        <v>8968</v>
      </c>
      <c r="B7464" s="2">
        <v>43133</v>
      </c>
      <c r="C7464" t="s">
        <v>1814</v>
      </c>
      <c r="D7464" t="s">
        <v>1840</v>
      </c>
    </row>
    <row r="7465" spans="1:4" x14ac:dyDescent="0.2">
      <c r="A7465" t="s">
        <v>8969</v>
      </c>
      <c r="B7465" s="2">
        <v>43074</v>
      </c>
      <c r="C7465" t="s">
        <v>1806</v>
      </c>
      <c r="D7465" t="s">
        <v>1810</v>
      </c>
    </row>
    <row r="7466" spans="1:4" x14ac:dyDescent="0.2">
      <c r="A7466" t="s">
        <v>1681</v>
      </c>
      <c r="B7466" s="2">
        <v>43137</v>
      </c>
      <c r="C7466" t="s">
        <v>1836</v>
      </c>
      <c r="D7466" t="s">
        <v>1031</v>
      </c>
    </row>
    <row r="7467" spans="1:4" x14ac:dyDescent="0.2">
      <c r="A7467" t="s">
        <v>8970</v>
      </c>
      <c r="B7467" s="2">
        <v>43214</v>
      </c>
      <c r="C7467" t="s">
        <v>1863</v>
      </c>
      <c r="D7467" t="s">
        <v>1804</v>
      </c>
    </row>
    <row r="7468" spans="1:4" x14ac:dyDescent="0.2">
      <c r="A7468" t="s">
        <v>8971</v>
      </c>
      <c r="B7468" s="2">
        <v>43202</v>
      </c>
      <c r="C7468" t="s">
        <v>1878</v>
      </c>
      <c r="D7468" t="s">
        <v>1810</v>
      </c>
    </row>
    <row r="7469" spans="1:4" x14ac:dyDescent="0.2">
      <c r="A7469" t="s">
        <v>8972</v>
      </c>
      <c r="B7469" s="2">
        <v>43113</v>
      </c>
      <c r="C7469" t="s">
        <v>1816</v>
      </c>
      <c r="D7469" t="s">
        <v>1810</v>
      </c>
    </row>
    <row r="7470" spans="1:4" x14ac:dyDescent="0.2">
      <c r="A7470" t="s">
        <v>8973</v>
      </c>
      <c r="B7470" s="2">
        <v>43165</v>
      </c>
      <c r="C7470" t="s">
        <v>2115</v>
      </c>
      <c r="D7470" t="s">
        <v>1804</v>
      </c>
    </row>
    <row r="7471" spans="1:4" x14ac:dyDescent="0.2">
      <c r="A7471" t="s">
        <v>1683</v>
      </c>
      <c r="B7471" s="2">
        <v>43228</v>
      </c>
      <c r="C7471" t="s">
        <v>1816</v>
      </c>
      <c r="D7471" t="s">
        <v>1796</v>
      </c>
    </row>
    <row r="7472" spans="1:4" x14ac:dyDescent="0.2">
      <c r="A7472" t="s">
        <v>8974</v>
      </c>
      <c r="B7472" s="2">
        <v>43140</v>
      </c>
      <c r="C7472" t="s">
        <v>1921</v>
      </c>
      <c r="D7472" t="s">
        <v>1813</v>
      </c>
    </row>
    <row r="7473" spans="1:4" x14ac:dyDescent="0.2">
      <c r="A7473" t="s">
        <v>8975</v>
      </c>
      <c r="B7473" s="2">
        <v>43004</v>
      </c>
      <c r="C7473" t="s">
        <v>2242</v>
      </c>
      <c r="D7473" t="s">
        <v>1840</v>
      </c>
    </row>
    <row r="7474" spans="1:4" x14ac:dyDescent="0.2">
      <c r="A7474" t="s">
        <v>8976</v>
      </c>
      <c r="B7474" s="2">
        <v>43246</v>
      </c>
      <c r="C7474" t="s">
        <v>1863</v>
      </c>
      <c r="D7474" t="s">
        <v>1804</v>
      </c>
    </row>
    <row r="7475" spans="1:4" x14ac:dyDescent="0.2">
      <c r="A7475" t="s">
        <v>8977</v>
      </c>
      <c r="B7475" s="2">
        <v>43222</v>
      </c>
      <c r="C7475" t="s">
        <v>1836</v>
      </c>
      <c r="D7475" t="s">
        <v>1031</v>
      </c>
    </row>
    <row r="7476" spans="1:4" x14ac:dyDescent="0.2">
      <c r="A7476" t="s">
        <v>8978</v>
      </c>
      <c r="B7476" s="2">
        <v>43180</v>
      </c>
      <c r="C7476" t="s">
        <v>1806</v>
      </c>
      <c r="D7476" t="s">
        <v>1807</v>
      </c>
    </row>
    <row r="7477" spans="1:4" x14ac:dyDescent="0.2">
      <c r="A7477" t="s">
        <v>8979</v>
      </c>
      <c r="B7477" s="2">
        <v>43127</v>
      </c>
      <c r="C7477" t="s">
        <v>1825</v>
      </c>
      <c r="D7477" t="s">
        <v>1840</v>
      </c>
    </row>
    <row r="7478" spans="1:4" x14ac:dyDescent="0.2">
      <c r="A7478" t="s">
        <v>8980</v>
      </c>
      <c r="B7478" s="2">
        <v>43239</v>
      </c>
      <c r="C7478" t="s">
        <v>1809</v>
      </c>
      <c r="D7478" t="s">
        <v>1810</v>
      </c>
    </row>
    <row r="7479" spans="1:4" x14ac:dyDescent="0.2">
      <c r="A7479" t="s">
        <v>8981</v>
      </c>
      <c r="B7479" s="2">
        <v>43146</v>
      </c>
      <c r="C7479" t="s">
        <v>1885</v>
      </c>
      <c r="D7479" t="s">
        <v>1810</v>
      </c>
    </row>
    <row r="7480" spans="1:4" x14ac:dyDescent="0.2">
      <c r="A7480" t="s">
        <v>8982</v>
      </c>
      <c r="B7480" s="2">
        <v>43216</v>
      </c>
      <c r="C7480" t="s">
        <v>2242</v>
      </c>
      <c r="D7480" t="s">
        <v>1810</v>
      </c>
    </row>
    <row r="7481" spans="1:4" x14ac:dyDescent="0.2">
      <c r="A7481" t="s">
        <v>8983</v>
      </c>
      <c r="B7481" s="2">
        <v>42969</v>
      </c>
      <c r="C7481" t="s">
        <v>1843</v>
      </c>
      <c r="D7481" t="s">
        <v>1807</v>
      </c>
    </row>
    <row r="7482" spans="1:4" x14ac:dyDescent="0.2">
      <c r="A7482" t="s">
        <v>8984</v>
      </c>
      <c r="B7482" s="2">
        <v>43132</v>
      </c>
      <c r="C7482" t="s">
        <v>1865</v>
      </c>
      <c r="D7482" t="s">
        <v>1840</v>
      </c>
    </row>
    <row r="7483" spans="1:4" x14ac:dyDescent="0.2">
      <c r="A7483" t="s">
        <v>8985</v>
      </c>
      <c r="B7483" s="2">
        <v>43131</v>
      </c>
      <c r="C7483" t="s">
        <v>1836</v>
      </c>
      <c r="D7483" t="s">
        <v>1031</v>
      </c>
    </row>
    <row r="7484" spans="1:4" x14ac:dyDescent="0.2">
      <c r="A7484" t="s">
        <v>8986</v>
      </c>
      <c r="B7484" s="2">
        <v>43159</v>
      </c>
      <c r="C7484" t="s">
        <v>1930</v>
      </c>
      <c r="D7484" t="s">
        <v>1807</v>
      </c>
    </row>
    <row r="7485" spans="1:4" x14ac:dyDescent="0.2">
      <c r="A7485" t="s">
        <v>8987</v>
      </c>
      <c r="B7485" s="2">
        <v>43161</v>
      </c>
      <c r="C7485" t="s">
        <v>1816</v>
      </c>
      <c r="D7485" t="s">
        <v>1840</v>
      </c>
    </row>
    <row r="7486" spans="1:4" x14ac:dyDescent="0.2">
      <c r="A7486" t="s">
        <v>1685</v>
      </c>
      <c r="B7486" s="2">
        <v>42979</v>
      </c>
      <c r="C7486" t="s">
        <v>3440</v>
      </c>
      <c r="D7486" t="s">
        <v>1810</v>
      </c>
    </row>
    <row r="7487" spans="1:4" x14ac:dyDescent="0.2">
      <c r="A7487" t="s">
        <v>8988</v>
      </c>
      <c r="B7487" s="2">
        <v>43026</v>
      </c>
      <c r="C7487" t="s">
        <v>1939</v>
      </c>
      <c r="D7487" t="s">
        <v>1804</v>
      </c>
    </row>
    <row r="7488" spans="1:4" x14ac:dyDescent="0.2">
      <c r="A7488" t="s">
        <v>8989</v>
      </c>
      <c r="B7488" s="2">
        <v>43177</v>
      </c>
      <c r="C7488" t="s">
        <v>1885</v>
      </c>
      <c r="D7488" t="s">
        <v>1807</v>
      </c>
    </row>
    <row r="7489" spans="1:4" x14ac:dyDescent="0.2">
      <c r="A7489" t="s">
        <v>8990</v>
      </c>
      <c r="B7489" s="2">
        <v>43235</v>
      </c>
      <c r="C7489" t="s">
        <v>1828</v>
      </c>
      <c r="D7489" t="s">
        <v>1807</v>
      </c>
    </row>
    <row r="7490" spans="1:4" x14ac:dyDescent="0.2">
      <c r="A7490" t="s">
        <v>8991</v>
      </c>
      <c r="B7490" s="2">
        <v>43220</v>
      </c>
      <c r="C7490" t="s">
        <v>1863</v>
      </c>
      <c r="D7490" t="s">
        <v>1804</v>
      </c>
    </row>
    <row r="7491" spans="1:4" x14ac:dyDescent="0.2">
      <c r="A7491" t="s">
        <v>8992</v>
      </c>
      <c r="B7491" s="2">
        <v>43146</v>
      </c>
      <c r="C7491" t="s">
        <v>4092</v>
      </c>
      <c r="D7491" t="s">
        <v>1807</v>
      </c>
    </row>
    <row r="7492" spans="1:4" x14ac:dyDescent="0.2">
      <c r="A7492" t="s">
        <v>8993</v>
      </c>
      <c r="B7492" s="2">
        <v>43060</v>
      </c>
      <c r="C7492" t="s">
        <v>1939</v>
      </c>
      <c r="D7492" t="s">
        <v>1810</v>
      </c>
    </row>
    <row r="7493" spans="1:4" x14ac:dyDescent="0.2">
      <c r="A7493" t="s">
        <v>8994</v>
      </c>
      <c r="B7493" s="2">
        <v>42984</v>
      </c>
      <c r="C7493" t="s">
        <v>1816</v>
      </c>
      <c r="D7493" t="s">
        <v>1840</v>
      </c>
    </row>
    <row r="7494" spans="1:4" x14ac:dyDescent="0.2">
      <c r="A7494" t="s">
        <v>8995</v>
      </c>
      <c r="B7494" s="2">
        <v>43202</v>
      </c>
      <c r="C7494" t="s">
        <v>1998</v>
      </c>
      <c r="D7494" t="s">
        <v>1807</v>
      </c>
    </row>
    <row r="7495" spans="1:4" x14ac:dyDescent="0.2">
      <c r="A7495" t="s">
        <v>1687</v>
      </c>
      <c r="B7495" s="2">
        <v>43143</v>
      </c>
      <c r="C7495" t="s">
        <v>1865</v>
      </c>
      <c r="D7495" t="s">
        <v>1807</v>
      </c>
    </row>
    <row r="7496" spans="1:4" x14ac:dyDescent="0.2">
      <c r="A7496" t="s">
        <v>1689</v>
      </c>
      <c r="B7496" s="2">
        <v>43214</v>
      </c>
      <c r="C7496" t="s">
        <v>1930</v>
      </c>
      <c r="D7496" t="s">
        <v>1807</v>
      </c>
    </row>
    <row r="7497" spans="1:4" x14ac:dyDescent="0.2">
      <c r="A7497" t="s">
        <v>8996</v>
      </c>
      <c r="B7497" s="2">
        <v>43098</v>
      </c>
      <c r="C7497" t="s">
        <v>1816</v>
      </c>
      <c r="D7497" t="s">
        <v>1810</v>
      </c>
    </row>
    <row r="7498" spans="1:4" x14ac:dyDescent="0.2">
      <c r="A7498" t="s">
        <v>1691</v>
      </c>
      <c r="B7498" s="2">
        <v>43138</v>
      </c>
      <c r="C7498" t="s">
        <v>1930</v>
      </c>
      <c r="D7498" t="s">
        <v>1807</v>
      </c>
    </row>
    <row r="7499" spans="1:4" x14ac:dyDescent="0.2">
      <c r="A7499" t="s">
        <v>8997</v>
      </c>
      <c r="B7499" s="2">
        <v>43235</v>
      </c>
      <c r="C7499" t="s">
        <v>3210</v>
      </c>
      <c r="D7499" t="s">
        <v>1804</v>
      </c>
    </row>
    <row r="7500" spans="1:4" x14ac:dyDescent="0.2">
      <c r="A7500" t="s">
        <v>1693</v>
      </c>
      <c r="B7500" s="2">
        <v>43206</v>
      </c>
      <c r="C7500" t="s">
        <v>1827</v>
      </c>
      <c r="D7500" t="s">
        <v>1807</v>
      </c>
    </row>
    <row r="7501" spans="1:4" x14ac:dyDescent="0.2">
      <c r="A7501" t="s">
        <v>8998</v>
      </c>
      <c r="B7501" s="2">
        <v>43138</v>
      </c>
      <c r="C7501" t="s">
        <v>1836</v>
      </c>
      <c r="D7501" t="s">
        <v>1031</v>
      </c>
    </row>
    <row r="7502" spans="1:4" x14ac:dyDescent="0.2">
      <c r="A7502" t="s">
        <v>8999</v>
      </c>
      <c r="B7502" s="2">
        <v>43120</v>
      </c>
      <c r="C7502" t="s">
        <v>1809</v>
      </c>
      <c r="D7502" t="s">
        <v>1810</v>
      </c>
    </row>
    <row r="7503" spans="1:4" x14ac:dyDescent="0.2">
      <c r="A7503" t="s">
        <v>9000</v>
      </c>
      <c r="B7503" s="2">
        <v>43230</v>
      </c>
      <c r="C7503" t="s">
        <v>1836</v>
      </c>
      <c r="D7503" t="s">
        <v>1031</v>
      </c>
    </row>
    <row r="7504" spans="1:4" x14ac:dyDescent="0.2">
      <c r="A7504" t="s">
        <v>1695</v>
      </c>
      <c r="B7504" s="2">
        <v>43130</v>
      </c>
      <c r="C7504" t="s">
        <v>1816</v>
      </c>
      <c r="D7504" t="s">
        <v>1810</v>
      </c>
    </row>
    <row r="7505" spans="1:4" x14ac:dyDescent="0.2">
      <c r="A7505" t="s">
        <v>9001</v>
      </c>
      <c r="B7505" s="2">
        <v>43164</v>
      </c>
      <c r="C7505" t="s">
        <v>1809</v>
      </c>
      <c r="D7505" t="s">
        <v>1829</v>
      </c>
    </row>
    <row r="7506" spans="1:4" x14ac:dyDescent="0.2">
      <c r="A7506" t="s">
        <v>9002</v>
      </c>
      <c r="B7506" s="2">
        <v>43193</v>
      </c>
      <c r="C7506" t="s">
        <v>1863</v>
      </c>
      <c r="D7506" t="s">
        <v>1804</v>
      </c>
    </row>
    <row r="7507" spans="1:4" x14ac:dyDescent="0.2">
      <c r="A7507" t="s">
        <v>9003</v>
      </c>
      <c r="B7507" s="2">
        <v>43117</v>
      </c>
      <c r="C7507" t="s">
        <v>1816</v>
      </c>
      <c r="D7507" t="s">
        <v>1031</v>
      </c>
    </row>
    <row r="7508" spans="1:4" x14ac:dyDescent="0.2">
      <c r="A7508" t="s">
        <v>9004</v>
      </c>
      <c r="B7508" s="2">
        <v>43198</v>
      </c>
      <c r="C7508" t="s">
        <v>2115</v>
      </c>
      <c r="D7508" t="s">
        <v>1804</v>
      </c>
    </row>
    <row r="7509" spans="1:4" x14ac:dyDescent="0.2">
      <c r="A7509" t="s">
        <v>9005</v>
      </c>
      <c r="B7509" s="2">
        <v>43210</v>
      </c>
      <c r="C7509" t="s">
        <v>2000</v>
      </c>
      <c r="D7509" t="s">
        <v>1807</v>
      </c>
    </row>
    <row r="7510" spans="1:4" x14ac:dyDescent="0.2">
      <c r="A7510" t="s">
        <v>9006</v>
      </c>
      <c r="B7510" s="2">
        <v>43051</v>
      </c>
      <c r="C7510" t="s">
        <v>8400</v>
      </c>
      <c r="D7510" t="s">
        <v>1840</v>
      </c>
    </row>
    <row r="7511" spans="1:4" x14ac:dyDescent="0.2">
      <c r="A7511" t="s">
        <v>9007</v>
      </c>
      <c r="B7511" s="2">
        <v>43150</v>
      </c>
      <c r="C7511" t="s">
        <v>1836</v>
      </c>
      <c r="D7511" t="s">
        <v>1031</v>
      </c>
    </row>
    <row r="7512" spans="1:4" x14ac:dyDescent="0.2">
      <c r="A7512" t="s">
        <v>9008</v>
      </c>
      <c r="B7512" s="2">
        <v>43196</v>
      </c>
      <c r="C7512" t="s">
        <v>1828</v>
      </c>
      <c r="D7512" t="s">
        <v>1810</v>
      </c>
    </row>
    <row r="7513" spans="1:4" x14ac:dyDescent="0.2">
      <c r="A7513" t="s">
        <v>9009</v>
      </c>
      <c r="B7513" s="2">
        <v>43173</v>
      </c>
      <c r="C7513" t="s">
        <v>1907</v>
      </c>
      <c r="D7513" t="s">
        <v>1031</v>
      </c>
    </row>
    <row r="7514" spans="1:4" x14ac:dyDescent="0.2">
      <c r="A7514" t="s">
        <v>9010</v>
      </c>
      <c r="B7514" s="2">
        <v>43125</v>
      </c>
      <c r="C7514" t="s">
        <v>1825</v>
      </c>
      <c r="D7514" t="s">
        <v>1804</v>
      </c>
    </row>
    <row r="7515" spans="1:4" x14ac:dyDescent="0.2">
      <c r="A7515" t="s">
        <v>9011</v>
      </c>
      <c r="B7515" s="2">
        <v>43047</v>
      </c>
      <c r="C7515" t="s">
        <v>1803</v>
      </c>
      <c r="D7515" t="s">
        <v>1804</v>
      </c>
    </row>
    <row r="7516" spans="1:4" x14ac:dyDescent="0.2">
      <c r="A7516" t="s">
        <v>9012</v>
      </c>
      <c r="B7516" s="2">
        <v>43227</v>
      </c>
      <c r="C7516" t="s">
        <v>1863</v>
      </c>
      <c r="D7516" t="s">
        <v>1804</v>
      </c>
    </row>
    <row r="7517" spans="1:4" x14ac:dyDescent="0.2">
      <c r="A7517" t="s">
        <v>9013</v>
      </c>
      <c r="B7517" s="2">
        <v>43066</v>
      </c>
      <c r="C7517" t="s">
        <v>1836</v>
      </c>
      <c r="D7517" t="s">
        <v>1031</v>
      </c>
    </row>
    <row r="7518" spans="1:4" x14ac:dyDescent="0.2">
      <c r="A7518" t="s">
        <v>1697</v>
      </c>
      <c r="B7518" s="2">
        <v>43141</v>
      </c>
      <c r="C7518" t="s">
        <v>1825</v>
      </c>
      <c r="D7518" t="s">
        <v>1807</v>
      </c>
    </row>
    <row r="7519" spans="1:4" x14ac:dyDescent="0.2">
      <c r="A7519" t="s">
        <v>9014</v>
      </c>
      <c r="B7519" s="2">
        <v>43006</v>
      </c>
      <c r="C7519" t="s">
        <v>1806</v>
      </c>
      <c r="D7519" t="s">
        <v>1807</v>
      </c>
    </row>
    <row r="7520" spans="1:4" x14ac:dyDescent="0.2">
      <c r="A7520" t="s">
        <v>1699</v>
      </c>
      <c r="B7520" s="2">
        <v>43118</v>
      </c>
      <c r="C7520" t="s">
        <v>5931</v>
      </c>
      <c r="D7520" t="s">
        <v>1796</v>
      </c>
    </row>
    <row r="7521" spans="1:4" x14ac:dyDescent="0.2">
      <c r="A7521" t="s">
        <v>9015</v>
      </c>
      <c r="B7521" s="2">
        <v>43195</v>
      </c>
      <c r="C7521" t="s">
        <v>1836</v>
      </c>
      <c r="D7521" t="s">
        <v>1031</v>
      </c>
    </row>
    <row r="7522" spans="1:4" x14ac:dyDescent="0.2">
      <c r="A7522" t="s">
        <v>9016</v>
      </c>
      <c r="B7522" s="2">
        <v>42961</v>
      </c>
      <c r="C7522" t="s">
        <v>1894</v>
      </c>
      <c r="D7522" t="s">
        <v>1804</v>
      </c>
    </row>
    <row r="7523" spans="1:4" x14ac:dyDescent="0.2">
      <c r="A7523" t="s">
        <v>9017</v>
      </c>
      <c r="B7523" s="2">
        <v>43209</v>
      </c>
      <c r="C7523" t="s">
        <v>1836</v>
      </c>
      <c r="D7523" t="s">
        <v>1807</v>
      </c>
    </row>
    <row r="7524" spans="1:4" x14ac:dyDescent="0.2">
      <c r="A7524" t="s">
        <v>1701</v>
      </c>
      <c r="B7524" s="2">
        <v>43124</v>
      </c>
      <c r="C7524" t="s">
        <v>1930</v>
      </c>
      <c r="D7524" t="s">
        <v>1810</v>
      </c>
    </row>
    <row r="7525" spans="1:4" x14ac:dyDescent="0.2">
      <c r="A7525" t="s">
        <v>9018</v>
      </c>
      <c r="B7525" s="2">
        <v>42993</v>
      </c>
      <c r="C7525" t="s">
        <v>2206</v>
      </c>
      <c r="D7525" t="s">
        <v>1829</v>
      </c>
    </row>
    <row r="7526" spans="1:4" x14ac:dyDescent="0.2">
      <c r="A7526" t="s">
        <v>9019</v>
      </c>
      <c r="B7526" s="2">
        <v>43234</v>
      </c>
      <c r="C7526" t="s">
        <v>1859</v>
      </c>
      <c r="D7526" t="s">
        <v>1810</v>
      </c>
    </row>
    <row r="7527" spans="1:4" x14ac:dyDescent="0.2">
      <c r="A7527" t="s">
        <v>9020</v>
      </c>
      <c r="B7527" s="2">
        <v>43229</v>
      </c>
      <c r="C7527" t="s">
        <v>2196</v>
      </c>
      <c r="D7527" t="s">
        <v>1810</v>
      </c>
    </row>
    <row r="7528" spans="1:4" x14ac:dyDescent="0.2">
      <c r="A7528" t="s">
        <v>9021</v>
      </c>
      <c r="B7528" s="2">
        <v>43218</v>
      </c>
      <c r="C7528" t="s">
        <v>1863</v>
      </c>
      <c r="D7528" t="s">
        <v>1804</v>
      </c>
    </row>
    <row r="7529" spans="1:4" x14ac:dyDescent="0.2">
      <c r="A7529" t="s">
        <v>1703</v>
      </c>
      <c r="B7529" s="2">
        <v>43104</v>
      </c>
      <c r="C7529" t="s">
        <v>1836</v>
      </c>
      <c r="D7529" t="s">
        <v>1031</v>
      </c>
    </row>
    <row r="7530" spans="1:4" x14ac:dyDescent="0.2">
      <c r="A7530" t="s">
        <v>9022</v>
      </c>
      <c r="B7530" s="2">
        <v>43230</v>
      </c>
      <c r="C7530" t="s">
        <v>1816</v>
      </c>
      <c r="D7530" t="s">
        <v>1810</v>
      </c>
    </row>
    <row r="7531" spans="1:4" x14ac:dyDescent="0.2">
      <c r="A7531" t="s">
        <v>9023</v>
      </c>
      <c r="B7531" s="2">
        <v>43033</v>
      </c>
      <c r="C7531" t="s">
        <v>1885</v>
      </c>
      <c r="D7531" t="s">
        <v>1807</v>
      </c>
    </row>
    <row r="7532" spans="1:4" x14ac:dyDescent="0.2">
      <c r="A7532" t="s">
        <v>9024</v>
      </c>
      <c r="B7532" s="2">
        <v>43061</v>
      </c>
      <c r="C7532" t="s">
        <v>1803</v>
      </c>
      <c r="D7532" t="s">
        <v>1804</v>
      </c>
    </row>
    <row r="7533" spans="1:4" x14ac:dyDescent="0.2">
      <c r="A7533" t="s">
        <v>1705</v>
      </c>
      <c r="B7533" s="2">
        <v>43132</v>
      </c>
      <c r="C7533" t="s">
        <v>1836</v>
      </c>
      <c r="D7533" t="s">
        <v>1031</v>
      </c>
    </row>
    <row r="7534" spans="1:4" x14ac:dyDescent="0.2">
      <c r="A7534" t="s">
        <v>9025</v>
      </c>
      <c r="B7534" s="2">
        <v>43105</v>
      </c>
      <c r="C7534" t="s">
        <v>1905</v>
      </c>
      <c r="D7534" t="s">
        <v>1810</v>
      </c>
    </row>
    <row r="7535" spans="1:4" x14ac:dyDescent="0.2">
      <c r="A7535" t="s">
        <v>9026</v>
      </c>
      <c r="B7535" s="2">
        <v>43026</v>
      </c>
      <c r="C7535" t="s">
        <v>1900</v>
      </c>
      <c r="D7535" t="s">
        <v>1810</v>
      </c>
    </row>
    <row r="7536" spans="1:4" x14ac:dyDescent="0.2">
      <c r="A7536" t="s">
        <v>9027</v>
      </c>
      <c r="B7536" s="2">
        <v>43192</v>
      </c>
      <c r="C7536" t="s">
        <v>5367</v>
      </c>
      <c r="D7536" t="s">
        <v>1810</v>
      </c>
    </row>
    <row r="7537" spans="1:4" x14ac:dyDescent="0.2">
      <c r="A7537" t="s">
        <v>9028</v>
      </c>
      <c r="B7537" s="2">
        <v>43024</v>
      </c>
      <c r="C7537" t="s">
        <v>1889</v>
      </c>
      <c r="D7537" t="s">
        <v>1810</v>
      </c>
    </row>
    <row r="7538" spans="1:4" x14ac:dyDescent="0.2">
      <c r="A7538" t="s">
        <v>9029</v>
      </c>
      <c r="B7538" s="2">
        <v>43238</v>
      </c>
      <c r="C7538" t="s">
        <v>1816</v>
      </c>
      <c r="D7538" t="s">
        <v>1810</v>
      </c>
    </row>
    <row r="7539" spans="1:4" x14ac:dyDescent="0.2">
      <c r="A7539" t="s">
        <v>9030</v>
      </c>
      <c r="B7539" s="2">
        <v>42927</v>
      </c>
      <c r="C7539" t="s">
        <v>1987</v>
      </c>
      <c r="D7539" t="s">
        <v>1807</v>
      </c>
    </row>
    <row r="7540" spans="1:4" x14ac:dyDescent="0.2">
      <c r="A7540" t="s">
        <v>9031</v>
      </c>
      <c r="B7540" s="2">
        <v>43158</v>
      </c>
      <c r="C7540" t="s">
        <v>1987</v>
      </c>
      <c r="D7540" t="s">
        <v>1810</v>
      </c>
    </row>
    <row r="7541" spans="1:4" x14ac:dyDescent="0.2">
      <c r="A7541" t="s">
        <v>9032</v>
      </c>
      <c r="B7541" s="2">
        <v>42926</v>
      </c>
      <c r="C7541" t="s">
        <v>2475</v>
      </c>
      <c r="D7541" t="s">
        <v>1031</v>
      </c>
    </row>
    <row r="7542" spans="1:4" x14ac:dyDescent="0.2">
      <c r="A7542" t="s">
        <v>9033</v>
      </c>
      <c r="B7542" s="2">
        <v>43142</v>
      </c>
      <c r="C7542" t="s">
        <v>1803</v>
      </c>
      <c r="D7542" t="s">
        <v>1804</v>
      </c>
    </row>
    <row r="7543" spans="1:4" x14ac:dyDescent="0.2">
      <c r="A7543" t="s">
        <v>9034</v>
      </c>
      <c r="B7543" s="2">
        <v>43032</v>
      </c>
      <c r="C7543" t="s">
        <v>2242</v>
      </c>
      <c r="D7543" t="s">
        <v>1840</v>
      </c>
    </row>
    <row r="7544" spans="1:4" x14ac:dyDescent="0.2">
      <c r="A7544" t="s">
        <v>9035</v>
      </c>
      <c r="B7544" s="2">
        <v>43197</v>
      </c>
      <c r="C7544" t="s">
        <v>1863</v>
      </c>
      <c r="D7544" t="s">
        <v>1804</v>
      </c>
    </row>
    <row r="7545" spans="1:4" x14ac:dyDescent="0.2">
      <c r="A7545" t="s">
        <v>9036</v>
      </c>
      <c r="B7545" s="2">
        <v>43027</v>
      </c>
      <c r="C7545" t="s">
        <v>1887</v>
      </c>
      <c r="D7545" t="s">
        <v>1807</v>
      </c>
    </row>
    <row r="7546" spans="1:4" x14ac:dyDescent="0.2">
      <c r="A7546" t="s">
        <v>9037</v>
      </c>
      <c r="B7546" s="2">
        <v>43201</v>
      </c>
      <c r="C7546" t="s">
        <v>1863</v>
      </c>
      <c r="D7546" t="s">
        <v>1804</v>
      </c>
    </row>
    <row r="7547" spans="1:4" x14ac:dyDescent="0.2">
      <c r="A7547" t="s">
        <v>9038</v>
      </c>
      <c r="B7547" s="2">
        <v>42975</v>
      </c>
      <c r="C7547" t="s">
        <v>1836</v>
      </c>
      <c r="D7547" t="s">
        <v>1031</v>
      </c>
    </row>
    <row r="7548" spans="1:4" x14ac:dyDescent="0.2">
      <c r="A7548" t="s">
        <v>9039</v>
      </c>
      <c r="B7548" s="2">
        <v>43174</v>
      </c>
      <c r="C7548" t="s">
        <v>2535</v>
      </c>
      <c r="D7548" t="s">
        <v>1807</v>
      </c>
    </row>
    <row r="7549" spans="1:4" x14ac:dyDescent="0.2">
      <c r="A7549" t="s">
        <v>9040</v>
      </c>
      <c r="B7549" s="2">
        <v>43208</v>
      </c>
      <c r="C7549" t="s">
        <v>1867</v>
      </c>
      <c r="D7549" t="s">
        <v>1813</v>
      </c>
    </row>
    <row r="7550" spans="1:4" x14ac:dyDescent="0.2">
      <c r="A7550" t="s">
        <v>9041</v>
      </c>
      <c r="B7550" s="2">
        <v>43029</v>
      </c>
      <c r="C7550" t="s">
        <v>1905</v>
      </c>
      <c r="D7550" t="s">
        <v>1810</v>
      </c>
    </row>
    <row r="7551" spans="1:4" x14ac:dyDescent="0.2">
      <c r="A7551" t="s">
        <v>9042</v>
      </c>
      <c r="B7551" s="2">
        <v>43019</v>
      </c>
      <c r="C7551" t="s">
        <v>1816</v>
      </c>
      <c r="D7551" t="s">
        <v>1810</v>
      </c>
    </row>
    <row r="7552" spans="1:4" x14ac:dyDescent="0.2">
      <c r="A7552" t="s">
        <v>9043</v>
      </c>
      <c r="B7552" s="2">
        <v>43188</v>
      </c>
      <c r="C7552" t="s">
        <v>9044</v>
      </c>
      <c r="D7552" t="s">
        <v>1840</v>
      </c>
    </row>
    <row r="7553" spans="1:4" x14ac:dyDescent="0.2">
      <c r="A7553" t="s">
        <v>9045</v>
      </c>
      <c r="B7553" s="2">
        <v>43186</v>
      </c>
      <c r="C7553" t="s">
        <v>1836</v>
      </c>
      <c r="D7553" t="s">
        <v>1804</v>
      </c>
    </row>
    <row r="7554" spans="1:4" x14ac:dyDescent="0.2">
      <c r="A7554" t="s">
        <v>9046</v>
      </c>
      <c r="B7554" s="2">
        <v>43227</v>
      </c>
      <c r="C7554" t="s">
        <v>1863</v>
      </c>
      <c r="D7554" t="s">
        <v>1804</v>
      </c>
    </row>
    <row r="7555" spans="1:4" x14ac:dyDescent="0.2">
      <c r="A7555" t="s">
        <v>9047</v>
      </c>
      <c r="B7555" s="2">
        <v>43060</v>
      </c>
      <c r="C7555" t="s">
        <v>1836</v>
      </c>
      <c r="D7555" t="s">
        <v>1810</v>
      </c>
    </row>
    <row r="7556" spans="1:4" x14ac:dyDescent="0.2">
      <c r="A7556" t="s">
        <v>9048</v>
      </c>
      <c r="B7556" s="2">
        <v>43193</v>
      </c>
      <c r="C7556" t="s">
        <v>2035</v>
      </c>
      <c r="D7556" t="s">
        <v>1804</v>
      </c>
    </row>
    <row r="7557" spans="1:4" x14ac:dyDescent="0.2">
      <c r="A7557" t="s">
        <v>9049</v>
      </c>
      <c r="B7557" s="2">
        <v>43245</v>
      </c>
      <c r="C7557" t="s">
        <v>1836</v>
      </c>
      <c r="D7557" t="s">
        <v>1031</v>
      </c>
    </row>
    <row r="7558" spans="1:4" x14ac:dyDescent="0.2">
      <c r="A7558" t="s">
        <v>9050</v>
      </c>
      <c r="B7558" s="2">
        <v>43101</v>
      </c>
      <c r="C7558" t="s">
        <v>1803</v>
      </c>
      <c r="D7558" t="s">
        <v>1804</v>
      </c>
    </row>
    <row r="7559" spans="1:4" x14ac:dyDescent="0.2">
      <c r="A7559" t="s">
        <v>9051</v>
      </c>
      <c r="B7559" s="2">
        <v>43194</v>
      </c>
      <c r="C7559" t="s">
        <v>1836</v>
      </c>
      <c r="D7559" t="s">
        <v>1810</v>
      </c>
    </row>
    <row r="7560" spans="1:4" x14ac:dyDescent="0.2">
      <c r="A7560" t="s">
        <v>9052</v>
      </c>
      <c r="B7560" s="2">
        <v>43156</v>
      </c>
      <c r="C7560" t="s">
        <v>1921</v>
      </c>
      <c r="D7560" t="s">
        <v>1840</v>
      </c>
    </row>
    <row r="7561" spans="1:4" x14ac:dyDescent="0.2">
      <c r="A7561" t="s">
        <v>9053</v>
      </c>
      <c r="B7561" s="2">
        <v>43237</v>
      </c>
      <c r="C7561" t="s">
        <v>1863</v>
      </c>
      <c r="D7561" t="s">
        <v>1804</v>
      </c>
    </row>
    <row r="7562" spans="1:4" x14ac:dyDescent="0.2">
      <c r="A7562" t="s">
        <v>9054</v>
      </c>
      <c r="B7562" s="2">
        <v>43048</v>
      </c>
      <c r="C7562" t="s">
        <v>1816</v>
      </c>
      <c r="D7562" t="s">
        <v>1810</v>
      </c>
    </row>
    <row r="7563" spans="1:4" x14ac:dyDescent="0.2">
      <c r="A7563" t="s">
        <v>1707</v>
      </c>
      <c r="B7563" s="2">
        <v>43207</v>
      </c>
      <c r="C7563" t="s">
        <v>9055</v>
      </c>
      <c r="D7563" t="s">
        <v>1810</v>
      </c>
    </row>
    <row r="7564" spans="1:4" x14ac:dyDescent="0.2">
      <c r="A7564" t="s">
        <v>9056</v>
      </c>
      <c r="B7564" s="2">
        <v>43141</v>
      </c>
      <c r="C7564" t="s">
        <v>1838</v>
      </c>
      <c r="D7564" t="s">
        <v>1810</v>
      </c>
    </row>
    <row r="7565" spans="1:4" x14ac:dyDescent="0.2">
      <c r="A7565" t="s">
        <v>1709</v>
      </c>
      <c r="B7565" s="2">
        <v>43242</v>
      </c>
      <c r="C7565" t="s">
        <v>1836</v>
      </c>
      <c r="D7565" t="s">
        <v>1031</v>
      </c>
    </row>
    <row r="7566" spans="1:4" x14ac:dyDescent="0.2">
      <c r="A7566" t="s">
        <v>9057</v>
      </c>
      <c r="B7566" s="2">
        <v>43205</v>
      </c>
      <c r="C7566" t="s">
        <v>2831</v>
      </c>
      <c r="D7566" t="s">
        <v>1807</v>
      </c>
    </row>
    <row r="7567" spans="1:4" x14ac:dyDescent="0.2">
      <c r="A7567" t="s">
        <v>9058</v>
      </c>
      <c r="B7567" s="2">
        <v>43214</v>
      </c>
      <c r="C7567" t="s">
        <v>1806</v>
      </c>
      <c r="D7567" t="s">
        <v>1807</v>
      </c>
    </row>
    <row r="7568" spans="1:4" x14ac:dyDescent="0.2">
      <c r="A7568" t="s">
        <v>9059</v>
      </c>
      <c r="B7568" s="2">
        <v>43173</v>
      </c>
      <c r="C7568" t="s">
        <v>1907</v>
      </c>
      <c r="D7568" t="s">
        <v>1810</v>
      </c>
    </row>
    <row r="7569" spans="1:4" x14ac:dyDescent="0.2">
      <c r="A7569" t="s">
        <v>9060</v>
      </c>
      <c r="B7569" s="2">
        <v>43201</v>
      </c>
      <c r="C7569" t="s">
        <v>2115</v>
      </c>
      <c r="D7569" t="s">
        <v>1810</v>
      </c>
    </row>
    <row r="7570" spans="1:4" x14ac:dyDescent="0.2">
      <c r="A7570" t="s">
        <v>9061</v>
      </c>
      <c r="B7570" s="2">
        <v>43251</v>
      </c>
      <c r="C7570" t="s">
        <v>9062</v>
      </c>
      <c r="D7570" t="s">
        <v>1031</v>
      </c>
    </row>
    <row r="7571" spans="1:4" x14ac:dyDescent="0.2">
      <c r="A7571" t="s">
        <v>1711</v>
      </c>
      <c r="B7571" s="2">
        <v>43149</v>
      </c>
      <c r="C7571" t="s">
        <v>1803</v>
      </c>
      <c r="D7571" t="s">
        <v>1804</v>
      </c>
    </row>
    <row r="7572" spans="1:4" x14ac:dyDescent="0.2">
      <c r="A7572" t="s">
        <v>9063</v>
      </c>
      <c r="B7572" s="2">
        <v>43251</v>
      </c>
      <c r="C7572" t="s">
        <v>1863</v>
      </c>
      <c r="D7572" t="s">
        <v>1804</v>
      </c>
    </row>
    <row r="7573" spans="1:4" x14ac:dyDescent="0.2">
      <c r="A7573" t="s">
        <v>9064</v>
      </c>
      <c r="B7573" s="2">
        <v>43217</v>
      </c>
      <c r="C7573" t="s">
        <v>1909</v>
      </c>
      <c r="D7573" t="s">
        <v>1829</v>
      </c>
    </row>
    <row r="7574" spans="1:4" x14ac:dyDescent="0.2">
      <c r="A7574" t="s">
        <v>9065</v>
      </c>
      <c r="B7574" s="2">
        <v>43053</v>
      </c>
      <c r="C7574" t="s">
        <v>1939</v>
      </c>
      <c r="D7574" t="s">
        <v>1813</v>
      </c>
    </row>
    <row r="7575" spans="1:4" x14ac:dyDescent="0.2">
      <c r="A7575" t="s">
        <v>9066</v>
      </c>
      <c r="B7575" s="2">
        <v>43173</v>
      </c>
      <c r="C7575" t="s">
        <v>9067</v>
      </c>
      <c r="D7575" t="s">
        <v>1796</v>
      </c>
    </row>
    <row r="7576" spans="1:4" x14ac:dyDescent="0.2">
      <c r="A7576" t="s">
        <v>9068</v>
      </c>
      <c r="B7576" s="2">
        <v>43173</v>
      </c>
      <c r="C7576" t="s">
        <v>9069</v>
      </c>
      <c r="D7576" t="s">
        <v>1031</v>
      </c>
    </row>
    <row r="7577" spans="1:4" x14ac:dyDescent="0.2">
      <c r="A7577" t="s">
        <v>9070</v>
      </c>
      <c r="B7577" s="2">
        <v>42991</v>
      </c>
      <c r="C7577" t="s">
        <v>1825</v>
      </c>
      <c r="D7577" t="s">
        <v>1810</v>
      </c>
    </row>
    <row r="7578" spans="1:4" x14ac:dyDescent="0.2">
      <c r="A7578" t="s">
        <v>9071</v>
      </c>
      <c r="B7578" s="2">
        <v>43221</v>
      </c>
      <c r="C7578" t="s">
        <v>1863</v>
      </c>
      <c r="D7578" t="s">
        <v>1804</v>
      </c>
    </row>
    <row r="7579" spans="1:4" x14ac:dyDescent="0.2">
      <c r="A7579" t="s">
        <v>9072</v>
      </c>
      <c r="B7579" s="2">
        <v>42969</v>
      </c>
      <c r="C7579" t="s">
        <v>1939</v>
      </c>
      <c r="D7579" t="s">
        <v>1804</v>
      </c>
    </row>
    <row r="7580" spans="1:4" x14ac:dyDescent="0.2">
      <c r="A7580" t="s">
        <v>9073</v>
      </c>
      <c r="B7580" s="2">
        <v>43128</v>
      </c>
      <c r="C7580" t="s">
        <v>1867</v>
      </c>
      <c r="D7580" t="s">
        <v>1810</v>
      </c>
    </row>
    <row r="7581" spans="1:4" x14ac:dyDescent="0.2">
      <c r="A7581" t="s">
        <v>9074</v>
      </c>
      <c r="B7581" s="2">
        <v>43238</v>
      </c>
      <c r="C7581" t="s">
        <v>2829</v>
      </c>
      <c r="D7581" t="s">
        <v>1840</v>
      </c>
    </row>
    <row r="7582" spans="1:4" x14ac:dyDescent="0.2">
      <c r="A7582" t="s">
        <v>9075</v>
      </c>
      <c r="B7582" s="2">
        <v>43198</v>
      </c>
      <c r="C7582" t="s">
        <v>1863</v>
      </c>
      <c r="D7582" t="s">
        <v>1804</v>
      </c>
    </row>
    <row r="7583" spans="1:4" x14ac:dyDescent="0.2">
      <c r="A7583" t="s">
        <v>9076</v>
      </c>
      <c r="B7583" s="2">
        <v>43206</v>
      </c>
      <c r="C7583" t="s">
        <v>2831</v>
      </c>
      <c r="D7583" t="s">
        <v>1807</v>
      </c>
    </row>
    <row r="7584" spans="1:4" x14ac:dyDescent="0.2">
      <c r="A7584" t="s">
        <v>9077</v>
      </c>
      <c r="B7584" s="2">
        <v>42968</v>
      </c>
      <c r="C7584" t="s">
        <v>1816</v>
      </c>
      <c r="D7584" t="s">
        <v>1810</v>
      </c>
    </row>
    <row r="7585" spans="1:4" x14ac:dyDescent="0.2">
      <c r="A7585" t="s">
        <v>9078</v>
      </c>
      <c r="B7585" s="2">
        <v>43202</v>
      </c>
      <c r="C7585" t="s">
        <v>1816</v>
      </c>
      <c r="D7585" t="s">
        <v>1807</v>
      </c>
    </row>
    <row r="7586" spans="1:4" x14ac:dyDescent="0.2">
      <c r="A7586" t="s">
        <v>9079</v>
      </c>
      <c r="B7586" s="2">
        <v>43118</v>
      </c>
      <c r="C7586" t="s">
        <v>1831</v>
      </c>
      <c r="D7586" t="s">
        <v>1804</v>
      </c>
    </row>
    <row r="7587" spans="1:4" x14ac:dyDescent="0.2">
      <c r="A7587" t="s">
        <v>9080</v>
      </c>
      <c r="B7587" s="2">
        <v>43035</v>
      </c>
      <c r="C7587" t="s">
        <v>1907</v>
      </c>
      <c r="D7587" t="s">
        <v>1807</v>
      </c>
    </row>
    <row r="7588" spans="1:4" x14ac:dyDescent="0.2">
      <c r="A7588" t="s">
        <v>1713</v>
      </c>
      <c r="B7588" s="2">
        <v>43171</v>
      </c>
      <c r="C7588" t="s">
        <v>1816</v>
      </c>
      <c r="D7588" t="s">
        <v>1810</v>
      </c>
    </row>
    <row r="7589" spans="1:4" x14ac:dyDescent="0.2">
      <c r="A7589" t="s">
        <v>9081</v>
      </c>
      <c r="B7589" s="2">
        <v>43113</v>
      </c>
      <c r="C7589" t="s">
        <v>2242</v>
      </c>
      <c r="D7589" t="s">
        <v>1810</v>
      </c>
    </row>
    <row r="7590" spans="1:4" x14ac:dyDescent="0.2">
      <c r="A7590" t="s">
        <v>9082</v>
      </c>
      <c r="B7590" s="2">
        <v>43213</v>
      </c>
      <c r="C7590" t="s">
        <v>1816</v>
      </c>
      <c r="D7590" t="s">
        <v>1810</v>
      </c>
    </row>
    <row r="7591" spans="1:4" x14ac:dyDescent="0.2">
      <c r="A7591" t="s">
        <v>9083</v>
      </c>
      <c r="B7591" s="2">
        <v>43157</v>
      </c>
      <c r="C7591" t="s">
        <v>2108</v>
      </c>
      <c r="D7591" t="s">
        <v>1813</v>
      </c>
    </row>
    <row r="7592" spans="1:4" x14ac:dyDescent="0.2">
      <c r="A7592" t="s">
        <v>9084</v>
      </c>
      <c r="B7592" s="2">
        <v>43200</v>
      </c>
      <c r="C7592" t="s">
        <v>1863</v>
      </c>
      <c r="D7592" t="s">
        <v>1804</v>
      </c>
    </row>
    <row r="7593" spans="1:4" x14ac:dyDescent="0.2">
      <c r="A7593" t="s">
        <v>9085</v>
      </c>
      <c r="B7593" s="2">
        <v>43128</v>
      </c>
      <c r="C7593" t="s">
        <v>1816</v>
      </c>
      <c r="D7593" t="s">
        <v>1810</v>
      </c>
    </row>
    <row r="7594" spans="1:4" x14ac:dyDescent="0.2">
      <c r="A7594" t="s">
        <v>9086</v>
      </c>
      <c r="B7594" s="2">
        <v>42928</v>
      </c>
      <c r="C7594" t="s">
        <v>1900</v>
      </c>
      <c r="D7594" t="s">
        <v>1810</v>
      </c>
    </row>
    <row r="7595" spans="1:4" x14ac:dyDescent="0.2">
      <c r="A7595" t="s">
        <v>9087</v>
      </c>
      <c r="B7595" s="2">
        <v>43084</v>
      </c>
      <c r="C7595" t="s">
        <v>1939</v>
      </c>
      <c r="D7595" t="s">
        <v>1031</v>
      </c>
    </row>
    <row r="7596" spans="1:4" x14ac:dyDescent="0.2">
      <c r="A7596" t="s">
        <v>9088</v>
      </c>
      <c r="B7596" s="2">
        <v>43188</v>
      </c>
      <c r="C7596" t="s">
        <v>1905</v>
      </c>
      <c r="D7596" t="s">
        <v>1807</v>
      </c>
    </row>
    <row r="7597" spans="1:4" x14ac:dyDescent="0.2">
      <c r="A7597" t="s">
        <v>9089</v>
      </c>
      <c r="B7597" s="2">
        <v>43227</v>
      </c>
      <c r="C7597" t="s">
        <v>1905</v>
      </c>
      <c r="D7597" t="s">
        <v>1810</v>
      </c>
    </row>
    <row r="7598" spans="1:4" x14ac:dyDescent="0.2">
      <c r="A7598" t="s">
        <v>9090</v>
      </c>
      <c r="B7598" s="2">
        <v>43193</v>
      </c>
      <c r="C7598" t="s">
        <v>1863</v>
      </c>
      <c r="D7598" t="s">
        <v>1804</v>
      </c>
    </row>
    <row r="7599" spans="1:4" x14ac:dyDescent="0.2">
      <c r="A7599" t="s">
        <v>9091</v>
      </c>
      <c r="B7599" s="2">
        <v>43248</v>
      </c>
      <c r="C7599" t="s">
        <v>1816</v>
      </c>
      <c r="D7599" t="s">
        <v>1840</v>
      </c>
    </row>
    <row r="7600" spans="1:4" x14ac:dyDescent="0.2">
      <c r="A7600" t="s">
        <v>9092</v>
      </c>
      <c r="B7600" s="2">
        <v>43248</v>
      </c>
      <c r="C7600" t="s">
        <v>1863</v>
      </c>
      <c r="D7600" t="s">
        <v>1804</v>
      </c>
    </row>
    <row r="7601" spans="1:4" x14ac:dyDescent="0.2">
      <c r="A7601" t="s">
        <v>9093</v>
      </c>
      <c r="B7601" s="2">
        <v>43022</v>
      </c>
      <c r="C7601" t="s">
        <v>1803</v>
      </c>
      <c r="D7601" t="s">
        <v>1804</v>
      </c>
    </row>
    <row r="7602" spans="1:4" x14ac:dyDescent="0.2">
      <c r="A7602" t="s">
        <v>9094</v>
      </c>
      <c r="B7602" s="2">
        <v>43016</v>
      </c>
      <c r="C7602" t="s">
        <v>1803</v>
      </c>
      <c r="D7602" t="s">
        <v>1804</v>
      </c>
    </row>
    <row r="7603" spans="1:4" x14ac:dyDescent="0.2">
      <c r="A7603" t="s">
        <v>9095</v>
      </c>
      <c r="B7603" s="2">
        <v>43132</v>
      </c>
      <c r="C7603" t="s">
        <v>1809</v>
      </c>
      <c r="D7603" t="s">
        <v>1807</v>
      </c>
    </row>
    <row r="7604" spans="1:4" x14ac:dyDescent="0.2">
      <c r="A7604" t="s">
        <v>9096</v>
      </c>
      <c r="B7604" s="2">
        <v>43166</v>
      </c>
      <c r="C7604" t="s">
        <v>1993</v>
      </c>
      <c r="D7604" t="s">
        <v>1810</v>
      </c>
    </row>
    <row r="7605" spans="1:4" x14ac:dyDescent="0.2">
      <c r="A7605" t="s">
        <v>9097</v>
      </c>
      <c r="B7605" s="2">
        <v>43193</v>
      </c>
      <c r="C7605" t="s">
        <v>2933</v>
      </c>
      <c r="D7605" t="s">
        <v>1813</v>
      </c>
    </row>
    <row r="7606" spans="1:4" x14ac:dyDescent="0.2">
      <c r="A7606" t="s">
        <v>9098</v>
      </c>
      <c r="B7606" s="2">
        <v>43167</v>
      </c>
      <c r="C7606" t="s">
        <v>9099</v>
      </c>
      <c r="D7606" t="s">
        <v>1807</v>
      </c>
    </row>
    <row r="7607" spans="1:4" x14ac:dyDescent="0.2">
      <c r="A7607" t="s">
        <v>9100</v>
      </c>
      <c r="B7607" s="2">
        <v>43228</v>
      </c>
      <c r="C7607" t="s">
        <v>1863</v>
      </c>
      <c r="D7607" t="s">
        <v>1804</v>
      </c>
    </row>
    <row r="7608" spans="1:4" x14ac:dyDescent="0.2">
      <c r="A7608" t="s">
        <v>9101</v>
      </c>
      <c r="B7608" s="2">
        <v>43092</v>
      </c>
      <c r="C7608" t="s">
        <v>1987</v>
      </c>
      <c r="D7608" t="s">
        <v>1807</v>
      </c>
    </row>
    <row r="7609" spans="1:4" x14ac:dyDescent="0.2">
      <c r="A7609" t="s">
        <v>9102</v>
      </c>
      <c r="B7609" s="2">
        <v>43206</v>
      </c>
      <c r="C7609" t="s">
        <v>1816</v>
      </c>
      <c r="D7609" t="s">
        <v>1810</v>
      </c>
    </row>
    <row r="7610" spans="1:4" x14ac:dyDescent="0.2">
      <c r="A7610" t="s">
        <v>9103</v>
      </c>
      <c r="B7610" s="2">
        <v>42950</v>
      </c>
      <c r="C7610" t="s">
        <v>2559</v>
      </c>
      <c r="D7610" t="s">
        <v>1810</v>
      </c>
    </row>
    <row r="7611" spans="1:4" x14ac:dyDescent="0.2">
      <c r="A7611" t="s">
        <v>9104</v>
      </c>
      <c r="B7611" s="2">
        <v>43129</v>
      </c>
      <c r="C7611" t="s">
        <v>1836</v>
      </c>
      <c r="D7611" t="s">
        <v>1031</v>
      </c>
    </row>
    <row r="7612" spans="1:4" x14ac:dyDescent="0.2">
      <c r="A7612" t="s">
        <v>9105</v>
      </c>
      <c r="B7612" s="2">
        <v>43126</v>
      </c>
      <c r="C7612" t="s">
        <v>1812</v>
      </c>
      <c r="D7612" t="s">
        <v>1810</v>
      </c>
    </row>
    <row r="7613" spans="1:4" x14ac:dyDescent="0.2">
      <c r="A7613" t="s">
        <v>9106</v>
      </c>
      <c r="B7613" s="2">
        <v>43221</v>
      </c>
      <c r="C7613" t="s">
        <v>1816</v>
      </c>
      <c r="D7613" t="s">
        <v>1840</v>
      </c>
    </row>
    <row r="7614" spans="1:4" x14ac:dyDescent="0.2">
      <c r="A7614" t="s">
        <v>9107</v>
      </c>
      <c r="B7614" s="2">
        <v>43123</v>
      </c>
      <c r="C7614" t="s">
        <v>1812</v>
      </c>
      <c r="D7614" t="s">
        <v>1031</v>
      </c>
    </row>
    <row r="7615" spans="1:4" x14ac:dyDescent="0.2">
      <c r="A7615" t="s">
        <v>9108</v>
      </c>
      <c r="B7615" s="2">
        <v>43098</v>
      </c>
      <c r="C7615" t="s">
        <v>1816</v>
      </c>
      <c r="D7615" t="s">
        <v>1829</v>
      </c>
    </row>
    <row r="7616" spans="1:4" x14ac:dyDescent="0.2">
      <c r="A7616" t="s">
        <v>9109</v>
      </c>
      <c r="B7616" s="2">
        <v>43229</v>
      </c>
      <c r="C7616" t="s">
        <v>1863</v>
      </c>
      <c r="D7616" t="s">
        <v>1804</v>
      </c>
    </row>
    <row r="7617" spans="1:4" x14ac:dyDescent="0.2">
      <c r="A7617" t="s">
        <v>9110</v>
      </c>
      <c r="B7617" s="2">
        <v>43164</v>
      </c>
      <c r="C7617" t="s">
        <v>1867</v>
      </c>
      <c r="D7617" t="s">
        <v>1810</v>
      </c>
    </row>
    <row r="7618" spans="1:4" x14ac:dyDescent="0.2">
      <c r="A7618" t="s">
        <v>9111</v>
      </c>
      <c r="B7618" s="2">
        <v>43165</v>
      </c>
      <c r="C7618" t="s">
        <v>1885</v>
      </c>
      <c r="D7618" t="s">
        <v>1840</v>
      </c>
    </row>
    <row r="7619" spans="1:4" x14ac:dyDescent="0.2">
      <c r="A7619" t="s">
        <v>9112</v>
      </c>
      <c r="B7619" s="2">
        <v>43031</v>
      </c>
      <c r="C7619" t="s">
        <v>2131</v>
      </c>
      <c r="D7619" t="s">
        <v>1807</v>
      </c>
    </row>
    <row r="7620" spans="1:4" x14ac:dyDescent="0.2">
      <c r="A7620" t="s">
        <v>9113</v>
      </c>
      <c r="B7620" s="2">
        <v>43178</v>
      </c>
      <c r="C7620" t="s">
        <v>1867</v>
      </c>
      <c r="D7620" t="s">
        <v>1810</v>
      </c>
    </row>
    <row r="7621" spans="1:4" x14ac:dyDescent="0.2">
      <c r="A7621" t="s">
        <v>9114</v>
      </c>
      <c r="B7621" s="2">
        <v>43092</v>
      </c>
      <c r="C7621" t="s">
        <v>1905</v>
      </c>
      <c r="D7621" t="s">
        <v>1810</v>
      </c>
    </row>
    <row r="7622" spans="1:4" x14ac:dyDescent="0.2">
      <c r="A7622" t="s">
        <v>9115</v>
      </c>
      <c r="B7622" s="2">
        <v>43099</v>
      </c>
      <c r="C7622" t="s">
        <v>2303</v>
      </c>
      <c r="D7622" t="s">
        <v>1829</v>
      </c>
    </row>
    <row r="7623" spans="1:4" x14ac:dyDescent="0.2">
      <c r="A7623" t="s">
        <v>9116</v>
      </c>
      <c r="B7623" s="2">
        <v>43184</v>
      </c>
      <c r="C7623" t="s">
        <v>1863</v>
      </c>
      <c r="D7623" t="s">
        <v>1804</v>
      </c>
    </row>
    <row r="7624" spans="1:4" x14ac:dyDescent="0.2">
      <c r="A7624" t="s">
        <v>9117</v>
      </c>
      <c r="B7624" s="2">
        <v>42962</v>
      </c>
      <c r="C7624" t="s">
        <v>3194</v>
      </c>
      <c r="D7624" t="s">
        <v>1807</v>
      </c>
    </row>
    <row r="7625" spans="1:4" x14ac:dyDescent="0.2">
      <c r="A7625" t="s">
        <v>9118</v>
      </c>
      <c r="B7625" s="2">
        <v>43130</v>
      </c>
      <c r="C7625" t="s">
        <v>2182</v>
      </c>
      <c r="D7625" t="s">
        <v>1810</v>
      </c>
    </row>
    <row r="7626" spans="1:4" x14ac:dyDescent="0.2">
      <c r="A7626" t="s">
        <v>9119</v>
      </c>
      <c r="B7626" s="2">
        <v>43158</v>
      </c>
      <c r="C7626" t="s">
        <v>1825</v>
      </c>
      <c r="D7626" t="s">
        <v>1810</v>
      </c>
    </row>
    <row r="7627" spans="1:4" x14ac:dyDescent="0.2">
      <c r="A7627" t="s">
        <v>9120</v>
      </c>
      <c r="B7627" s="2">
        <v>43158</v>
      </c>
      <c r="C7627" t="s">
        <v>1836</v>
      </c>
      <c r="D7627" t="s">
        <v>1031</v>
      </c>
    </row>
    <row r="7628" spans="1:4" x14ac:dyDescent="0.2">
      <c r="A7628" t="s">
        <v>9121</v>
      </c>
      <c r="B7628" s="2">
        <v>43234</v>
      </c>
      <c r="C7628" t="s">
        <v>2196</v>
      </c>
      <c r="D7628" t="s">
        <v>1840</v>
      </c>
    </row>
    <row r="7629" spans="1:4" x14ac:dyDescent="0.2">
      <c r="A7629" t="s">
        <v>9122</v>
      </c>
      <c r="B7629" s="2">
        <v>43014</v>
      </c>
      <c r="C7629" t="s">
        <v>4262</v>
      </c>
      <c r="D7629" t="s">
        <v>1840</v>
      </c>
    </row>
    <row r="7630" spans="1:4" x14ac:dyDescent="0.2">
      <c r="A7630" t="s">
        <v>9123</v>
      </c>
      <c r="B7630" s="2">
        <v>43244</v>
      </c>
      <c r="C7630" t="s">
        <v>1930</v>
      </c>
      <c r="D7630" t="s">
        <v>1807</v>
      </c>
    </row>
    <row r="7631" spans="1:4" x14ac:dyDescent="0.2">
      <c r="A7631" t="s">
        <v>9124</v>
      </c>
      <c r="B7631" s="2">
        <v>43013</v>
      </c>
      <c r="C7631" t="s">
        <v>2096</v>
      </c>
      <c r="D7631" t="s">
        <v>1810</v>
      </c>
    </row>
    <row r="7632" spans="1:4" x14ac:dyDescent="0.2">
      <c r="A7632" t="s">
        <v>9125</v>
      </c>
      <c r="B7632" s="2">
        <v>43227</v>
      </c>
      <c r="C7632" t="s">
        <v>1816</v>
      </c>
      <c r="D7632" t="s">
        <v>1829</v>
      </c>
    </row>
    <row r="7633" spans="1:4" x14ac:dyDescent="0.2">
      <c r="A7633" t="s">
        <v>9126</v>
      </c>
      <c r="B7633" s="2">
        <v>43235</v>
      </c>
      <c r="C7633" t="s">
        <v>1863</v>
      </c>
      <c r="D7633" t="s">
        <v>1810</v>
      </c>
    </row>
    <row r="7634" spans="1:4" x14ac:dyDescent="0.2">
      <c r="A7634" t="s">
        <v>9127</v>
      </c>
      <c r="B7634" s="2">
        <v>43219</v>
      </c>
      <c r="C7634" t="s">
        <v>1863</v>
      </c>
      <c r="D7634" t="s">
        <v>1804</v>
      </c>
    </row>
    <row r="7635" spans="1:4" x14ac:dyDescent="0.2">
      <c r="A7635" t="s">
        <v>9128</v>
      </c>
      <c r="B7635" s="2">
        <v>43247</v>
      </c>
      <c r="C7635" t="s">
        <v>1816</v>
      </c>
      <c r="D7635" t="s">
        <v>1810</v>
      </c>
    </row>
    <row r="7636" spans="1:4" x14ac:dyDescent="0.2">
      <c r="A7636" t="s">
        <v>9129</v>
      </c>
      <c r="B7636" s="2">
        <v>43249</v>
      </c>
      <c r="C7636" t="s">
        <v>1930</v>
      </c>
      <c r="D7636" t="s">
        <v>1031</v>
      </c>
    </row>
    <row r="7637" spans="1:4" x14ac:dyDescent="0.2">
      <c r="A7637" t="s">
        <v>9130</v>
      </c>
      <c r="B7637" s="2">
        <v>43196</v>
      </c>
      <c r="C7637" t="s">
        <v>1867</v>
      </c>
      <c r="D7637" t="s">
        <v>1804</v>
      </c>
    </row>
    <row r="7638" spans="1:4" x14ac:dyDescent="0.2">
      <c r="A7638" t="s">
        <v>9131</v>
      </c>
      <c r="B7638" s="2">
        <v>43172</v>
      </c>
      <c r="C7638" t="s">
        <v>2019</v>
      </c>
      <c r="D7638" t="s">
        <v>1813</v>
      </c>
    </row>
    <row r="7639" spans="1:4" x14ac:dyDescent="0.2">
      <c r="A7639" t="s">
        <v>9132</v>
      </c>
      <c r="B7639" s="2">
        <v>42977</v>
      </c>
      <c r="C7639" t="s">
        <v>1836</v>
      </c>
      <c r="D7639" t="s">
        <v>1031</v>
      </c>
    </row>
    <row r="7640" spans="1:4" x14ac:dyDescent="0.2">
      <c r="A7640" t="s">
        <v>9133</v>
      </c>
      <c r="B7640" s="2">
        <v>43182</v>
      </c>
      <c r="C7640" t="s">
        <v>1816</v>
      </c>
      <c r="D7640" t="s">
        <v>1810</v>
      </c>
    </row>
    <row r="7641" spans="1:4" x14ac:dyDescent="0.2">
      <c r="A7641" t="s">
        <v>9134</v>
      </c>
      <c r="B7641" s="2">
        <v>43111</v>
      </c>
      <c r="C7641" t="s">
        <v>1803</v>
      </c>
      <c r="D7641" t="s">
        <v>1804</v>
      </c>
    </row>
    <row r="7642" spans="1:4" x14ac:dyDescent="0.2">
      <c r="A7642" t="s">
        <v>9135</v>
      </c>
      <c r="B7642" s="2">
        <v>43207</v>
      </c>
      <c r="C7642" t="s">
        <v>1863</v>
      </c>
      <c r="D7642" t="s">
        <v>1804</v>
      </c>
    </row>
    <row r="7643" spans="1:4" x14ac:dyDescent="0.2">
      <c r="A7643" t="s">
        <v>1715</v>
      </c>
      <c r="B7643" s="2">
        <v>43227</v>
      </c>
      <c r="C7643" t="s">
        <v>1836</v>
      </c>
      <c r="D7643" t="s">
        <v>1031</v>
      </c>
    </row>
    <row r="7644" spans="1:4" x14ac:dyDescent="0.2">
      <c r="A7644" t="s">
        <v>9136</v>
      </c>
      <c r="B7644" s="2">
        <v>43137</v>
      </c>
      <c r="C7644" t="s">
        <v>3827</v>
      </c>
      <c r="D7644" t="s">
        <v>1813</v>
      </c>
    </row>
    <row r="7645" spans="1:4" x14ac:dyDescent="0.2">
      <c r="A7645" t="s">
        <v>9137</v>
      </c>
      <c r="B7645" s="2">
        <v>42947</v>
      </c>
      <c r="C7645" t="s">
        <v>2407</v>
      </c>
      <c r="D7645" t="s">
        <v>1813</v>
      </c>
    </row>
    <row r="7646" spans="1:4" x14ac:dyDescent="0.2">
      <c r="A7646" t="s">
        <v>9138</v>
      </c>
      <c r="B7646" s="2">
        <v>43228</v>
      </c>
      <c r="C7646" t="s">
        <v>3699</v>
      </c>
      <c r="D7646" t="s">
        <v>1840</v>
      </c>
    </row>
    <row r="7647" spans="1:4" x14ac:dyDescent="0.2">
      <c r="A7647" t="s">
        <v>1717</v>
      </c>
      <c r="B7647" s="2">
        <v>43226</v>
      </c>
      <c r="C7647" t="s">
        <v>1863</v>
      </c>
      <c r="D7647" t="s">
        <v>1804</v>
      </c>
    </row>
    <row r="7648" spans="1:4" x14ac:dyDescent="0.2">
      <c r="A7648" t="s">
        <v>9139</v>
      </c>
      <c r="B7648" s="2">
        <v>43238</v>
      </c>
      <c r="C7648" t="s">
        <v>4267</v>
      </c>
      <c r="D7648" t="s">
        <v>1813</v>
      </c>
    </row>
    <row r="7649" spans="1:4" x14ac:dyDescent="0.2">
      <c r="A7649" t="s">
        <v>9140</v>
      </c>
      <c r="B7649" s="2">
        <v>42970</v>
      </c>
      <c r="C7649" t="s">
        <v>1825</v>
      </c>
      <c r="D7649" t="s">
        <v>1810</v>
      </c>
    </row>
    <row r="7650" spans="1:4" x14ac:dyDescent="0.2">
      <c r="A7650" t="s">
        <v>9141</v>
      </c>
      <c r="B7650" s="2">
        <v>43131</v>
      </c>
      <c r="C7650" t="s">
        <v>2033</v>
      </c>
      <c r="D7650" t="s">
        <v>1810</v>
      </c>
    </row>
    <row r="7651" spans="1:4" x14ac:dyDescent="0.2">
      <c r="A7651" t="s">
        <v>9142</v>
      </c>
      <c r="B7651" s="2">
        <v>43237</v>
      </c>
      <c r="C7651" t="s">
        <v>1863</v>
      </c>
      <c r="D7651" t="s">
        <v>1804</v>
      </c>
    </row>
    <row r="7652" spans="1:4" x14ac:dyDescent="0.2">
      <c r="A7652" t="s">
        <v>9143</v>
      </c>
      <c r="B7652" s="2">
        <v>43202</v>
      </c>
      <c r="C7652" t="s">
        <v>1816</v>
      </c>
      <c r="D7652" t="s">
        <v>1810</v>
      </c>
    </row>
    <row r="7653" spans="1:4" x14ac:dyDescent="0.2">
      <c r="A7653" t="s">
        <v>9144</v>
      </c>
      <c r="B7653" s="2">
        <v>42948</v>
      </c>
      <c r="C7653" t="s">
        <v>2433</v>
      </c>
      <c r="D7653" t="s">
        <v>1031</v>
      </c>
    </row>
    <row r="7654" spans="1:4" x14ac:dyDescent="0.2">
      <c r="A7654" t="s">
        <v>9145</v>
      </c>
      <c r="B7654" s="2">
        <v>43122</v>
      </c>
      <c r="C7654" t="s">
        <v>1812</v>
      </c>
      <c r="D7654" t="s">
        <v>160</v>
      </c>
    </row>
    <row r="7655" spans="1:4" x14ac:dyDescent="0.2">
      <c r="A7655" t="s">
        <v>9146</v>
      </c>
      <c r="B7655" s="2">
        <v>43228</v>
      </c>
      <c r="C7655" t="s">
        <v>1905</v>
      </c>
      <c r="D7655" t="s">
        <v>1807</v>
      </c>
    </row>
    <row r="7656" spans="1:4" x14ac:dyDescent="0.2">
      <c r="A7656" t="s">
        <v>1719</v>
      </c>
      <c r="B7656" s="2">
        <v>43144</v>
      </c>
      <c r="C7656" t="s">
        <v>1816</v>
      </c>
      <c r="D7656" t="s">
        <v>1840</v>
      </c>
    </row>
    <row r="7657" spans="1:4" x14ac:dyDescent="0.2">
      <c r="A7657" t="s">
        <v>9147</v>
      </c>
      <c r="B7657" s="2">
        <v>43035</v>
      </c>
      <c r="C7657" t="s">
        <v>1939</v>
      </c>
      <c r="D7657" t="s">
        <v>1810</v>
      </c>
    </row>
    <row r="7658" spans="1:4" x14ac:dyDescent="0.2">
      <c r="A7658" t="s">
        <v>9148</v>
      </c>
      <c r="B7658" s="2">
        <v>43222</v>
      </c>
      <c r="C7658" t="s">
        <v>2066</v>
      </c>
      <c r="D7658" t="s">
        <v>1813</v>
      </c>
    </row>
    <row r="7659" spans="1:4" x14ac:dyDescent="0.2">
      <c r="A7659" t="s">
        <v>9149</v>
      </c>
      <c r="B7659" s="2">
        <v>43082</v>
      </c>
      <c r="C7659" t="s">
        <v>2196</v>
      </c>
      <c r="D7659" t="s">
        <v>1807</v>
      </c>
    </row>
    <row r="7660" spans="1:4" x14ac:dyDescent="0.2">
      <c r="A7660" t="s">
        <v>9150</v>
      </c>
      <c r="B7660" s="2">
        <v>43097</v>
      </c>
      <c r="C7660" t="s">
        <v>1816</v>
      </c>
      <c r="D7660" t="s">
        <v>1810</v>
      </c>
    </row>
    <row r="7661" spans="1:4" x14ac:dyDescent="0.2">
      <c r="A7661" t="s">
        <v>9151</v>
      </c>
      <c r="B7661" s="2">
        <v>43131</v>
      </c>
      <c r="C7661" t="s">
        <v>1809</v>
      </c>
      <c r="D7661" t="s">
        <v>1810</v>
      </c>
    </row>
    <row r="7662" spans="1:4" x14ac:dyDescent="0.2">
      <c r="A7662" t="s">
        <v>9152</v>
      </c>
      <c r="B7662" s="2">
        <v>43196</v>
      </c>
      <c r="C7662" t="s">
        <v>1863</v>
      </c>
      <c r="D7662" t="s">
        <v>1804</v>
      </c>
    </row>
    <row r="7663" spans="1:4" x14ac:dyDescent="0.2">
      <c r="A7663" t="s">
        <v>1721</v>
      </c>
      <c r="B7663" s="2">
        <v>43106</v>
      </c>
      <c r="C7663" t="s">
        <v>1809</v>
      </c>
      <c r="D7663" t="s">
        <v>1810</v>
      </c>
    </row>
    <row r="7664" spans="1:4" x14ac:dyDescent="0.2">
      <c r="A7664" t="s">
        <v>9153</v>
      </c>
      <c r="B7664" s="2">
        <v>43117</v>
      </c>
      <c r="C7664" t="s">
        <v>1930</v>
      </c>
      <c r="D7664" t="s">
        <v>1807</v>
      </c>
    </row>
    <row r="7665" spans="1:4" x14ac:dyDescent="0.2">
      <c r="A7665" t="s">
        <v>9154</v>
      </c>
      <c r="B7665" s="2">
        <v>43108</v>
      </c>
      <c r="C7665" t="s">
        <v>1836</v>
      </c>
      <c r="D7665" t="s">
        <v>1810</v>
      </c>
    </row>
    <row r="7666" spans="1:4" x14ac:dyDescent="0.2">
      <c r="A7666" t="s">
        <v>9155</v>
      </c>
      <c r="B7666" s="2">
        <v>43104</v>
      </c>
      <c r="C7666" t="s">
        <v>1816</v>
      </c>
      <c r="D7666" t="s">
        <v>1810</v>
      </c>
    </row>
    <row r="7667" spans="1:4" x14ac:dyDescent="0.2">
      <c r="A7667" t="s">
        <v>9156</v>
      </c>
      <c r="B7667" s="2">
        <v>43044</v>
      </c>
      <c r="C7667" t="s">
        <v>1803</v>
      </c>
      <c r="D7667" t="s">
        <v>1804</v>
      </c>
    </row>
    <row r="7668" spans="1:4" x14ac:dyDescent="0.2">
      <c r="A7668" t="s">
        <v>9157</v>
      </c>
      <c r="B7668" s="2">
        <v>43147</v>
      </c>
      <c r="C7668" t="s">
        <v>1907</v>
      </c>
      <c r="D7668" t="s">
        <v>1810</v>
      </c>
    </row>
    <row r="7669" spans="1:4" x14ac:dyDescent="0.2">
      <c r="A7669" t="s">
        <v>9158</v>
      </c>
      <c r="B7669" s="2">
        <v>43186</v>
      </c>
      <c r="C7669" t="s">
        <v>1987</v>
      </c>
      <c r="D7669" t="s">
        <v>1807</v>
      </c>
    </row>
    <row r="7670" spans="1:4" x14ac:dyDescent="0.2">
      <c r="A7670" t="s">
        <v>9159</v>
      </c>
      <c r="B7670" s="2">
        <v>43157</v>
      </c>
      <c r="C7670" t="s">
        <v>1803</v>
      </c>
      <c r="D7670" t="s">
        <v>1804</v>
      </c>
    </row>
    <row r="7671" spans="1:4" x14ac:dyDescent="0.2">
      <c r="A7671" t="s">
        <v>9160</v>
      </c>
      <c r="B7671" s="2">
        <v>43199</v>
      </c>
      <c r="C7671" t="s">
        <v>2617</v>
      </c>
      <c r="D7671" t="s">
        <v>1910</v>
      </c>
    </row>
    <row r="7672" spans="1:4" x14ac:dyDescent="0.2">
      <c r="A7672" t="s">
        <v>1723</v>
      </c>
      <c r="B7672" s="2">
        <v>43178</v>
      </c>
      <c r="C7672" t="s">
        <v>2023</v>
      </c>
      <c r="D7672" t="s">
        <v>1804</v>
      </c>
    </row>
    <row r="7673" spans="1:4" x14ac:dyDescent="0.2">
      <c r="A7673" t="s">
        <v>9161</v>
      </c>
      <c r="B7673" s="2">
        <v>43215</v>
      </c>
      <c r="C7673" t="s">
        <v>1909</v>
      </c>
      <c r="D7673" t="s">
        <v>1810</v>
      </c>
    </row>
    <row r="7674" spans="1:4" x14ac:dyDescent="0.2">
      <c r="A7674" t="s">
        <v>9162</v>
      </c>
      <c r="B7674" s="2">
        <v>43132</v>
      </c>
      <c r="C7674" t="s">
        <v>1814</v>
      </c>
      <c r="D7674" t="s">
        <v>1807</v>
      </c>
    </row>
    <row r="7675" spans="1:4" x14ac:dyDescent="0.2">
      <c r="A7675" t="s">
        <v>9163</v>
      </c>
      <c r="B7675" s="2">
        <v>43067</v>
      </c>
      <c r="C7675" t="s">
        <v>1836</v>
      </c>
      <c r="D7675" t="s">
        <v>1031</v>
      </c>
    </row>
    <row r="7676" spans="1:4" x14ac:dyDescent="0.2">
      <c r="A7676" t="s">
        <v>9164</v>
      </c>
      <c r="B7676" s="2">
        <v>43122</v>
      </c>
      <c r="C7676" t="s">
        <v>1816</v>
      </c>
      <c r="D7676" t="s">
        <v>1810</v>
      </c>
    </row>
    <row r="7677" spans="1:4" x14ac:dyDescent="0.2">
      <c r="A7677" t="s">
        <v>9165</v>
      </c>
      <c r="B7677" s="2">
        <v>43248</v>
      </c>
      <c r="C7677" t="s">
        <v>1836</v>
      </c>
      <c r="D7677" t="s">
        <v>1031</v>
      </c>
    </row>
    <row r="7678" spans="1:4" x14ac:dyDescent="0.2">
      <c r="A7678" t="s">
        <v>9166</v>
      </c>
      <c r="B7678" s="2">
        <v>43119</v>
      </c>
      <c r="C7678" t="s">
        <v>1959</v>
      </c>
      <c r="D7678" t="s">
        <v>1840</v>
      </c>
    </row>
    <row r="7679" spans="1:4" x14ac:dyDescent="0.2">
      <c r="A7679" t="s">
        <v>9167</v>
      </c>
      <c r="B7679" s="2">
        <v>43089</v>
      </c>
      <c r="C7679" t="s">
        <v>2108</v>
      </c>
      <c r="D7679" t="s">
        <v>1813</v>
      </c>
    </row>
    <row r="7680" spans="1:4" x14ac:dyDescent="0.2">
      <c r="A7680" t="s">
        <v>9168</v>
      </c>
      <c r="B7680" s="2">
        <v>43192</v>
      </c>
      <c r="C7680" t="s">
        <v>3090</v>
      </c>
      <c r="D7680" t="s">
        <v>1810</v>
      </c>
    </row>
    <row r="7681" spans="1:4" x14ac:dyDescent="0.2">
      <c r="A7681" t="s">
        <v>1725</v>
      </c>
      <c r="B7681" s="2">
        <v>43110</v>
      </c>
      <c r="C7681" t="s">
        <v>1836</v>
      </c>
      <c r="D7681" t="s">
        <v>1031</v>
      </c>
    </row>
    <row r="7682" spans="1:4" x14ac:dyDescent="0.2">
      <c r="A7682" t="s">
        <v>1727</v>
      </c>
      <c r="B7682" s="2">
        <v>43146</v>
      </c>
      <c r="C7682" t="s">
        <v>1836</v>
      </c>
      <c r="D7682" t="s">
        <v>1031</v>
      </c>
    </row>
    <row r="7683" spans="1:4" x14ac:dyDescent="0.2">
      <c r="A7683" t="s">
        <v>1729</v>
      </c>
      <c r="B7683" s="2">
        <v>43172</v>
      </c>
      <c r="C7683" t="s">
        <v>1987</v>
      </c>
      <c r="D7683" t="s">
        <v>1807</v>
      </c>
    </row>
    <row r="7684" spans="1:4" x14ac:dyDescent="0.2">
      <c r="A7684" t="s">
        <v>9169</v>
      </c>
      <c r="B7684" s="2">
        <v>43167</v>
      </c>
      <c r="C7684" t="s">
        <v>1867</v>
      </c>
      <c r="D7684" t="s">
        <v>1829</v>
      </c>
    </row>
    <row r="7685" spans="1:4" x14ac:dyDescent="0.2">
      <c r="A7685" t="s">
        <v>9170</v>
      </c>
      <c r="B7685" s="2">
        <v>43160</v>
      </c>
      <c r="C7685" t="s">
        <v>1816</v>
      </c>
      <c r="D7685" t="s">
        <v>1810</v>
      </c>
    </row>
    <row r="7686" spans="1:4" x14ac:dyDescent="0.2">
      <c r="A7686" t="s">
        <v>9171</v>
      </c>
      <c r="B7686" s="2">
        <v>43068</v>
      </c>
      <c r="C7686" t="s">
        <v>1836</v>
      </c>
      <c r="D7686" t="s">
        <v>1807</v>
      </c>
    </row>
    <row r="7687" spans="1:4" x14ac:dyDescent="0.2">
      <c r="A7687" t="s">
        <v>9172</v>
      </c>
      <c r="B7687" s="2">
        <v>43221</v>
      </c>
      <c r="C7687" t="s">
        <v>1863</v>
      </c>
      <c r="D7687" t="s">
        <v>1796</v>
      </c>
    </row>
    <row r="7688" spans="1:4" x14ac:dyDescent="0.2">
      <c r="A7688" t="s">
        <v>9173</v>
      </c>
      <c r="B7688" s="2">
        <v>43104</v>
      </c>
      <c r="C7688" t="s">
        <v>1809</v>
      </c>
      <c r="D7688" t="s">
        <v>1810</v>
      </c>
    </row>
    <row r="7689" spans="1:4" x14ac:dyDescent="0.2">
      <c r="A7689" t="s">
        <v>9174</v>
      </c>
      <c r="B7689" s="2">
        <v>43145</v>
      </c>
      <c r="C7689" t="s">
        <v>1930</v>
      </c>
      <c r="D7689" t="s">
        <v>1807</v>
      </c>
    </row>
    <row r="7690" spans="1:4" x14ac:dyDescent="0.2">
      <c r="A7690" t="s">
        <v>9175</v>
      </c>
      <c r="B7690" s="2">
        <v>43003</v>
      </c>
      <c r="C7690" t="s">
        <v>5117</v>
      </c>
      <c r="D7690" t="s">
        <v>1829</v>
      </c>
    </row>
    <row r="7691" spans="1:4" x14ac:dyDescent="0.2">
      <c r="A7691" t="s">
        <v>1731</v>
      </c>
      <c r="B7691" s="2">
        <v>43156</v>
      </c>
      <c r="C7691" t="s">
        <v>1825</v>
      </c>
      <c r="D7691" t="s">
        <v>1807</v>
      </c>
    </row>
    <row r="7692" spans="1:4" x14ac:dyDescent="0.2">
      <c r="A7692" t="s">
        <v>9176</v>
      </c>
      <c r="B7692" s="2">
        <v>43200</v>
      </c>
      <c r="C7692" t="s">
        <v>1825</v>
      </c>
      <c r="D7692" t="s">
        <v>1840</v>
      </c>
    </row>
    <row r="7693" spans="1:4" x14ac:dyDescent="0.2">
      <c r="A7693" t="s">
        <v>9177</v>
      </c>
      <c r="B7693" s="2">
        <v>43138</v>
      </c>
      <c r="C7693" t="s">
        <v>1930</v>
      </c>
      <c r="D7693" t="s">
        <v>1810</v>
      </c>
    </row>
    <row r="7694" spans="1:4" x14ac:dyDescent="0.2">
      <c r="A7694" t="s">
        <v>9178</v>
      </c>
      <c r="B7694" s="2">
        <v>43132</v>
      </c>
      <c r="C7694" t="s">
        <v>1831</v>
      </c>
      <c r="D7694" t="s">
        <v>160</v>
      </c>
    </row>
    <row r="7695" spans="1:4" x14ac:dyDescent="0.2">
      <c r="A7695" t="s">
        <v>9179</v>
      </c>
      <c r="B7695" s="2">
        <v>43195</v>
      </c>
      <c r="C7695" t="s">
        <v>1816</v>
      </c>
      <c r="D7695" t="s">
        <v>1829</v>
      </c>
    </row>
    <row r="7696" spans="1:4" x14ac:dyDescent="0.2">
      <c r="A7696" t="s">
        <v>9180</v>
      </c>
      <c r="B7696" s="2">
        <v>43104</v>
      </c>
      <c r="C7696" t="s">
        <v>1987</v>
      </c>
      <c r="D7696" t="s">
        <v>1031</v>
      </c>
    </row>
    <row r="7697" spans="1:4" x14ac:dyDescent="0.2">
      <c r="A7697" t="s">
        <v>9181</v>
      </c>
      <c r="B7697" s="2">
        <v>43038</v>
      </c>
      <c r="C7697" t="s">
        <v>1889</v>
      </c>
      <c r="D7697" t="s">
        <v>1810</v>
      </c>
    </row>
    <row r="7698" spans="1:4" x14ac:dyDescent="0.2">
      <c r="A7698" t="s">
        <v>9182</v>
      </c>
      <c r="B7698" s="2">
        <v>43201</v>
      </c>
      <c r="C7698" t="s">
        <v>6643</v>
      </c>
      <c r="D7698" t="s">
        <v>1813</v>
      </c>
    </row>
    <row r="7699" spans="1:4" x14ac:dyDescent="0.2">
      <c r="A7699" t="s">
        <v>9183</v>
      </c>
      <c r="B7699" s="2">
        <v>43172</v>
      </c>
      <c r="C7699" t="s">
        <v>2019</v>
      </c>
      <c r="D7699" t="s">
        <v>1031</v>
      </c>
    </row>
    <row r="7700" spans="1:4" x14ac:dyDescent="0.2">
      <c r="A7700" t="s">
        <v>9184</v>
      </c>
      <c r="B7700" s="2">
        <v>43123</v>
      </c>
      <c r="C7700" t="s">
        <v>1865</v>
      </c>
      <c r="D7700" t="s">
        <v>1840</v>
      </c>
    </row>
    <row r="7701" spans="1:4" x14ac:dyDescent="0.2">
      <c r="A7701" t="s">
        <v>9185</v>
      </c>
      <c r="B7701" s="2">
        <v>43159</v>
      </c>
      <c r="C7701" t="s">
        <v>1836</v>
      </c>
      <c r="D7701" t="s">
        <v>1031</v>
      </c>
    </row>
    <row r="7702" spans="1:4" x14ac:dyDescent="0.2">
      <c r="A7702" t="s">
        <v>9186</v>
      </c>
      <c r="B7702" s="2">
        <v>43208</v>
      </c>
      <c r="C7702" t="s">
        <v>1998</v>
      </c>
      <c r="D7702" t="s">
        <v>1807</v>
      </c>
    </row>
    <row r="7703" spans="1:4" x14ac:dyDescent="0.2">
      <c r="A7703" t="s">
        <v>9187</v>
      </c>
      <c r="B7703" s="2">
        <v>43145</v>
      </c>
      <c r="C7703" t="s">
        <v>1816</v>
      </c>
      <c r="D7703" t="s">
        <v>1810</v>
      </c>
    </row>
    <row r="7704" spans="1:4" x14ac:dyDescent="0.2">
      <c r="A7704" t="s">
        <v>9188</v>
      </c>
      <c r="B7704" s="2">
        <v>43243</v>
      </c>
      <c r="C7704" t="s">
        <v>1867</v>
      </c>
      <c r="D7704" t="s">
        <v>1810</v>
      </c>
    </row>
    <row r="7705" spans="1:4" x14ac:dyDescent="0.2">
      <c r="A7705" t="s">
        <v>9189</v>
      </c>
      <c r="B7705" s="2">
        <v>43104</v>
      </c>
      <c r="C7705" t="s">
        <v>3315</v>
      </c>
      <c r="D7705" t="s">
        <v>1807</v>
      </c>
    </row>
    <row r="7706" spans="1:4" x14ac:dyDescent="0.2">
      <c r="A7706" t="s">
        <v>9190</v>
      </c>
      <c r="B7706" s="2">
        <v>43104</v>
      </c>
      <c r="C7706" t="s">
        <v>1836</v>
      </c>
      <c r="D7706" t="s">
        <v>1031</v>
      </c>
    </row>
    <row r="7707" spans="1:4" x14ac:dyDescent="0.2">
      <c r="A7707" t="s">
        <v>9191</v>
      </c>
      <c r="B7707" s="2">
        <v>43230</v>
      </c>
      <c r="C7707" t="s">
        <v>3037</v>
      </c>
      <c r="D7707" t="s">
        <v>1804</v>
      </c>
    </row>
    <row r="7708" spans="1:4" x14ac:dyDescent="0.2">
      <c r="A7708" t="s">
        <v>1734</v>
      </c>
      <c r="B7708" s="2">
        <v>43243</v>
      </c>
      <c r="C7708" t="s">
        <v>1832</v>
      </c>
      <c r="D7708" t="s">
        <v>1807</v>
      </c>
    </row>
    <row r="7709" spans="1:4" x14ac:dyDescent="0.2">
      <c r="A7709" t="s">
        <v>9192</v>
      </c>
      <c r="B7709" s="2">
        <v>43177</v>
      </c>
      <c r="C7709" t="s">
        <v>1928</v>
      </c>
      <c r="D7709" t="s">
        <v>1813</v>
      </c>
    </row>
    <row r="7710" spans="1:4" x14ac:dyDescent="0.2">
      <c r="A7710" t="s">
        <v>9193</v>
      </c>
      <c r="B7710" s="2">
        <v>43189</v>
      </c>
      <c r="C7710" t="s">
        <v>2035</v>
      </c>
      <c r="D7710" t="s">
        <v>1804</v>
      </c>
    </row>
    <row r="7711" spans="1:4" x14ac:dyDescent="0.2">
      <c r="A7711" t="s">
        <v>9194</v>
      </c>
      <c r="B7711" s="2">
        <v>43224</v>
      </c>
      <c r="C7711" t="s">
        <v>2048</v>
      </c>
      <c r="D7711" t="s">
        <v>1807</v>
      </c>
    </row>
    <row r="7712" spans="1:4" x14ac:dyDescent="0.2">
      <c r="A7712" t="s">
        <v>1736</v>
      </c>
      <c r="B7712" s="2">
        <v>43171</v>
      </c>
      <c r="C7712" t="s">
        <v>8509</v>
      </c>
      <c r="D7712" t="s">
        <v>1796</v>
      </c>
    </row>
    <row r="7713" spans="1:4" x14ac:dyDescent="0.2">
      <c r="A7713" t="s">
        <v>9195</v>
      </c>
      <c r="B7713" s="2">
        <v>43067</v>
      </c>
      <c r="C7713" t="s">
        <v>1905</v>
      </c>
      <c r="D7713" t="s">
        <v>1810</v>
      </c>
    </row>
    <row r="7714" spans="1:4" x14ac:dyDescent="0.2">
      <c r="A7714" t="s">
        <v>9196</v>
      </c>
      <c r="B7714" s="2">
        <v>43167</v>
      </c>
      <c r="C7714" t="s">
        <v>1930</v>
      </c>
      <c r="D7714" t="s">
        <v>1807</v>
      </c>
    </row>
    <row r="7715" spans="1:4" x14ac:dyDescent="0.2">
      <c r="A7715" t="s">
        <v>1738</v>
      </c>
      <c r="B7715" s="2">
        <v>43111</v>
      </c>
      <c r="C7715" t="s">
        <v>1836</v>
      </c>
      <c r="D7715" t="s">
        <v>1031</v>
      </c>
    </row>
    <row r="7716" spans="1:4" x14ac:dyDescent="0.2">
      <c r="A7716" t="s">
        <v>9197</v>
      </c>
      <c r="B7716" s="2">
        <v>43240</v>
      </c>
      <c r="C7716" t="s">
        <v>9198</v>
      </c>
      <c r="D7716" t="s">
        <v>1840</v>
      </c>
    </row>
    <row r="7717" spans="1:4" x14ac:dyDescent="0.2">
      <c r="A7717" t="s">
        <v>9199</v>
      </c>
      <c r="B7717" s="2">
        <v>43122</v>
      </c>
      <c r="C7717" t="s">
        <v>2054</v>
      </c>
      <c r="D7717" t="s">
        <v>1807</v>
      </c>
    </row>
    <row r="7718" spans="1:4" x14ac:dyDescent="0.2">
      <c r="A7718" t="s">
        <v>9200</v>
      </c>
      <c r="B7718" s="2">
        <v>43218</v>
      </c>
      <c r="C7718" t="s">
        <v>1863</v>
      </c>
      <c r="D7718" t="s">
        <v>1804</v>
      </c>
    </row>
    <row r="7719" spans="1:4" x14ac:dyDescent="0.2">
      <c r="A7719" t="s">
        <v>1740</v>
      </c>
      <c r="B7719" s="2">
        <v>43195</v>
      </c>
      <c r="C7719" t="s">
        <v>1930</v>
      </c>
      <c r="D7719" t="s">
        <v>1807</v>
      </c>
    </row>
    <row r="7720" spans="1:4" x14ac:dyDescent="0.2">
      <c r="A7720" t="s">
        <v>9201</v>
      </c>
      <c r="B7720" s="2">
        <v>43027</v>
      </c>
      <c r="C7720" t="s">
        <v>1803</v>
      </c>
      <c r="D7720" t="s">
        <v>1810</v>
      </c>
    </row>
    <row r="7721" spans="1:4" x14ac:dyDescent="0.2">
      <c r="A7721" t="s">
        <v>9202</v>
      </c>
      <c r="B7721" s="2">
        <v>43199</v>
      </c>
      <c r="C7721" t="s">
        <v>3333</v>
      </c>
      <c r="D7721" t="s">
        <v>1807</v>
      </c>
    </row>
    <row r="7722" spans="1:4" x14ac:dyDescent="0.2">
      <c r="A7722" t="s">
        <v>9203</v>
      </c>
      <c r="B7722" s="2">
        <v>42975</v>
      </c>
      <c r="C7722" t="s">
        <v>1816</v>
      </c>
      <c r="D7722" t="s">
        <v>1840</v>
      </c>
    </row>
    <row r="7723" spans="1:4" x14ac:dyDescent="0.2">
      <c r="A7723" t="s">
        <v>1742</v>
      </c>
      <c r="B7723" s="2">
        <v>43192</v>
      </c>
      <c r="C7723" t="s">
        <v>1863</v>
      </c>
      <c r="D7723" t="s">
        <v>1804</v>
      </c>
    </row>
    <row r="7724" spans="1:4" x14ac:dyDescent="0.2">
      <c r="A7724" t="s">
        <v>9204</v>
      </c>
      <c r="B7724" s="2">
        <v>43160</v>
      </c>
      <c r="C7724" t="s">
        <v>1838</v>
      </c>
      <c r="D7724" t="s">
        <v>1840</v>
      </c>
    </row>
    <row r="7725" spans="1:4" x14ac:dyDescent="0.2">
      <c r="A7725" t="s">
        <v>9205</v>
      </c>
      <c r="B7725" s="2">
        <v>43129</v>
      </c>
      <c r="C7725" t="s">
        <v>1885</v>
      </c>
      <c r="D7725" t="s">
        <v>1807</v>
      </c>
    </row>
    <row r="7726" spans="1:4" x14ac:dyDescent="0.2">
      <c r="A7726" t="s">
        <v>9206</v>
      </c>
      <c r="B7726" s="2">
        <v>42995</v>
      </c>
      <c r="C7726" t="s">
        <v>1816</v>
      </c>
      <c r="D7726" t="s">
        <v>1840</v>
      </c>
    </row>
    <row r="7727" spans="1:4" x14ac:dyDescent="0.2">
      <c r="A7727" t="s">
        <v>9207</v>
      </c>
      <c r="B7727" s="2">
        <v>43157</v>
      </c>
      <c r="C7727" t="s">
        <v>9208</v>
      </c>
      <c r="D7727" t="s">
        <v>1031</v>
      </c>
    </row>
    <row r="7728" spans="1:4" x14ac:dyDescent="0.2">
      <c r="A7728" t="s">
        <v>9209</v>
      </c>
      <c r="B7728" s="2">
        <v>43222</v>
      </c>
      <c r="C7728" t="s">
        <v>1937</v>
      </c>
      <c r="D7728" t="s">
        <v>1810</v>
      </c>
    </row>
    <row r="7729" spans="1:4" x14ac:dyDescent="0.2">
      <c r="A7729" t="s">
        <v>9210</v>
      </c>
      <c r="B7729" s="2">
        <v>43138</v>
      </c>
      <c r="C7729" t="s">
        <v>1930</v>
      </c>
      <c r="D7729" t="s">
        <v>1031</v>
      </c>
    </row>
    <row r="7730" spans="1:4" x14ac:dyDescent="0.2">
      <c r="A7730" t="s">
        <v>9211</v>
      </c>
      <c r="B7730" s="2">
        <v>43069</v>
      </c>
      <c r="C7730" t="s">
        <v>1803</v>
      </c>
      <c r="D7730" t="s">
        <v>1804</v>
      </c>
    </row>
    <row r="7731" spans="1:4" x14ac:dyDescent="0.2">
      <c r="A7731" t="s">
        <v>1744</v>
      </c>
      <c r="B7731" s="2">
        <v>43241</v>
      </c>
      <c r="C7731" t="s">
        <v>3390</v>
      </c>
      <c r="D7731" t="s">
        <v>1031</v>
      </c>
    </row>
    <row r="7732" spans="1:4" x14ac:dyDescent="0.2">
      <c r="A7732" t="s">
        <v>9212</v>
      </c>
      <c r="B7732" s="2">
        <v>43243</v>
      </c>
      <c r="C7732" t="s">
        <v>1836</v>
      </c>
      <c r="D7732" t="s">
        <v>1829</v>
      </c>
    </row>
    <row r="7733" spans="1:4" x14ac:dyDescent="0.2">
      <c r="A7733" t="s">
        <v>9213</v>
      </c>
      <c r="B7733" s="2">
        <v>43136</v>
      </c>
      <c r="C7733" t="s">
        <v>1814</v>
      </c>
      <c r="D7733" t="s">
        <v>1810</v>
      </c>
    </row>
    <row r="7734" spans="1:4" x14ac:dyDescent="0.2">
      <c r="A7734" t="s">
        <v>9214</v>
      </c>
      <c r="B7734" s="2">
        <v>43242</v>
      </c>
      <c r="C7734" t="s">
        <v>2901</v>
      </c>
      <c r="D7734" t="s">
        <v>1807</v>
      </c>
    </row>
    <row r="7735" spans="1:4" x14ac:dyDescent="0.2">
      <c r="A7735" t="s">
        <v>9215</v>
      </c>
      <c r="B7735" s="2">
        <v>43237</v>
      </c>
      <c r="C7735" t="s">
        <v>1863</v>
      </c>
      <c r="D7735" t="s">
        <v>1804</v>
      </c>
    </row>
    <row r="7736" spans="1:4" x14ac:dyDescent="0.2">
      <c r="A7736" t="s">
        <v>9216</v>
      </c>
      <c r="B7736" s="2">
        <v>43229</v>
      </c>
      <c r="C7736" t="s">
        <v>2318</v>
      </c>
      <c r="D7736" t="s">
        <v>1840</v>
      </c>
    </row>
    <row r="7737" spans="1:4" x14ac:dyDescent="0.2">
      <c r="A7737" t="s">
        <v>1746</v>
      </c>
      <c r="B7737" s="2">
        <v>43062</v>
      </c>
      <c r="C7737" t="s">
        <v>1803</v>
      </c>
      <c r="D7737" t="s">
        <v>1804</v>
      </c>
    </row>
    <row r="7738" spans="1:4" x14ac:dyDescent="0.2">
      <c r="A7738" t="s">
        <v>9217</v>
      </c>
      <c r="B7738" s="2">
        <v>43234</v>
      </c>
      <c r="C7738" t="s">
        <v>1921</v>
      </c>
      <c r="D7738" t="s">
        <v>1810</v>
      </c>
    </row>
    <row r="7739" spans="1:4" x14ac:dyDescent="0.2">
      <c r="A7739" t="s">
        <v>9218</v>
      </c>
      <c r="B7739" s="2">
        <v>43150</v>
      </c>
      <c r="C7739" t="s">
        <v>1803</v>
      </c>
      <c r="D7739" t="s">
        <v>1804</v>
      </c>
    </row>
    <row r="7740" spans="1:4" x14ac:dyDescent="0.2">
      <c r="A7740" t="s">
        <v>9219</v>
      </c>
      <c r="B7740" s="2">
        <v>43103</v>
      </c>
      <c r="C7740" t="s">
        <v>1930</v>
      </c>
      <c r="D7740" t="s">
        <v>1807</v>
      </c>
    </row>
    <row r="7741" spans="1:4" x14ac:dyDescent="0.2">
      <c r="A7741" t="s">
        <v>9220</v>
      </c>
      <c r="B7741" s="2">
        <v>42985</v>
      </c>
      <c r="C7741" t="s">
        <v>1816</v>
      </c>
      <c r="D7741" t="s">
        <v>1810</v>
      </c>
    </row>
    <row r="7742" spans="1:4" x14ac:dyDescent="0.2">
      <c r="A7742" t="s">
        <v>9221</v>
      </c>
      <c r="B7742" s="2">
        <v>43241</v>
      </c>
      <c r="C7742" t="s">
        <v>1831</v>
      </c>
      <c r="D7742" t="s">
        <v>1829</v>
      </c>
    </row>
    <row r="7743" spans="1:4" x14ac:dyDescent="0.2">
      <c r="A7743" t="s">
        <v>9222</v>
      </c>
      <c r="B7743" s="2">
        <v>43182</v>
      </c>
      <c r="C7743" t="s">
        <v>1816</v>
      </c>
      <c r="D7743" t="s">
        <v>1810</v>
      </c>
    </row>
    <row r="7744" spans="1:4" x14ac:dyDescent="0.2">
      <c r="A7744" t="s">
        <v>9223</v>
      </c>
      <c r="B7744" s="2">
        <v>43165</v>
      </c>
      <c r="C7744" t="s">
        <v>2152</v>
      </c>
      <c r="D7744" t="s">
        <v>1810</v>
      </c>
    </row>
    <row r="7745" spans="1:4" x14ac:dyDescent="0.2">
      <c r="A7745" t="s">
        <v>9224</v>
      </c>
      <c r="B7745" s="2">
        <v>42921</v>
      </c>
      <c r="C7745" t="s">
        <v>1865</v>
      </c>
      <c r="D7745" t="s">
        <v>1807</v>
      </c>
    </row>
    <row r="7746" spans="1:4" x14ac:dyDescent="0.2">
      <c r="A7746" t="s">
        <v>9225</v>
      </c>
      <c r="B7746" s="2">
        <v>43205</v>
      </c>
      <c r="C7746" t="s">
        <v>2620</v>
      </c>
      <c r="D7746" t="s">
        <v>1807</v>
      </c>
    </row>
    <row r="7747" spans="1:4" x14ac:dyDescent="0.2">
      <c r="A7747" t="s">
        <v>9226</v>
      </c>
      <c r="B7747" s="2">
        <v>43189</v>
      </c>
      <c r="C7747" t="s">
        <v>1867</v>
      </c>
      <c r="D7747" t="s">
        <v>1810</v>
      </c>
    </row>
    <row r="7748" spans="1:4" x14ac:dyDescent="0.2">
      <c r="A7748" t="s">
        <v>9227</v>
      </c>
      <c r="B7748" s="2">
        <v>43172</v>
      </c>
      <c r="C7748" t="s">
        <v>1867</v>
      </c>
      <c r="D7748" t="s">
        <v>1810</v>
      </c>
    </row>
    <row r="7749" spans="1:4" x14ac:dyDescent="0.2">
      <c r="A7749" t="s">
        <v>9228</v>
      </c>
      <c r="B7749" s="2">
        <v>43010</v>
      </c>
      <c r="C7749" t="s">
        <v>1859</v>
      </c>
      <c r="D7749" t="s">
        <v>1810</v>
      </c>
    </row>
    <row r="7750" spans="1:4" x14ac:dyDescent="0.2">
      <c r="A7750" t="s">
        <v>9229</v>
      </c>
      <c r="B7750" s="2">
        <v>43230</v>
      </c>
      <c r="C7750" t="s">
        <v>2901</v>
      </c>
      <c r="D7750" t="s">
        <v>1807</v>
      </c>
    </row>
    <row r="7751" spans="1:4" x14ac:dyDescent="0.2">
      <c r="A7751" t="s">
        <v>9230</v>
      </c>
      <c r="B7751" s="2">
        <v>43185</v>
      </c>
      <c r="C7751" t="s">
        <v>2048</v>
      </c>
      <c r="D7751" t="s">
        <v>1807</v>
      </c>
    </row>
    <row r="7752" spans="1:4" x14ac:dyDescent="0.2">
      <c r="A7752" t="s">
        <v>9231</v>
      </c>
      <c r="B7752" s="2">
        <v>43000</v>
      </c>
      <c r="C7752" t="s">
        <v>2276</v>
      </c>
      <c r="D7752" t="s">
        <v>1813</v>
      </c>
    </row>
    <row r="7753" spans="1:4" x14ac:dyDescent="0.2">
      <c r="A7753" t="s">
        <v>9232</v>
      </c>
      <c r="B7753" s="2">
        <v>43234</v>
      </c>
      <c r="C7753" t="s">
        <v>2407</v>
      </c>
      <c r="D7753" t="s">
        <v>1829</v>
      </c>
    </row>
    <row r="7754" spans="1:4" x14ac:dyDescent="0.2">
      <c r="A7754" t="s">
        <v>1748</v>
      </c>
      <c r="B7754" s="2">
        <v>43148</v>
      </c>
      <c r="C7754" t="s">
        <v>1816</v>
      </c>
      <c r="D7754" t="s">
        <v>1807</v>
      </c>
    </row>
    <row r="7755" spans="1:4" x14ac:dyDescent="0.2">
      <c r="A7755" t="s">
        <v>9233</v>
      </c>
      <c r="B7755" s="2">
        <v>43199</v>
      </c>
      <c r="C7755" t="s">
        <v>2617</v>
      </c>
      <c r="D7755" t="s">
        <v>1813</v>
      </c>
    </row>
    <row r="7756" spans="1:4" x14ac:dyDescent="0.2">
      <c r="A7756" t="s">
        <v>1750</v>
      </c>
      <c r="B7756" s="2">
        <v>43224</v>
      </c>
      <c r="C7756" t="s">
        <v>1816</v>
      </c>
      <c r="D7756" t="s">
        <v>1810</v>
      </c>
    </row>
    <row r="7757" spans="1:4" x14ac:dyDescent="0.2">
      <c r="A7757" t="s">
        <v>9234</v>
      </c>
      <c r="B7757" s="2">
        <v>43143</v>
      </c>
      <c r="C7757" t="s">
        <v>1905</v>
      </c>
      <c r="D7757" t="s">
        <v>1829</v>
      </c>
    </row>
    <row r="7758" spans="1:4" x14ac:dyDescent="0.2">
      <c r="A7758" t="s">
        <v>9235</v>
      </c>
      <c r="B7758" s="2">
        <v>43201</v>
      </c>
      <c r="C7758" t="s">
        <v>1816</v>
      </c>
      <c r="D7758" t="s">
        <v>1810</v>
      </c>
    </row>
    <row r="7759" spans="1:4" x14ac:dyDescent="0.2">
      <c r="A7759" t="s">
        <v>9236</v>
      </c>
      <c r="B7759" s="2">
        <v>43115</v>
      </c>
      <c r="C7759" t="s">
        <v>1825</v>
      </c>
      <c r="D7759" t="s">
        <v>1810</v>
      </c>
    </row>
    <row r="7760" spans="1:4" x14ac:dyDescent="0.2">
      <c r="A7760" t="s">
        <v>9237</v>
      </c>
      <c r="B7760" s="2">
        <v>43160</v>
      </c>
      <c r="C7760" t="s">
        <v>1907</v>
      </c>
      <c r="D7760" t="s">
        <v>1804</v>
      </c>
    </row>
    <row r="7761" spans="1:4" x14ac:dyDescent="0.2">
      <c r="A7761" t="s">
        <v>9238</v>
      </c>
      <c r="B7761" s="2">
        <v>43207</v>
      </c>
      <c r="C7761" t="s">
        <v>1863</v>
      </c>
      <c r="D7761" t="s">
        <v>1804</v>
      </c>
    </row>
    <row r="7762" spans="1:4" x14ac:dyDescent="0.2">
      <c r="A7762" t="s">
        <v>9239</v>
      </c>
      <c r="B7762" s="2">
        <v>43142</v>
      </c>
      <c r="C7762" t="s">
        <v>9240</v>
      </c>
      <c r="D7762" t="s">
        <v>1910</v>
      </c>
    </row>
    <row r="7763" spans="1:4" x14ac:dyDescent="0.2">
      <c r="A7763" t="s">
        <v>9241</v>
      </c>
      <c r="B7763" s="2">
        <v>43052</v>
      </c>
      <c r="C7763" t="s">
        <v>2503</v>
      </c>
      <c r="D7763" t="s">
        <v>1813</v>
      </c>
    </row>
    <row r="7764" spans="1:4" x14ac:dyDescent="0.2">
      <c r="A7764" t="s">
        <v>9242</v>
      </c>
      <c r="B7764" s="2">
        <v>43243</v>
      </c>
      <c r="C7764" t="s">
        <v>2831</v>
      </c>
      <c r="D7764" t="s">
        <v>1807</v>
      </c>
    </row>
    <row r="7765" spans="1:4" x14ac:dyDescent="0.2">
      <c r="A7765" t="s">
        <v>9243</v>
      </c>
      <c r="B7765" s="2">
        <v>43248</v>
      </c>
      <c r="C7765" t="s">
        <v>1930</v>
      </c>
      <c r="D7765" t="s">
        <v>1807</v>
      </c>
    </row>
    <row r="7766" spans="1:4" x14ac:dyDescent="0.2">
      <c r="A7766" t="s">
        <v>9244</v>
      </c>
      <c r="B7766" s="2">
        <v>43144</v>
      </c>
      <c r="C7766" t="s">
        <v>1816</v>
      </c>
      <c r="D7766" t="s">
        <v>1807</v>
      </c>
    </row>
    <row r="7767" spans="1:4" x14ac:dyDescent="0.2">
      <c r="A7767" t="s">
        <v>9245</v>
      </c>
      <c r="B7767" s="2">
        <v>43154</v>
      </c>
      <c r="C7767" t="s">
        <v>2048</v>
      </c>
      <c r="D7767" t="s">
        <v>1810</v>
      </c>
    </row>
    <row r="7768" spans="1:4" x14ac:dyDescent="0.2">
      <c r="A7768" t="s">
        <v>9246</v>
      </c>
      <c r="B7768" s="2">
        <v>43145</v>
      </c>
      <c r="C7768" t="s">
        <v>1921</v>
      </c>
      <c r="D7768" t="s">
        <v>1810</v>
      </c>
    </row>
    <row r="7769" spans="1:4" x14ac:dyDescent="0.2">
      <c r="A7769" t="s">
        <v>9247</v>
      </c>
      <c r="B7769" s="2">
        <v>43171</v>
      </c>
      <c r="C7769" t="s">
        <v>1825</v>
      </c>
      <c r="D7769" t="s">
        <v>1810</v>
      </c>
    </row>
    <row r="7770" spans="1:4" x14ac:dyDescent="0.2">
      <c r="A7770" t="s">
        <v>9248</v>
      </c>
      <c r="B7770" s="2">
        <v>43243</v>
      </c>
      <c r="C7770" t="s">
        <v>1809</v>
      </c>
      <c r="D7770" t="s">
        <v>1849</v>
      </c>
    </row>
    <row r="7771" spans="1:4" x14ac:dyDescent="0.2">
      <c r="A7771" t="s">
        <v>9249</v>
      </c>
      <c r="B7771" s="2">
        <v>43045</v>
      </c>
      <c r="C7771" t="s">
        <v>1803</v>
      </c>
      <c r="D7771" t="s">
        <v>1804</v>
      </c>
    </row>
    <row r="7772" spans="1:4" x14ac:dyDescent="0.2">
      <c r="A7772" t="s">
        <v>9250</v>
      </c>
      <c r="B7772" s="2">
        <v>43158</v>
      </c>
      <c r="C7772" t="s">
        <v>2048</v>
      </c>
      <c r="D7772" t="s">
        <v>1804</v>
      </c>
    </row>
    <row r="7773" spans="1:4" x14ac:dyDescent="0.2">
      <c r="A7773" t="s">
        <v>9251</v>
      </c>
      <c r="B7773" s="2">
        <v>43102</v>
      </c>
      <c r="C7773" t="s">
        <v>1836</v>
      </c>
      <c r="D7773" t="s">
        <v>1031</v>
      </c>
    </row>
    <row r="7774" spans="1:4" x14ac:dyDescent="0.2">
      <c r="A7774" t="s">
        <v>9252</v>
      </c>
      <c r="B7774" s="2">
        <v>43117</v>
      </c>
      <c r="C7774" t="s">
        <v>1803</v>
      </c>
      <c r="D7774" t="s">
        <v>1804</v>
      </c>
    </row>
    <row r="7775" spans="1:4" x14ac:dyDescent="0.2">
      <c r="A7775" t="s">
        <v>9253</v>
      </c>
      <c r="B7775" s="2">
        <v>43132</v>
      </c>
      <c r="C7775" t="s">
        <v>1803</v>
      </c>
      <c r="D7775" t="s">
        <v>1804</v>
      </c>
    </row>
    <row r="7776" spans="1:4" x14ac:dyDescent="0.2">
      <c r="A7776" t="s">
        <v>9254</v>
      </c>
      <c r="B7776" s="2">
        <v>43185</v>
      </c>
      <c r="C7776" t="s">
        <v>1905</v>
      </c>
      <c r="D7776" t="s">
        <v>1810</v>
      </c>
    </row>
    <row r="7777" spans="1:4" x14ac:dyDescent="0.2">
      <c r="A7777" t="s">
        <v>9255</v>
      </c>
      <c r="B7777" s="2">
        <v>43162</v>
      </c>
      <c r="C7777" t="s">
        <v>1930</v>
      </c>
      <c r="D7777" t="s">
        <v>1807</v>
      </c>
    </row>
    <row r="7778" spans="1:4" x14ac:dyDescent="0.2">
      <c r="A7778" t="s">
        <v>9256</v>
      </c>
      <c r="B7778" s="2">
        <v>43129</v>
      </c>
      <c r="C7778" t="s">
        <v>1803</v>
      </c>
      <c r="D7778" t="s">
        <v>1804</v>
      </c>
    </row>
    <row r="7779" spans="1:4" x14ac:dyDescent="0.2">
      <c r="A7779" t="s">
        <v>9257</v>
      </c>
      <c r="B7779" s="2">
        <v>43129</v>
      </c>
      <c r="C7779" t="s">
        <v>1816</v>
      </c>
      <c r="D7779" t="s">
        <v>1810</v>
      </c>
    </row>
    <row r="7780" spans="1:4" x14ac:dyDescent="0.2">
      <c r="A7780" t="s">
        <v>9258</v>
      </c>
      <c r="B7780" s="2">
        <v>43123</v>
      </c>
      <c r="C7780" t="s">
        <v>1816</v>
      </c>
      <c r="D7780" t="s">
        <v>1810</v>
      </c>
    </row>
    <row r="7781" spans="1:4" x14ac:dyDescent="0.2">
      <c r="A7781" t="s">
        <v>9259</v>
      </c>
      <c r="B7781" s="2">
        <v>43140</v>
      </c>
      <c r="C7781" t="s">
        <v>1803</v>
      </c>
      <c r="D7781" t="s">
        <v>1031</v>
      </c>
    </row>
    <row r="7782" spans="1:4" x14ac:dyDescent="0.2">
      <c r="A7782" t="s">
        <v>9260</v>
      </c>
      <c r="B7782" s="2">
        <v>43226</v>
      </c>
      <c r="C7782" t="s">
        <v>1863</v>
      </c>
      <c r="D7782" t="s">
        <v>1804</v>
      </c>
    </row>
    <row r="7783" spans="1:4" x14ac:dyDescent="0.2">
      <c r="A7783" t="s">
        <v>9261</v>
      </c>
      <c r="B7783" s="2">
        <v>43046</v>
      </c>
      <c r="C7783" t="s">
        <v>3515</v>
      </c>
      <c r="D7783" t="s">
        <v>1804</v>
      </c>
    </row>
    <row r="7784" spans="1:4" x14ac:dyDescent="0.2">
      <c r="A7784" t="s">
        <v>9262</v>
      </c>
      <c r="B7784" s="2">
        <v>43209</v>
      </c>
      <c r="C7784" t="s">
        <v>1859</v>
      </c>
      <c r="D7784" t="s">
        <v>1810</v>
      </c>
    </row>
    <row r="7785" spans="1:4" x14ac:dyDescent="0.2">
      <c r="A7785" t="s">
        <v>9263</v>
      </c>
      <c r="B7785" s="2">
        <v>43247</v>
      </c>
      <c r="C7785" t="s">
        <v>1836</v>
      </c>
      <c r="D7785" t="s">
        <v>1810</v>
      </c>
    </row>
    <row r="7786" spans="1:4" x14ac:dyDescent="0.2">
      <c r="A7786" t="s">
        <v>9264</v>
      </c>
      <c r="B7786" s="2">
        <v>43046</v>
      </c>
      <c r="C7786" t="s">
        <v>2196</v>
      </c>
      <c r="D7786" t="s">
        <v>1840</v>
      </c>
    </row>
    <row r="7787" spans="1:4" x14ac:dyDescent="0.2">
      <c r="A7787" t="s">
        <v>9265</v>
      </c>
      <c r="B7787" s="2">
        <v>43240</v>
      </c>
      <c r="C7787" t="s">
        <v>1816</v>
      </c>
      <c r="D7787" t="s">
        <v>1840</v>
      </c>
    </row>
    <row r="7788" spans="1:4" x14ac:dyDescent="0.2">
      <c r="A7788" t="s">
        <v>9266</v>
      </c>
      <c r="B7788" s="2">
        <v>43201</v>
      </c>
      <c r="C7788" t="s">
        <v>1863</v>
      </c>
      <c r="D7788" t="s">
        <v>1804</v>
      </c>
    </row>
    <row r="7789" spans="1:4" x14ac:dyDescent="0.2">
      <c r="A7789" t="s">
        <v>9267</v>
      </c>
      <c r="B7789" s="2">
        <v>43217</v>
      </c>
      <c r="C7789" t="s">
        <v>1909</v>
      </c>
      <c r="D7789" t="s">
        <v>1813</v>
      </c>
    </row>
    <row r="7790" spans="1:4" x14ac:dyDescent="0.2">
      <c r="A7790" t="s">
        <v>9268</v>
      </c>
      <c r="B7790" s="2">
        <v>43212</v>
      </c>
      <c r="C7790" t="s">
        <v>2115</v>
      </c>
      <c r="D7790" t="s">
        <v>1804</v>
      </c>
    </row>
    <row r="7791" spans="1:4" x14ac:dyDescent="0.2">
      <c r="A7791" t="s">
        <v>1752</v>
      </c>
      <c r="B7791" s="2">
        <v>43128</v>
      </c>
      <c r="C7791" t="s">
        <v>2242</v>
      </c>
      <c r="D7791" t="s">
        <v>1810</v>
      </c>
    </row>
    <row r="7792" spans="1:4" x14ac:dyDescent="0.2">
      <c r="A7792" t="s">
        <v>9269</v>
      </c>
      <c r="B7792" s="2">
        <v>43151</v>
      </c>
      <c r="C7792" t="s">
        <v>2291</v>
      </c>
      <c r="D7792" t="s">
        <v>1031</v>
      </c>
    </row>
    <row r="7793" spans="1:4" x14ac:dyDescent="0.2">
      <c r="A7793" t="s">
        <v>9270</v>
      </c>
      <c r="B7793" s="2">
        <v>43172</v>
      </c>
      <c r="C7793" t="s">
        <v>1836</v>
      </c>
      <c r="D7793" t="s">
        <v>1031</v>
      </c>
    </row>
    <row r="7794" spans="1:4" x14ac:dyDescent="0.2">
      <c r="A7794" t="s">
        <v>9271</v>
      </c>
      <c r="B7794" s="2">
        <v>43138</v>
      </c>
      <c r="C7794" t="s">
        <v>1836</v>
      </c>
      <c r="D7794" t="s">
        <v>1807</v>
      </c>
    </row>
    <row r="7795" spans="1:4" x14ac:dyDescent="0.2">
      <c r="A7795" t="s">
        <v>9272</v>
      </c>
      <c r="B7795" s="2">
        <v>42971</v>
      </c>
      <c r="C7795" t="s">
        <v>1867</v>
      </c>
      <c r="D7795" t="s">
        <v>1810</v>
      </c>
    </row>
    <row r="7796" spans="1:4" x14ac:dyDescent="0.2">
      <c r="A7796" t="s">
        <v>9273</v>
      </c>
      <c r="B7796" s="2">
        <v>43014</v>
      </c>
      <c r="C7796" t="s">
        <v>1809</v>
      </c>
      <c r="D7796" t="s">
        <v>1807</v>
      </c>
    </row>
    <row r="7797" spans="1:4" x14ac:dyDescent="0.2">
      <c r="A7797" t="s">
        <v>9274</v>
      </c>
      <c r="B7797" s="2">
        <v>43187</v>
      </c>
      <c r="C7797" t="s">
        <v>1863</v>
      </c>
      <c r="D7797" t="s">
        <v>1804</v>
      </c>
    </row>
    <row r="7798" spans="1:4" x14ac:dyDescent="0.2">
      <c r="A7798" t="s">
        <v>9275</v>
      </c>
      <c r="B7798" s="2">
        <v>43246</v>
      </c>
      <c r="C7798" t="s">
        <v>2831</v>
      </c>
      <c r="D7798" t="s">
        <v>1807</v>
      </c>
    </row>
    <row r="7799" spans="1:4" x14ac:dyDescent="0.2">
      <c r="A7799" t="s">
        <v>9276</v>
      </c>
      <c r="B7799" s="2">
        <v>43158</v>
      </c>
      <c r="C7799" t="s">
        <v>1836</v>
      </c>
      <c r="D7799" t="s">
        <v>1031</v>
      </c>
    </row>
    <row r="7800" spans="1:4" x14ac:dyDescent="0.2">
      <c r="A7800" t="s">
        <v>9277</v>
      </c>
      <c r="B7800" s="2">
        <v>43241</v>
      </c>
      <c r="C7800" t="s">
        <v>1863</v>
      </c>
      <c r="D7800" t="s">
        <v>1031</v>
      </c>
    </row>
    <row r="7801" spans="1:4" x14ac:dyDescent="0.2">
      <c r="A7801" t="s">
        <v>9278</v>
      </c>
      <c r="B7801" s="2">
        <v>43138</v>
      </c>
      <c r="C7801" t="s">
        <v>3415</v>
      </c>
      <c r="D7801" t="s">
        <v>1807</v>
      </c>
    </row>
    <row r="7802" spans="1:4" x14ac:dyDescent="0.2">
      <c r="A7802" t="s">
        <v>9279</v>
      </c>
      <c r="B7802" s="2">
        <v>43201</v>
      </c>
      <c r="C7802" t="s">
        <v>1836</v>
      </c>
      <c r="D7802" t="s">
        <v>1031</v>
      </c>
    </row>
    <row r="7803" spans="1:4" x14ac:dyDescent="0.2">
      <c r="A7803" t="s">
        <v>9280</v>
      </c>
      <c r="B7803" s="2">
        <v>43240</v>
      </c>
      <c r="C7803" t="s">
        <v>1825</v>
      </c>
      <c r="D7803" t="s">
        <v>1807</v>
      </c>
    </row>
    <row r="7804" spans="1:4" x14ac:dyDescent="0.2">
      <c r="A7804" t="s">
        <v>9281</v>
      </c>
      <c r="B7804" s="2">
        <v>43216</v>
      </c>
      <c r="C7804" t="s">
        <v>2133</v>
      </c>
      <c r="D7804" t="s">
        <v>1810</v>
      </c>
    </row>
    <row r="7805" spans="1:4" x14ac:dyDescent="0.2">
      <c r="A7805" t="s">
        <v>9282</v>
      </c>
      <c r="B7805" s="2">
        <v>43122</v>
      </c>
      <c r="C7805" t="s">
        <v>1814</v>
      </c>
      <c r="D7805" t="s">
        <v>1840</v>
      </c>
    </row>
    <row r="7806" spans="1:4" x14ac:dyDescent="0.2">
      <c r="A7806" t="s">
        <v>9283</v>
      </c>
      <c r="B7806" s="2">
        <v>43164</v>
      </c>
      <c r="C7806" t="s">
        <v>1930</v>
      </c>
      <c r="D7806" t="s">
        <v>1807</v>
      </c>
    </row>
    <row r="7807" spans="1:4" x14ac:dyDescent="0.2">
      <c r="A7807" t="s">
        <v>9284</v>
      </c>
      <c r="B7807" s="2">
        <v>43172</v>
      </c>
      <c r="C7807" t="s">
        <v>1825</v>
      </c>
      <c r="D7807" t="s">
        <v>1804</v>
      </c>
    </row>
    <row r="7808" spans="1:4" x14ac:dyDescent="0.2">
      <c r="A7808" t="s">
        <v>9285</v>
      </c>
      <c r="B7808" s="2">
        <v>42971</v>
      </c>
      <c r="C7808" t="s">
        <v>1816</v>
      </c>
      <c r="D7808" t="s">
        <v>1810</v>
      </c>
    </row>
    <row r="7809" spans="1:4" x14ac:dyDescent="0.2">
      <c r="A7809" t="s">
        <v>9286</v>
      </c>
      <c r="B7809" s="2">
        <v>43215</v>
      </c>
      <c r="C7809" t="s">
        <v>1863</v>
      </c>
      <c r="D7809" t="s">
        <v>1804</v>
      </c>
    </row>
    <row r="7810" spans="1:4" x14ac:dyDescent="0.2">
      <c r="A7810" t="s">
        <v>9287</v>
      </c>
      <c r="B7810" s="2">
        <v>43170</v>
      </c>
      <c r="C7810" t="s">
        <v>1803</v>
      </c>
      <c r="D7810" t="s">
        <v>1804</v>
      </c>
    </row>
    <row r="7811" spans="1:4" x14ac:dyDescent="0.2">
      <c r="A7811" t="s">
        <v>9288</v>
      </c>
      <c r="B7811" s="2">
        <v>43119</v>
      </c>
      <c r="C7811" t="s">
        <v>1836</v>
      </c>
      <c r="D7811" t="s">
        <v>1031</v>
      </c>
    </row>
    <row r="7812" spans="1:4" x14ac:dyDescent="0.2">
      <c r="A7812" t="s">
        <v>9289</v>
      </c>
      <c r="B7812" s="2">
        <v>43019</v>
      </c>
      <c r="C7812" t="s">
        <v>3674</v>
      </c>
      <c r="D7812" t="s">
        <v>1810</v>
      </c>
    </row>
    <row r="7813" spans="1:4" x14ac:dyDescent="0.2">
      <c r="A7813" t="s">
        <v>9290</v>
      </c>
      <c r="B7813" s="2">
        <v>43158</v>
      </c>
      <c r="C7813" t="s">
        <v>1905</v>
      </c>
      <c r="D7813" t="s">
        <v>1840</v>
      </c>
    </row>
    <row r="7814" spans="1:4" x14ac:dyDescent="0.2">
      <c r="A7814" t="s">
        <v>1754</v>
      </c>
      <c r="B7814" s="2">
        <v>43172</v>
      </c>
      <c r="C7814" t="s">
        <v>7433</v>
      </c>
      <c r="D7814" t="s">
        <v>160</v>
      </c>
    </row>
    <row r="7815" spans="1:4" x14ac:dyDescent="0.2">
      <c r="A7815" t="s">
        <v>1756</v>
      </c>
      <c r="B7815" s="2">
        <v>43104</v>
      </c>
      <c r="C7815" t="s">
        <v>1905</v>
      </c>
      <c r="D7815" t="s">
        <v>1810</v>
      </c>
    </row>
    <row r="7816" spans="1:4" x14ac:dyDescent="0.2">
      <c r="A7816" t="s">
        <v>9291</v>
      </c>
      <c r="B7816" s="2">
        <v>43192</v>
      </c>
      <c r="C7816" t="s">
        <v>1816</v>
      </c>
      <c r="D7816" t="s">
        <v>1810</v>
      </c>
    </row>
    <row r="7817" spans="1:4" x14ac:dyDescent="0.2">
      <c r="A7817" t="s">
        <v>9292</v>
      </c>
      <c r="B7817" s="2">
        <v>43137</v>
      </c>
      <c r="C7817" t="s">
        <v>2066</v>
      </c>
      <c r="D7817" t="s">
        <v>1813</v>
      </c>
    </row>
    <row r="7818" spans="1:4" x14ac:dyDescent="0.2">
      <c r="A7818" t="s">
        <v>9293</v>
      </c>
      <c r="B7818" s="2">
        <v>43221</v>
      </c>
      <c r="C7818" t="s">
        <v>1863</v>
      </c>
      <c r="D7818" t="s">
        <v>1804</v>
      </c>
    </row>
    <row r="7819" spans="1:4" x14ac:dyDescent="0.2">
      <c r="A7819" t="s">
        <v>9294</v>
      </c>
      <c r="B7819" s="2">
        <v>43104</v>
      </c>
      <c r="C7819" t="s">
        <v>1825</v>
      </c>
      <c r="D7819" t="s">
        <v>1810</v>
      </c>
    </row>
    <row r="7820" spans="1:4" x14ac:dyDescent="0.2">
      <c r="A7820" t="s">
        <v>9295</v>
      </c>
      <c r="B7820" s="2">
        <v>43041</v>
      </c>
      <c r="C7820" t="s">
        <v>1803</v>
      </c>
      <c r="D7820" t="s">
        <v>1804</v>
      </c>
    </row>
    <row r="7821" spans="1:4" x14ac:dyDescent="0.2">
      <c r="A7821" t="s">
        <v>9296</v>
      </c>
      <c r="B7821" s="2">
        <v>43245</v>
      </c>
      <c r="C7821" t="s">
        <v>1806</v>
      </c>
      <c r="D7821" t="s">
        <v>1807</v>
      </c>
    </row>
    <row r="7822" spans="1:4" x14ac:dyDescent="0.2">
      <c r="A7822" t="s">
        <v>9297</v>
      </c>
      <c r="B7822" s="2">
        <v>42935</v>
      </c>
      <c r="C7822" t="s">
        <v>1897</v>
      </c>
      <c r="D7822" t="s">
        <v>1810</v>
      </c>
    </row>
    <row r="7823" spans="1:4" x14ac:dyDescent="0.2">
      <c r="A7823" t="s">
        <v>9298</v>
      </c>
      <c r="B7823" s="2">
        <v>43233</v>
      </c>
      <c r="C7823" t="s">
        <v>1875</v>
      </c>
      <c r="D7823" t="s">
        <v>1810</v>
      </c>
    </row>
    <row r="7824" spans="1:4" x14ac:dyDescent="0.2">
      <c r="A7824" t="s">
        <v>9299</v>
      </c>
      <c r="B7824" s="2">
        <v>43223</v>
      </c>
      <c r="C7824" t="s">
        <v>1863</v>
      </c>
      <c r="D7824" t="s">
        <v>1804</v>
      </c>
    </row>
    <row r="7825" spans="1:4" x14ac:dyDescent="0.2">
      <c r="A7825" t="s">
        <v>9300</v>
      </c>
      <c r="B7825" s="2">
        <v>43130</v>
      </c>
      <c r="C7825" t="s">
        <v>6932</v>
      </c>
      <c r="D7825" t="s">
        <v>1810</v>
      </c>
    </row>
    <row r="7826" spans="1:4" x14ac:dyDescent="0.2">
      <c r="A7826" t="s">
        <v>9301</v>
      </c>
      <c r="B7826" s="2">
        <v>43242</v>
      </c>
      <c r="C7826" t="s">
        <v>9302</v>
      </c>
      <c r="D7826" t="s">
        <v>1813</v>
      </c>
    </row>
    <row r="7827" spans="1:4" x14ac:dyDescent="0.2">
      <c r="A7827" t="s">
        <v>9303</v>
      </c>
      <c r="B7827" s="2">
        <v>43197</v>
      </c>
      <c r="C7827" t="s">
        <v>2115</v>
      </c>
      <c r="D7827" t="s">
        <v>1804</v>
      </c>
    </row>
    <row r="7828" spans="1:4" x14ac:dyDescent="0.2">
      <c r="A7828" t="s">
        <v>1758</v>
      </c>
      <c r="B7828" s="2">
        <v>43194</v>
      </c>
      <c r="C7828" t="s">
        <v>1825</v>
      </c>
      <c r="D7828" t="s">
        <v>1807</v>
      </c>
    </row>
    <row r="7829" spans="1:4" x14ac:dyDescent="0.2">
      <c r="A7829" t="s">
        <v>9304</v>
      </c>
      <c r="B7829" s="2">
        <v>43173</v>
      </c>
      <c r="C7829" t="s">
        <v>1809</v>
      </c>
      <c r="D7829" t="s">
        <v>1810</v>
      </c>
    </row>
    <row r="7830" spans="1:4" x14ac:dyDescent="0.2">
      <c r="A7830" t="s">
        <v>9305</v>
      </c>
      <c r="B7830" s="2">
        <v>43227</v>
      </c>
      <c r="C7830" t="s">
        <v>1857</v>
      </c>
      <c r="D7830" t="s">
        <v>1807</v>
      </c>
    </row>
    <row r="7831" spans="1:4" x14ac:dyDescent="0.2">
      <c r="A7831" t="s">
        <v>9306</v>
      </c>
      <c r="B7831" s="2">
        <v>43201</v>
      </c>
      <c r="C7831" t="s">
        <v>1867</v>
      </c>
      <c r="D7831" t="s">
        <v>1810</v>
      </c>
    </row>
    <row r="7832" spans="1:4" x14ac:dyDescent="0.2">
      <c r="A7832" t="s">
        <v>9307</v>
      </c>
      <c r="B7832" s="2">
        <v>43153</v>
      </c>
      <c r="C7832" t="s">
        <v>1905</v>
      </c>
      <c r="D7832" t="s">
        <v>1804</v>
      </c>
    </row>
    <row r="7833" spans="1:4" x14ac:dyDescent="0.2">
      <c r="A7833" t="s">
        <v>9308</v>
      </c>
      <c r="B7833" s="2">
        <v>43017</v>
      </c>
      <c r="C7833" t="s">
        <v>1939</v>
      </c>
      <c r="D7833" t="s">
        <v>1807</v>
      </c>
    </row>
    <row r="7834" spans="1:4" x14ac:dyDescent="0.2">
      <c r="A7834" t="s">
        <v>9309</v>
      </c>
      <c r="B7834" s="2">
        <v>43224</v>
      </c>
      <c r="C7834" t="s">
        <v>1915</v>
      </c>
      <c r="D7834" t="s">
        <v>1807</v>
      </c>
    </row>
    <row r="7835" spans="1:4" x14ac:dyDescent="0.2">
      <c r="A7835" t="s">
        <v>9310</v>
      </c>
      <c r="B7835" s="2">
        <v>43223</v>
      </c>
      <c r="C7835" t="s">
        <v>1930</v>
      </c>
      <c r="D7835" t="s">
        <v>1807</v>
      </c>
    </row>
    <row r="7836" spans="1:4" x14ac:dyDescent="0.2">
      <c r="A7836" t="s">
        <v>9311</v>
      </c>
      <c r="B7836" s="2">
        <v>43204</v>
      </c>
      <c r="C7836" t="s">
        <v>1863</v>
      </c>
      <c r="D7836" t="s">
        <v>1804</v>
      </c>
    </row>
    <row r="7837" spans="1:4" x14ac:dyDescent="0.2">
      <c r="A7837" t="s">
        <v>9312</v>
      </c>
      <c r="B7837" s="2">
        <v>43204</v>
      </c>
      <c r="C7837" t="s">
        <v>1905</v>
      </c>
      <c r="D7837" t="s">
        <v>1807</v>
      </c>
    </row>
    <row r="7838" spans="1:4" x14ac:dyDescent="0.2">
      <c r="A7838" t="s">
        <v>9313</v>
      </c>
      <c r="B7838" s="2">
        <v>43158</v>
      </c>
      <c r="C7838" t="s">
        <v>1816</v>
      </c>
      <c r="D7838" t="s">
        <v>1807</v>
      </c>
    </row>
    <row r="7839" spans="1:4" x14ac:dyDescent="0.2">
      <c r="A7839" t="s">
        <v>9314</v>
      </c>
      <c r="B7839" s="2">
        <v>43192</v>
      </c>
      <c r="C7839" t="s">
        <v>1905</v>
      </c>
      <c r="D7839" t="s">
        <v>1849</v>
      </c>
    </row>
    <row r="7840" spans="1:4" x14ac:dyDescent="0.2">
      <c r="A7840" t="s">
        <v>9315</v>
      </c>
      <c r="B7840" s="2">
        <v>42941</v>
      </c>
      <c r="C7840" t="s">
        <v>1987</v>
      </c>
      <c r="D7840" t="s">
        <v>1807</v>
      </c>
    </row>
    <row r="7841" spans="1:4" x14ac:dyDescent="0.2">
      <c r="A7841" t="s">
        <v>9316</v>
      </c>
      <c r="B7841" s="2">
        <v>43245</v>
      </c>
      <c r="C7841" t="s">
        <v>1836</v>
      </c>
      <c r="D7841" t="s">
        <v>1031</v>
      </c>
    </row>
    <row r="7842" spans="1:4" x14ac:dyDescent="0.2">
      <c r="A7842" t="s">
        <v>9317</v>
      </c>
      <c r="B7842" s="2">
        <v>43223</v>
      </c>
      <c r="C7842" t="s">
        <v>1816</v>
      </c>
      <c r="D7842" t="s">
        <v>1810</v>
      </c>
    </row>
    <row r="7843" spans="1:4" x14ac:dyDescent="0.2">
      <c r="A7843" t="s">
        <v>9318</v>
      </c>
      <c r="B7843" s="2">
        <v>43196</v>
      </c>
      <c r="C7843" t="s">
        <v>1863</v>
      </c>
      <c r="D7843" t="s">
        <v>1804</v>
      </c>
    </row>
    <row r="7844" spans="1:4" x14ac:dyDescent="0.2">
      <c r="A7844" t="s">
        <v>9319</v>
      </c>
      <c r="B7844" s="2">
        <v>43163</v>
      </c>
      <c r="C7844" t="s">
        <v>1867</v>
      </c>
      <c r="D7844" t="s">
        <v>1840</v>
      </c>
    </row>
    <row r="7845" spans="1:4" x14ac:dyDescent="0.2">
      <c r="A7845" t="s">
        <v>9320</v>
      </c>
      <c r="B7845" s="2">
        <v>43011</v>
      </c>
      <c r="C7845" t="s">
        <v>2152</v>
      </c>
      <c r="D7845" t="s">
        <v>1807</v>
      </c>
    </row>
    <row r="7846" spans="1:4" x14ac:dyDescent="0.2">
      <c r="A7846" t="s">
        <v>9321</v>
      </c>
      <c r="B7846" s="2">
        <v>43190</v>
      </c>
      <c r="C7846" t="s">
        <v>2035</v>
      </c>
      <c r="D7846" t="s">
        <v>1804</v>
      </c>
    </row>
    <row r="7847" spans="1:4" x14ac:dyDescent="0.2">
      <c r="A7847" t="s">
        <v>9322</v>
      </c>
      <c r="B7847" s="2">
        <v>43175</v>
      </c>
      <c r="C7847" t="s">
        <v>9323</v>
      </c>
      <c r="D7847" t="s">
        <v>1031</v>
      </c>
    </row>
    <row r="7848" spans="1:4" x14ac:dyDescent="0.2">
      <c r="A7848" t="s">
        <v>9324</v>
      </c>
      <c r="B7848" s="2">
        <v>43171</v>
      </c>
      <c r="C7848" t="s">
        <v>1907</v>
      </c>
      <c r="D7848" t="s">
        <v>1031</v>
      </c>
    </row>
    <row r="7849" spans="1:4" x14ac:dyDescent="0.2">
      <c r="A7849" t="s">
        <v>9325</v>
      </c>
      <c r="B7849" s="2">
        <v>43234</v>
      </c>
      <c r="C7849" t="s">
        <v>1863</v>
      </c>
      <c r="D7849" t="s">
        <v>1804</v>
      </c>
    </row>
    <row r="7850" spans="1:4" x14ac:dyDescent="0.2">
      <c r="A7850" t="s">
        <v>9326</v>
      </c>
      <c r="B7850" s="2">
        <v>43014</v>
      </c>
      <c r="C7850" t="s">
        <v>1900</v>
      </c>
      <c r="D7850" t="s">
        <v>1807</v>
      </c>
    </row>
    <row r="7851" spans="1:4" x14ac:dyDescent="0.2">
      <c r="A7851" t="s">
        <v>9327</v>
      </c>
      <c r="B7851" s="2">
        <v>43052</v>
      </c>
      <c r="C7851" t="s">
        <v>2650</v>
      </c>
      <c r="D7851" t="s">
        <v>1031</v>
      </c>
    </row>
    <row r="7852" spans="1:4" x14ac:dyDescent="0.2">
      <c r="A7852" t="s">
        <v>9328</v>
      </c>
      <c r="B7852" s="2">
        <v>43016</v>
      </c>
      <c r="C7852" t="s">
        <v>1803</v>
      </c>
      <c r="D7852" t="s">
        <v>1804</v>
      </c>
    </row>
    <row r="7853" spans="1:4" x14ac:dyDescent="0.2">
      <c r="A7853" t="s">
        <v>9329</v>
      </c>
      <c r="B7853" s="2">
        <v>43237</v>
      </c>
      <c r="C7853" t="s">
        <v>1832</v>
      </c>
      <c r="D7853" t="s">
        <v>1807</v>
      </c>
    </row>
    <row r="7854" spans="1:4" x14ac:dyDescent="0.2">
      <c r="A7854" t="s">
        <v>1760</v>
      </c>
      <c r="B7854" s="2">
        <v>43112</v>
      </c>
      <c r="C7854" t="s">
        <v>1803</v>
      </c>
      <c r="D7854" t="s">
        <v>1804</v>
      </c>
    </row>
    <row r="7855" spans="1:4" x14ac:dyDescent="0.2">
      <c r="A7855" t="s">
        <v>9330</v>
      </c>
      <c r="B7855" s="2">
        <v>43229</v>
      </c>
      <c r="C7855" t="s">
        <v>1828</v>
      </c>
      <c r="D7855" t="s">
        <v>1810</v>
      </c>
    </row>
    <row r="7856" spans="1:4" x14ac:dyDescent="0.2">
      <c r="A7856" t="s">
        <v>9331</v>
      </c>
      <c r="B7856" s="2">
        <v>43205</v>
      </c>
      <c r="C7856" t="s">
        <v>2115</v>
      </c>
      <c r="D7856" t="s">
        <v>1804</v>
      </c>
    </row>
    <row r="7857" spans="1:4" x14ac:dyDescent="0.2">
      <c r="A7857" t="s">
        <v>9332</v>
      </c>
      <c r="B7857" s="2">
        <v>43188</v>
      </c>
      <c r="C7857" t="s">
        <v>1863</v>
      </c>
      <c r="D7857" t="s">
        <v>1804</v>
      </c>
    </row>
    <row r="7858" spans="1:4" x14ac:dyDescent="0.2">
      <c r="A7858" t="s">
        <v>9333</v>
      </c>
      <c r="B7858" s="2">
        <v>43214</v>
      </c>
      <c r="C7858" t="s">
        <v>2033</v>
      </c>
      <c r="D7858" t="s">
        <v>1840</v>
      </c>
    </row>
    <row r="7859" spans="1:4" x14ac:dyDescent="0.2">
      <c r="A7859" t="s">
        <v>9334</v>
      </c>
      <c r="B7859" s="2">
        <v>43211</v>
      </c>
      <c r="C7859" t="s">
        <v>1816</v>
      </c>
      <c r="D7859" t="s">
        <v>1829</v>
      </c>
    </row>
    <row r="7860" spans="1:4" x14ac:dyDescent="0.2">
      <c r="A7860" t="s">
        <v>9335</v>
      </c>
      <c r="B7860" s="2">
        <v>43138</v>
      </c>
      <c r="C7860" t="s">
        <v>1905</v>
      </c>
      <c r="D7860" t="s">
        <v>1810</v>
      </c>
    </row>
    <row r="7861" spans="1:4" x14ac:dyDescent="0.2">
      <c r="A7861" t="s">
        <v>9336</v>
      </c>
      <c r="B7861" s="2">
        <v>43188</v>
      </c>
      <c r="C7861" t="s">
        <v>1889</v>
      </c>
      <c r="D7861" t="s">
        <v>1810</v>
      </c>
    </row>
    <row r="7862" spans="1:4" x14ac:dyDescent="0.2">
      <c r="A7862" t="s">
        <v>9337</v>
      </c>
      <c r="B7862" s="2">
        <v>42962</v>
      </c>
      <c r="C7862" t="s">
        <v>1822</v>
      </c>
      <c r="D7862" t="s">
        <v>1810</v>
      </c>
    </row>
    <row r="7863" spans="1:4" x14ac:dyDescent="0.2">
      <c r="A7863" t="s">
        <v>9338</v>
      </c>
      <c r="B7863" s="2">
        <v>42996</v>
      </c>
      <c r="C7863" t="s">
        <v>2216</v>
      </c>
      <c r="D7863" t="s">
        <v>1807</v>
      </c>
    </row>
    <row r="7864" spans="1:4" x14ac:dyDescent="0.2">
      <c r="A7864" t="s">
        <v>9339</v>
      </c>
      <c r="B7864" s="2">
        <v>42941</v>
      </c>
      <c r="C7864" t="s">
        <v>1843</v>
      </c>
      <c r="D7864" t="s">
        <v>1807</v>
      </c>
    </row>
    <row r="7865" spans="1:4" x14ac:dyDescent="0.2">
      <c r="A7865" t="s">
        <v>1762</v>
      </c>
      <c r="B7865" s="2">
        <v>43195</v>
      </c>
      <c r="C7865" t="s">
        <v>1836</v>
      </c>
      <c r="D7865" t="s">
        <v>1031</v>
      </c>
    </row>
    <row r="7866" spans="1:4" x14ac:dyDescent="0.2">
      <c r="A7866" t="s">
        <v>9340</v>
      </c>
      <c r="B7866" s="2">
        <v>43122</v>
      </c>
      <c r="C7866" t="s">
        <v>1885</v>
      </c>
      <c r="D7866" t="s">
        <v>1807</v>
      </c>
    </row>
    <row r="7867" spans="1:4" x14ac:dyDescent="0.2">
      <c r="A7867" t="s">
        <v>9341</v>
      </c>
      <c r="B7867" s="2">
        <v>43195</v>
      </c>
      <c r="C7867" t="s">
        <v>1875</v>
      </c>
      <c r="D7867" t="s">
        <v>1810</v>
      </c>
    </row>
    <row r="7868" spans="1:4" x14ac:dyDescent="0.2">
      <c r="A7868" t="s">
        <v>9342</v>
      </c>
      <c r="B7868" s="2">
        <v>43175</v>
      </c>
      <c r="C7868" t="s">
        <v>1905</v>
      </c>
      <c r="D7868" t="s">
        <v>1810</v>
      </c>
    </row>
    <row r="7869" spans="1:4" x14ac:dyDescent="0.2">
      <c r="A7869" t="s">
        <v>9343</v>
      </c>
      <c r="B7869" s="2">
        <v>43020</v>
      </c>
      <c r="C7869" t="s">
        <v>1803</v>
      </c>
      <c r="D7869" t="s">
        <v>1804</v>
      </c>
    </row>
    <row r="7870" spans="1:4" x14ac:dyDescent="0.2">
      <c r="A7870" t="s">
        <v>9344</v>
      </c>
      <c r="B7870" s="2">
        <v>43157</v>
      </c>
      <c r="C7870" t="s">
        <v>2242</v>
      </c>
      <c r="D7870" t="s">
        <v>1840</v>
      </c>
    </row>
    <row r="7871" spans="1:4" x14ac:dyDescent="0.2">
      <c r="A7871" t="s">
        <v>9345</v>
      </c>
      <c r="B7871" s="2">
        <v>43094</v>
      </c>
      <c r="C7871" t="s">
        <v>1816</v>
      </c>
      <c r="D7871" t="s">
        <v>1810</v>
      </c>
    </row>
    <row r="7872" spans="1:4" x14ac:dyDescent="0.2">
      <c r="A7872" t="s">
        <v>9346</v>
      </c>
      <c r="B7872" s="2">
        <v>43213</v>
      </c>
      <c r="C7872" t="s">
        <v>1998</v>
      </c>
      <c r="D7872" t="s">
        <v>1807</v>
      </c>
    </row>
    <row r="7873" spans="1:4" x14ac:dyDescent="0.2">
      <c r="A7873" t="s">
        <v>9347</v>
      </c>
      <c r="B7873" s="2">
        <v>43192</v>
      </c>
      <c r="C7873" t="s">
        <v>1816</v>
      </c>
      <c r="D7873" t="s">
        <v>1810</v>
      </c>
    </row>
    <row r="7874" spans="1:4" x14ac:dyDescent="0.2">
      <c r="A7874" t="s">
        <v>9348</v>
      </c>
      <c r="B7874" s="2">
        <v>43070</v>
      </c>
      <c r="C7874" t="s">
        <v>1939</v>
      </c>
      <c r="D7874" t="s">
        <v>1810</v>
      </c>
    </row>
    <row r="7875" spans="1:4" x14ac:dyDescent="0.2">
      <c r="A7875" t="s">
        <v>9349</v>
      </c>
      <c r="B7875" s="2">
        <v>43179</v>
      </c>
      <c r="C7875" t="s">
        <v>2048</v>
      </c>
      <c r="D7875" t="s">
        <v>1807</v>
      </c>
    </row>
    <row r="7876" spans="1:4" x14ac:dyDescent="0.2">
      <c r="A7876" t="s">
        <v>9350</v>
      </c>
      <c r="B7876" s="2">
        <v>43105</v>
      </c>
      <c r="C7876" t="s">
        <v>1907</v>
      </c>
      <c r="D7876" t="s">
        <v>1810</v>
      </c>
    </row>
    <row r="7877" spans="1:4" x14ac:dyDescent="0.2">
      <c r="A7877" t="s">
        <v>9351</v>
      </c>
      <c r="B7877" s="2">
        <v>43069</v>
      </c>
      <c r="C7877" t="s">
        <v>3515</v>
      </c>
      <c r="D7877" t="s">
        <v>1804</v>
      </c>
    </row>
    <row r="7878" spans="1:4" x14ac:dyDescent="0.2">
      <c r="A7878" t="s">
        <v>9352</v>
      </c>
      <c r="B7878" s="2">
        <v>43146</v>
      </c>
      <c r="C7878" t="s">
        <v>1816</v>
      </c>
      <c r="D7878" t="s">
        <v>1840</v>
      </c>
    </row>
    <row r="7879" spans="1:4" x14ac:dyDescent="0.2">
      <c r="A7879" t="s">
        <v>9353</v>
      </c>
      <c r="B7879" s="2">
        <v>43247</v>
      </c>
      <c r="C7879" t="s">
        <v>1816</v>
      </c>
      <c r="D7879" t="s">
        <v>1810</v>
      </c>
    </row>
    <row r="7880" spans="1:4" x14ac:dyDescent="0.2">
      <c r="A7880" t="s">
        <v>9354</v>
      </c>
      <c r="B7880" s="2">
        <v>43195</v>
      </c>
      <c r="C7880" t="s">
        <v>1832</v>
      </c>
      <c r="D7880" t="s">
        <v>1796</v>
      </c>
    </row>
    <row r="7881" spans="1:4" x14ac:dyDescent="0.2">
      <c r="A7881" t="s">
        <v>9355</v>
      </c>
      <c r="B7881" s="2">
        <v>43236</v>
      </c>
      <c r="C7881" t="s">
        <v>1867</v>
      </c>
      <c r="D7881" t="s">
        <v>1810</v>
      </c>
    </row>
    <row r="7882" spans="1:4" x14ac:dyDescent="0.2">
      <c r="A7882" t="s">
        <v>9356</v>
      </c>
      <c r="B7882" s="2">
        <v>42983</v>
      </c>
      <c r="C7882" t="s">
        <v>1894</v>
      </c>
      <c r="D7882" t="s">
        <v>1804</v>
      </c>
    </row>
    <row r="7883" spans="1:4" x14ac:dyDescent="0.2">
      <c r="A7883" t="s">
        <v>9357</v>
      </c>
      <c r="B7883" s="2">
        <v>43199</v>
      </c>
      <c r="C7883" t="s">
        <v>1863</v>
      </c>
      <c r="D7883" t="s">
        <v>1804</v>
      </c>
    </row>
    <row r="7884" spans="1:4" x14ac:dyDescent="0.2">
      <c r="A7884" t="s">
        <v>9358</v>
      </c>
      <c r="B7884" s="2">
        <v>43118</v>
      </c>
      <c r="C7884" t="s">
        <v>5395</v>
      </c>
      <c r="D7884" t="s">
        <v>1810</v>
      </c>
    </row>
    <row r="7885" spans="1:4" x14ac:dyDescent="0.2">
      <c r="A7885" t="s">
        <v>9359</v>
      </c>
      <c r="B7885" s="2">
        <v>43015</v>
      </c>
      <c r="C7885" t="s">
        <v>1803</v>
      </c>
      <c r="D7885" t="s">
        <v>1804</v>
      </c>
    </row>
    <row r="7886" spans="1:4" x14ac:dyDescent="0.2">
      <c r="A7886" t="s">
        <v>9360</v>
      </c>
      <c r="B7886" s="2">
        <v>43222</v>
      </c>
      <c r="C7886" t="s">
        <v>3800</v>
      </c>
      <c r="D7886" t="s">
        <v>1810</v>
      </c>
    </row>
    <row r="7887" spans="1:4" x14ac:dyDescent="0.2">
      <c r="A7887" t="s">
        <v>9361</v>
      </c>
      <c r="B7887" s="2">
        <v>43195</v>
      </c>
      <c r="C7887" t="s">
        <v>1905</v>
      </c>
      <c r="D7887" t="s">
        <v>1829</v>
      </c>
    </row>
    <row r="7888" spans="1:4" x14ac:dyDescent="0.2">
      <c r="A7888" t="s">
        <v>9362</v>
      </c>
      <c r="B7888" s="2">
        <v>43120</v>
      </c>
      <c r="C7888" t="s">
        <v>1825</v>
      </c>
      <c r="D7888" t="s">
        <v>1840</v>
      </c>
    </row>
    <row r="7889" spans="1:4" x14ac:dyDescent="0.2">
      <c r="A7889" t="s">
        <v>9363</v>
      </c>
      <c r="B7889" s="2">
        <v>42962</v>
      </c>
      <c r="C7889" t="s">
        <v>1894</v>
      </c>
      <c r="D7889" t="s">
        <v>1804</v>
      </c>
    </row>
    <row r="7890" spans="1:4" x14ac:dyDescent="0.2">
      <c r="A7890" t="s">
        <v>9364</v>
      </c>
      <c r="B7890" s="2">
        <v>42969</v>
      </c>
      <c r="C7890" t="s">
        <v>1843</v>
      </c>
      <c r="D7890" t="s">
        <v>1807</v>
      </c>
    </row>
    <row r="7891" spans="1:4" x14ac:dyDescent="0.2">
      <c r="A7891" t="s">
        <v>9365</v>
      </c>
      <c r="B7891" s="2">
        <v>43151</v>
      </c>
      <c r="C7891" t="s">
        <v>1930</v>
      </c>
      <c r="D7891" t="s">
        <v>1810</v>
      </c>
    </row>
    <row r="7892" spans="1:4" x14ac:dyDescent="0.2">
      <c r="A7892" t="s">
        <v>9366</v>
      </c>
      <c r="B7892" s="2">
        <v>43223</v>
      </c>
      <c r="C7892" t="s">
        <v>1859</v>
      </c>
      <c r="D7892" t="s">
        <v>1804</v>
      </c>
    </row>
    <row r="7893" spans="1:4" x14ac:dyDescent="0.2">
      <c r="A7893" t="s">
        <v>9367</v>
      </c>
      <c r="B7893" s="2">
        <v>43107</v>
      </c>
      <c r="C7893" t="s">
        <v>1816</v>
      </c>
      <c r="D7893" t="s">
        <v>1810</v>
      </c>
    </row>
    <row r="7894" spans="1:4" x14ac:dyDescent="0.2">
      <c r="A7894" t="s">
        <v>9368</v>
      </c>
      <c r="B7894" s="2">
        <v>43222</v>
      </c>
      <c r="C7894" t="s">
        <v>2070</v>
      </c>
      <c r="D7894" t="s">
        <v>1807</v>
      </c>
    </row>
    <row r="7895" spans="1:4" x14ac:dyDescent="0.2">
      <c r="A7895" t="s">
        <v>9369</v>
      </c>
      <c r="B7895" s="2">
        <v>43229</v>
      </c>
      <c r="C7895" t="s">
        <v>1832</v>
      </c>
      <c r="D7895" t="s">
        <v>1807</v>
      </c>
    </row>
    <row r="7896" spans="1:4" x14ac:dyDescent="0.2">
      <c r="A7896" t="s">
        <v>9370</v>
      </c>
      <c r="B7896" s="2">
        <v>43178</v>
      </c>
      <c r="C7896" t="s">
        <v>1928</v>
      </c>
      <c r="D7896" t="s">
        <v>1813</v>
      </c>
    </row>
    <row r="7897" spans="1:4" x14ac:dyDescent="0.2">
      <c r="A7897" t="s">
        <v>9371</v>
      </c>
      <c r="B7897" s="2">
        <v>43202</v>
      </c>
      <c r="C7897" t="s">
        <v>1863</v>
      </c>
      <c r="D7897" t="s">
        <v>1804</v>
      </c>
    </row>
    <row r="7898" spans="1:4" x14ac:dyDescent="0.2">
      <c r="A7898" t="s">
        <v>9372</v>
      </c>
      <c r="B7898" s="2">
        <v>42927</v>
      </c>
      <c r="C7898" t="s">
        <v>3019</v>
      </c>
      <c r="D7898" t="s">
        <v>1807</v>
      </c>
    </row>
    <row r="7899" spans="1:4" x14ac:dyDescent="0.2">
      <c r="A7899" t="s">
        <v>9373</v>
      </c>
      <c r="B7899" s="2">
        <v>43111</v>
      </c>
      <c r="C7899" t="s">
        <v>1803</v>
      </c>
      <c r="D7899" t="s">
        <v>1031</v>
      </c>
    </row>
    <row r="7900" spans="1:4" x14ac:dyDescent="0.2">
      <c r="A7900" t="s">
        <v>9374</v>
      </c>
      <c r="B7900" s="2">
        <v>43242</v>
      </c>
      <c r="C7900" t="s">
        <v>1863</v>
      </c>
      <c r="D7900" t="s">
        <v>1804</v>
      </c>
    </row>
    <row r="7901" spans="1:4" x14ac:dyDescent="0.2">
      <c r="A7901" t="s">
        <v>9375</v>
      </c>
      <c r="B7901" s="2">
        <v>43249</v>
      </c>
      <c r="C7901" t="s">
        <v>1905</v>
      </c>
      <c r="D7901" t="s">
        <v>1807</v>
      </c>
    </row>
    <row r="7902" spans="1:4" x14ac:dyDescent="0.2">
      <c r="A7902" t="s">
        <v>9376</v>
      </c>
      <c r="B7902" s="2">
        <v>43153</v>
      </c>
      <c r="C7902" t="s">
        <v>2249</v>
      </c>
      <c r="D7902" t="s">
        <v>1813</v>
      </c>
    </row>
    <row r="7903" spans="1:4" x14ac:dyDescent="0.2">
      <c r="A7903" t="s">
        <v>9377</v>
      </c>
      <c r="B7903" s="2">
        <v>43148</v>
      </c>
      <c r="C7903" t="s">
        <v>1834</v>
      </c>
      <c r="D7903" t="s">
        <v>1807</v>
      </c>
    </row>
    <row r="7904" spans="1:4" x14ac:dyDescent="0.2">
      <c r="A7904" t="s">
        <v>9378</v>
      </c>
      <c r="B7904" s="2">
        <v>42942</v>
      </c>
      <c r="C7904" t="s">
        <v>1836</v>
      </c>
      <c r="D7904" t="s">
        <v>1829</v>
      </c>
    </row>
    <row r="7905" spans="1:4" x14ac:dyDescent="0.2">
      <c r="A7905" t="s">
        <v>1764</v>
      </c>
      <c r="B7905" s="2">
        <v>43194</v>
      </c>
      <c r="C7905" t="s">
        <v>1831</v>
      </c>
      <c r="D7905" t="s">
        <v>160</v>
      </c>
    </row>
    <row r="7906" spans="1:4" x14ac:dyDescent="0.2">
      <c r="A7906" t="s">
        <v>9379</v>
      </c>
      <c r="B7906" s="2">
        <v>43248</v>
      </c>
      <c r="C7906" t="s">
        <v>2133</v>
      </c>
      <c r="D7906" t="s">
        <v>1810</v>
      </c>
    </row>
    <row r="7907" spans="1:4" x14ac:dyDescent="0.2">
      <c r="A7907" t="s">
        <v>9380</v>
      </c>
      <c r="B7907" s="2">
        <v>43010</v>
      </c>
      <c r="C7907" t="s">
        <v>3064</v>
      </c>
      <c r="D7907" t="s">
        <v>1849</v>
      </c>
    </row>
    <row r="7908" spans="1:4" x14ac:dyDescent="0.2">
      <c r="A7908" t="s">
        <v>9381</v>
      </c>
      <c r="B7908" s="2">
        <v>43169</v>
      </c>
      <c r="C7908" t="s">
        <v>1930</v>
      </c>
      <c r="D7908" t="s">
        <v>1810</v>
      </c>
    </row>
    <row r="7909" spans="1:4" x14ac:dyDescent="0.2">
      <c r="A7909" t="s">
        <v>9382</v>
      </c>
      <c r="B7909" s="2">
        <v>43027</v>
      </c>
      <c r="C7909" t="s">
        <v>1867</v>
      </c>
      <c r="D7909" t="s">
        <v>1810</v>
      </c>
    </row>
    <row r="7910" spans="1:4" x14ac:dyDescent="0.2">
      <c r="A7910" t="s">
        <v>1766</v>
      </c>
      <c r="B7910" s="2">
        <v>43192</v>
      </c>
      <c r="C7910" t="s">
        <v>1836</v>
      </c>
      <c r="D7910" t="s">
        <v>1807</v>
      </c>
    </row>
    <row r="7911" spans="1:4" x14ac:dyDescent="0.2">
      <c r="A7911" t="s">
        <v>9383</v>
      </c>
      <c r="B7911" s="2">
        <v>43228</v>
      </c>
      <c r="C7911" t="s">
        <v>1863</v>
      </c>
      <c r="D7911" t="s">
        <v>1031</v>
      </c>
    </row>
    <row r="7912" spans="1:4" x14ac:dyDescent="0.2">
      <c r="A7912" t="s">
        <v>9384</v>
      </c>
      <c r="B7912" s="2">
        <v>43160</v>
      </c>
      <c r="C7912" t="s">
        <v>2056</v>
      </c>
      <c r="D7912" t="s">
        <v>1810</v>
      </c>
    </row>
    <row r="7913" spans="1:4" x14ac:dyDescent="0.2">
      <c r="A7913" t="s">
        <v>1768</v>
      </c>
      <c r="B7913" s="2">
        <v>43145</v>
      </c>
      <c r="C7913" t="s">
        <v>1836</v>
      </c>
      <c r="D7913" t="s">
        <v>1031</v>
      </c>
    </row>
    <row r="7914" spans="1:4" x14ac:dyDescent="0.2">
      <c r="A7914" t="s">
        <v>9385</v>
      </c>
      <c r="B7914" s="2">
        <v>43126</v>
      </c>
      <c r="C7914" t="s">
        <v>1867</v>
      </c>
      <c r="D7914" t="s">
        <v>1813</v>
      </c>
    </row>
    <row r="7915" spans="1:4" x14ac:dyDescent="0.2">
      <c r="A7915" t="s">
        <v>9386</v>
      </c>
      <c r="B7915" s="2">
        <v>43172</v>
      </c>
      <c r="C7915" t="s">
        <v>1816</v>
      </c>
      <c r="D7915" t="s">
        <v>1810</v>
      </c>
    </row>
    <row r="7916" spans="1:4" x14ac:dyDescent="0.2">
      <c r="A7916" t="s">
        <v>1770</v>
      </c>
      <c r="B7916" s="2">
        <v>43213</v>
      </c>
      <c r="C7916" t="s">
        <v>1836</v>
      </c>
      <c r="D7916" t="s">
        <v>1810</v>
      </c>
    </row>
    <row r="7917" spans="1:4" x14ac:dyDescent="0.2">
      <c r="A7917" t="s">
        <v>9387</v>
      </c>
      <c r="B7917" s="2">
        <v>43169</v>
      </c>
      <c r="C7917" t="s">
        <v>2187</v>
      </c>
      <c r="D7917" t="s">
        <v>1807</v>
      </c>
    </row>
    <row r="7918" spans="1:4" x14ac:dyDescent="0.2">
      <c r="A7918" t="s">
        <v>9388</v>
      </c>
      <c r="B7918" s="2">
        <v>42927</v>
      </c>
      <c r="C7918" t="s">
        <v>1919</v>
      </c>
      <c r="D7918" t="s">
        <v>160</v>
      </c>
    </row>
    <row r="7919" spans="1:4" x14ac:dyDescent="0.2">
      <c r="A7919" t="s">
        <v>1772</v>
      </c>
      <c r="B7919" s="2">
        <v>43070</v>
      </c>
      <c r="C7919" t="s">
        <v>9389</v>
      </c>
      <c r="D7919" t="s">
        <v>1849</v>
      </c>
    </row>
    <row r="7920" spans="1:4" x14ac:dyDescent="0.2">
      <c r="A7920" t="s">
        <v>9390</v>
      </c>
      <c r="B7920" s="2">
        <v>43096</v>
      </c>
      <c r="C7920" t="s">
        <v>1867</v>
      </c>
      <c r="D7920" t="s">
        <v>1813</v>
      </c>
    </row>
    <row r="7921" spans="1:4" x14ac:dyDescent="0.2">
      <c r="A7921" t="s">
        <v>9391</v>
      </c>
      <c r="B7921" s="2">
        <v>43038</v>
      </c>
      <c r="C7921" t="s">
        <v>3515</v>
      </c>
      <c r="D7921" t="s">
        <v>1804</v>
      </c>
    </row>
    <row r="7922" spans="1:4" x14ac:dyDescent="0.2">
      <c r="A7922" t="s">
        <v>9392</v>
      </c>
      <c r="B7922" s="2">
        <v>43178</v>
      </c>
      <c r="C7922" t="s">
        <v>2182</v>
      </c>
      <c r="D7922" t="s">
        <v>1810</v>
      </c>
    </row>
    <row r="7923" spans="1:4" x14ac:dyDescent="0.2">
      <c r="A7923" t="s">
        <v>9393</v>
      </c>
      <c r="B7923" s="2">
        <v>43222</v>
      </c>
      <c r="C7923" t="s">
        <v>2066</v>
      </c>
      <c r="D7923" t="s">
        <v>1813</v>
      </c>
    </row>
    <row r="7924" spans="1:4" x14ac:dyDescent="0.2">
      <c r="A7924" t="s">
        <v>9394</v>
      </c>
      <c r="B7924" s="2">
        <v>43194</v>
      </c>
      <c r="C7924" t="s">
        <v>1816</v>
      </c>
      <c r="D7924" t="s">
        <v>1810</v>
      </c>
    </row>
    <row r="7925" spans="1:4" x14ac:dyDescent="0.2">
      <c r="A7925" t="s">
        <v>9395</v>
      </c>
      <c r="B7925" s="2">
        <v>43142</v>
      </c>
      <c r="C7925" t="s">
        <v>1854</v>
      </c>
      <c r="D7925" t="s">
        <v>1810</v>
      </c>
    </row>
    <row r="7926" spans="1:4" x14ac:dyDescent="0.2">
      <c r="A7926" t="s">
        <v>9396</v>
      </c>
      <c r="B7926" s="2">
        <v>42957</v>
      </c>
      <c r="C7926" t="s">
        <v>1894</v>
      </c>
      <c r="D7926" t="s">
        <v>1804</v>
      </c>
    </row>
    <row r="7927" spans="1:4" x14ac:dyDescent="0.2">
      <c r="A7927" t="s">
        <v>9397</v>
      </c>
      <c r="B7927" s="2">
        <v>43195</v>
      </c>
      <c r="C7927" t="s">
        <v>2115</v>
      </c>
      <c r="D7927" t="s">
        <v>1807</v>
      </c>
    </row>
    <row r="7928" spans="1:4" x14ac:dyDescent="0.2">
      <c r="A7928" t="s">
        <v>1774</v>
      </c>
      <c r="B7928" s="2">
        <v>43185</v>
      </c>
      <c r="C7928" t="s">
        <v>2901</v>
      </c>
      <c r="D7928" t="s">
        <v>1807</v>
      </c>
    </row>
    <row r="7929" spans="1:4" x14ac:dyDescent="0.2">
      <c r="A7929" t="s">
        <v>9398</v>
      </c>
      <c r="B7929" s="2">
        <v>43166</v>
      </c>
      <c r="C7929" t="s">
        <v>1907</v>
      </c>
      <c r="D7929" t="s">
        <v>1810</v>
      </c>
    </row>
    <row r="7930" spans="1:4" x14ac:dyDescent="0.2">
      <c r="A7930" t="s">
        <v>9399</v>
      </c>
      <c r="B7930" s="2">
        <v>43125</v>
      </c>
      <c r="C7930" t="s">
        <v>1885</v>
      </c>
      <c r="D7930" t="s">
        <v>1807</v>
      </c>
    </row>
    <row r="7931" spans="1:4" x14ac:dyDescent="0.2">
      <c r="A7931" t="s">
        <v>9400</v>
      </c>
      <c r="B7931" s="2">
        <v>43146</v>
      </c>
      <c r="C7931" t="s">
        <v>9401</v>
      </c>
      <c r="D7931" t="s">
        <v>1840</v>
      </c>
    </row>
    <row r="7932" spans="1:4" x14ac:dyDescent="0.2">
      <c r="A7932" t="s">
        <v>9402</v>
      </c>
      <c r="B7932" s="2">
        <v>43060</v>
      </c>
      <c r="C7932" t="s">
        <v>1836</v>
      </c>
      <c r="D7932" t="s">
        <v>1031</v>
      </c>
    </row>
    <row r="7933" spans="1:4" x14ac:dyDescent="0.2">
      <c r="A7933" t="s">
        <v>1776</v>
      </c>
      <c r="B7933" s="2">
        <v>43124</v>
      </c>
      <c r="C7933" t="s">
        <v>3315</v>
      </c>
      <c r="D7933" t="s">
        <v>1810</v>
      </c>
    </row>
    <row r="7934" spans="1:4" x14ac:dyDescent="0.2">
      <c r="A7934" t="s">
        <v>9403</v>
      </c>
      <c r="B7934" s="2">
        <v>43196</v>
      </c>
      <c r="C7934" t="s">
        <v>1836</v>
      </c>
      <c r="D7934" t="s">
        <v>1031</v>
      </c>
    </row>
    <row r="7935" spans="1:4" x14ac:dyDescent="0.2">
      <c r="A7935" t="s">
        <v>9404</v>
      </c>
      <c r="B7935" s="2">
        <v>43112</v>
      </c>
      <c r="C7935" t="s">
        <v>1816</v>
      </c>
      <c r="D7935" t="s">
        <v>1810</v>
      </c>
    </row>
    <row r="7936" spans="1:4" x14ac:dyDescent="0.2">
      <c r="A7936" t="s">
        <v>9405</v>
      </c>
      <c r="B7936" s="2">
        <v>42940</v>
      </c>
      <c r="C7936" t="s">
        <v>1974</v>
      </c>
      <c r="D7936" t="s">
        <v>1849</v>
      </c>
    </row>
    <row r="7937" spans="1:4" x14ac:dyDescent="0.2">
      <c r="A7937" t="s">
        <v>9406</v>
      </c>
      <c r="B7937" s="2">
        <v>42969</v>
      </c>
      <c r="C7937" t="s">
        <v>1836</v>
      </c>
      <c r="D7937" t="s">
        <v>1031</v>
      </c>
    </row>
    <row r="7938" spans="1:4" x14ac:dyDescent="0.2">
      <c r="A7938" t="s">
        <v>9407</v>
      </c>
      <c r="B7938" s="2">
        <v>43201</v>
      </c>
      <c r="C7938" t="s">
        <v>1816</v>
      </c>
      <c r="D7938" t="s">
        <v>1807</v>
      </c>
    </row>
    <row r="7939" spans="1:4" x14ac:dyDescent="0.2">
      <c r="A7939" t="s">
        <v>9408</v>
      </c>
      <c r="B7939" s="2">
        <v>43154</v>
      </c>
      <c r="C7939" t="s">
        <v>2058</v>
      </c>
      <c r="D7939" t="s">
        <v>1807</v>
      </c>
    </row>
    <row r="7940" spans="1:4" x14ac:dyDescent="0.2">
      <c r="A7940" t="s">
        <v>9409</v>
      </c>
      <c r="B7940" s="2">
        <v>43054</v>
      </c>
      <c r="C7940" t="s">
        <v>1987</v>
      </c>
      <c r="D7940" t="s">
        <v>1807</v>
      </c>
    </row>
    <row r="7941" spans="1:4" x14ac:dyDescent="0.2">
      <c r="A7941" t="s">
        <v>9410</v>
      </c>
      <c r="B7941" s="2">
        <v>43168</v>
      </c>
      <c r="C7941" t="s">
        <v>1905</v>
      </c>
      <c r="D7941" t="s">
        <v>1840</v>
      </c>
    </row>
    <row r="7942" spans="1:4" x14ac:dyDescent="0.2">
      <c r="A7942" t="s">
        <v>9411</v>
      </c>
      <c r="B7942" s="2">
        <v>43129</v>
      </c>
      <c r="C7942" t="s">
        <v>1905</v>
      </c>
      <c r="D7942" t="s">
        <v>1810</v>
      </c>
    </row>
    <row r="7943" spans="1:4" x14ac:dyDescent="0.2">
      <c r="A7943" t="s">
        <v>9412</v>
      </c>
      <c r="B7943" s="2">
        <v>43131</v>
      </c>
      <c r="C7943" t="s">
        <v>1907</v>
      </c>
      <c r="D7943" t="s">
        <v>1810</v>
      </c>
    </row>
    <row r="7944" spans="1:4" x14ac:dyDescent="0.2">
      <c r="A7944" t="s">
        <v>9413</v>
      </c>
      <c r="B7944" s="2">
        <v>42986</v>
      </c>
      <c r="C7944" t="s">
        <v>1836</v>
      </c>
      <c r="D7944" t="s">
        <v>1031</v>
      </c>
    </row>
    <row r="7945" spans="1:4" x14ac:dyDescent="0.2">
      <c r="A7945" t="s">
        <v>1778</v>
      </c>
      <c r="B7945" s="2">
        <v>43186</v>
      </c>
      <c r="C7945" t="s">
        <v>2170</v>
      </c>
      <c r="D7945" t="s">
        <v>1813</v>
      </c>
    </row>
    <row r="7946" spans="1:4" x14ac:dyDescent="0.2">
      <c r="A7946" t="s">
        <v>9414</v>
      </c>
      <c r="B7946" s="2">
        <v>43194</v>
      </c>
      <c r="C7946" t="s">
        <v>1836</v>
      </c>
      <c r="D7946" t="s">
        <v>1807</v>
      </c>
    </row>
    <row r="7947" spans="1:4" x14ac:dyDescent="0.2">
      <c r="A7947" t="s">
        <v>9415</v>
      </c>
      <c r="B7947" s="2">
        <v>43165</v>
      </c>
      <c r="C7947" t="s">
        <v>2196</v>
      </c>
      <c r="D7947" t="s">
        <v>1807</v>
      </c>
    </row>
    <row r="7948" spans="1:4" x14ac:dyDescent="0.2">
      <c r="A7948" t="s">
        <v>9416</v>
      </c>
      <c r="B7948" s="2">
        <v>43137</v>
      </c>
      <c r="C7948" t="s">
        <v>1897</v>
      </c>
      <c r="D7948" t="s">
        <v>1810</v>
      </c>
    </row>
    <row r="7949" spans="1:4" x14ac:dyDescent="0.2">
      <c r="A7949" t="s">
        <v>9417</v>
      </c>
      <c r="B7949" s="2">
        <v>42958</v>
      </c>
      <c r="C7949" t="s">
        <v>3064</v>
      </c>
      <c r="D7949" t="s">
        <v>1813</v>
      </c>
    </row>
    <row r="7950" spans="1:4" x14ac:dyDescent="0.2">
      <c r="A7950" t="s">
        <v>9418</v>
      </c>
      <c r="B7950" s="2">
        <v>43166</v>
      </c>
      <c r="C7950" t="s">
        <v>1993</v>
      </c>
      <c r="D7950" t="s">
        <v>1031</v>
      </c>
    </row>
    <row r="7951" spans="1:4" x14ac:dyDescent="0.2">
      <c r="A7951" t="s">
        <v>9419</v>
      </c>
      <c r="B7951" s="2">
        <v>43054</v>
      </c>
      <c r="C7951" t="s">
        <v>1930</v>
      </c>
      <c r="D7951" t="s">
        <v>1810</v>
      </c>
    </row>
    <row r="7952" spans="1:4" x14ac:dyDescent="0.2">
      <c r="A7952" t="s">
        <v>9420</v>
      </c>
      <c r="B7952" s="2">
        <v>43134</v>
      </c>
      <c r="C7952" t="s">
        <v>1803</v>
      </c>
      <c r="D7952" t="s">
        <v>1804</v>
      </c>
    </row>
    <row r="7953" spans="1:4" x14ac:dyDescent="0.2">
      <c r="A7953" t="s">
        <v>9421</v>
      </c>
      <c r="B7953" s="2">
        <v>43242</v>
      </c>
      <c r="C7953" t="s">
        <v>1816</v>
      </c>
      <c r="D7953" t="s">
        <v>1810</v>
      </c>
    </row>
    <row r="7954" spans="1:4" x14ac:dyDescent="0.2">
      <c r="A7954" t="s">
        <v>9422</v>
      </c>
      <c r="B7954" s="2">
        <v>43234</v>
      </c>
      <c r="C7954" t="s">
        <v>1863</v>
      </c>
      <c r="D7954" t="s">
        <v>1804</v>
      </c>
    </row>
    <row r="7955" spans="1:4" x14ac:dyDescent="0.2">
      <c r="A7955" t="s">
        <v>9423</v>
      </c>
      <c r="B7955" s="2">
        <v>43162</v>
      </c>
      <c r="C7955" t="s">
        <v>1803</v>
      </c>
      <c r="D7955" t="s">
        <v>1804</v>
      </c>
    </row>
    <row r="7956" spans="1:4" x14ac:dyDescent="0.2">
      <c r="A7956" t="s">
        <v>9424</v>
      </c>
      <c r="B7956" s="2">
        <v>43137</v>
      </c>
      <c r="C7956" t="s">
        <v>1814</v>
      </c>
      <c r="D7956" t="s">
        <v>1810</v>
      </c>
    </row>
    <row r="7957" spans="1:4" x14ac:dyDescent="0.2">
      <c r="A7957" t="s">
        <v>9425</v>
      </c>
      <c r="B7957" s="2">
        <v>43213</v>
      </c>
      <c r="C7957" t="s">
        <v>1816</v>
      </c>
      <c r="D7957" t="s">
        <v>1810</v>
      </c>
    </row>
    <row r="7958" spans="1:4" x14ac:dyDescent="0.2">
      <c r="A7958" t="s">
        <v>9426</v>
      </c>
      <c r="B7958" s="2">
        <v>43187</v>
      </c>
      <c r="C7958" t="s">
        <v>1875</v>
      </c>
      <c r="D7958" t="s">
        <v>1807</v>
      </c>
    </row>
    <row r="7959" spans="1:4" x14ac:dyDescent="0.2">
      <c r="A7959" t="s">
        <v>9427</v>
      </c>
      <c r="B7959" s="2">
        <v>43181</v>
      </c>
      <c r="C7959" t="s">
        <v>2249</v>
      </c>
      <c r="D7959" t="s">
        <v>1804</v>
      </c>
    </row>
    <row r="7960" spans="1:4" x14ac:dyDescent="0.2">
      <c r="A7960" t="s">
        <v>9428</v>
      </c>
      <c r="B7960" s="2">
        <v>43165</v>
      </c>
      <c r="C7960" t="s">
        <v>3333</v>
      </c>
      <c r="D7960" t="s">
        <v>1813</v>
      </c>
    </row>
    <row r="7961" spans="1:4" x14ac:dyDescent="0.2">
      <c r="A7961" t="s">
        <v>9429</v>
      </c>
      <c r="B7961" s="2">
        <v>43223</v>
      </c>
      <c r="C7961" t="s">
        <v>1857</v>
      </c>
      <c r="D7961" t="s">
        <v>1804</v>
      </c>
    </row>
    <row r="7962" spans="1:4" x14ac:dyDescent="0.2">
      <c r="A7962" t="s">
        <v>1780</v>
      </c>
      <c r="B7962" s="2">
        <v>43198</v>
      </c>
      <c r="C7962" t="s">
        <v>1863</v>
      </c>
      <c r="D7962" t="s">
        <v>1804</v>
      </c>
    </row>
    <row r="7963" spans="1:4" x14ac:dyDescent="0.2">
      <c r="A7963" t="s">
        <v>9430</v>
      </c>
      <c r="B7963" s="2">
        <v>43137</v>
      </c>
      <c r="C7963" t="s">
        <v>1905</v>
      </c>
      <c r="D7963" t="s">
        <v>1829</v>
      </c>
    </row>
    <row r="7964" spans="1:4" x14ac:dyDescent="0.2">
      <c r="A7964" t="s">
        <v>9431</v>
      </c>
      <c r="B7964" s="2">
        <v>43202</v>
      </c>
      <c r="C7964" t="s">
        <v>1863</v>
      </c>
      <c r="D7964" t="s">
        <v>1804</v>
      </c>
    </row>
    <row r="7965" spans="1:4" x14ac:dyDescent="0.2">
      <c r="A7965" t="s">
        <v>9432</v>
      </c>
      <c r="B7965" s="2">
        <v>43229</v>
      </c>
      <c r="C7965" t="s">
        <v>1827</v>
      </c>
      <c r="D7965" t="s">
        <v>1810</v>
      </c>
    </row>
    <row r="7966" spans="1:4" x14ac:dyDescent="0.2">
      <c r="A7966" t="s">
        <v>9433</v>
      </c>
      <c r="B7966" s="2">
        <v>43246</v>
      </c>
      <c r="C7966" t="s">
        <v>1863</v>
      </c>
      <c r="D7966" t="s">
        <v>1804</v>
      </c>
    </row>
    <row r="7967" spans="1:4" x14ac:dyDescent="0.2">
      <c r="A7967" t="s">
        <v>1782</v>
      </c>
      <c r="B7967" s="2">
        <v>43134</v>
      </c>
      <c r="C7967" t="s">
        <v>1816</v>
      </c>
      <c r="D7967" t="s">
        <v>1810</v>
      </c>
    </row>
    <row r="7968" spans="1:4" x14ac:dyDescent="0.2">
      <c r="A7968" t="s">
        <v>9434</v>
      </c>
      <c r="B7968" s="2">
        <v>43088</v>
      </c>
      <c r="C7968" t="s">
        <v>2242</v>
      </c>
      <c r="D7968" t="s">
        <v>1840</v>
      </c>
    </row>
    <row r="7969" spans="1:4" x14ac:dyDescent="0.2">
      <c r="A7969" t="s">
        <v>9435</v>
      </c>
      <c r="B7969" s="2">
        <v>43170</v>
      </c>
      <c r="C7969" t="s">
        <v>1854</v>
      </c>
      <c r="D7969" t="s">
        <v>1810</v>
      </c>
    </row>
    <row r="7970" spans="1:4" x14ac:dyDescent="0.2">
      <c r="A7970" t="s">
        <v>9436</v>
      </c>
      <c r="B7970" s="2">
        <v>43218</v>
      </c>
      <c r="C7970" t="s">
        <v>1857</v>
      </c>
      <c r="D7970" t="s">
        <v>1804</v>
      </c>
    </row>
    <row r="7971" spans="1:4" x14ac:dyDescent="0.2">
      <c r="A7971" t="s">
        <v>9437</v>
      </c>
      <c r="B7971" s="2">
        <v>42968</v>
      </c>
      <c r="C7971" t="s">
        <v>2569</v>
      </c>
      <c r="D7971" t="s">
        <v>1810</v>
      </c>
    </row>
    <row r="7972" spans="1:4" x14ac:dyDescent="0.2">
      <c r="A7972" t="s">
        <v>9438</v>
      </c>
      <c r="B7972" s="2">
        <v>43159</v>
      </c>
      <c r="C7972" t="s">
        <v>1889</v>
      </c>
      <c r="D7972" t="s">
        <v>1840</v>
      </c>
    </row>
    <row r="7973" spans="1:4" x14ac:dyDescent="0.2">
      <c r="A7973" t="s">
        <v>9439</v>
      </c>
      <c r="B7973" s="2">
        <v>43196</v>
      </c>
      <c r="C7973" t="s">
        <v>1863</v>
      </c>
      <c r="D7973" t="s">
        <v>1804</v>
      </c>
    </row>
    <row r="7974" spans="1:4" x14ac:dyDescent="0.2">
      <c r="A7974" t="s">
        <v>9440</v>
      </c>
      <c r="B7974" s="2">
        <v>43096</v>
      </c>
      <c r="C7974" t="s">
        <v>2324</v>
      </c>
      <c r="D7974" t="s">
        <v>1810</v>
      </c>
    </row>
    <row r="7975" spans="1:4" x14ac:dyDescent="0.2">
      <c r="A7975" t="s">
        <v>1784</v>
      </c>
      <c r="B7975" s="2">
        <v>43128</v>
      </c>
      <c r="C7975" t="s">
        <v>1816</v>
      </c>
      <c r="D7975" t="s">
        <v>1810</v>
      </c>
    </row>
    <row r="7976" spans="1:4" x14ac:dyDescent="0.2">
      <c r="A7976" t="s">
        <v>9441</v>
      </c>
      <c r="B7976" s="2">
        <v>43195</v>
      </c>
      <c r="C7976" t="s">
        <v>4896</v>
      </c>
      <c r="D7976" t="s">
        <v>1807</v>
      </c>
    </row>
    <row r="7977" spans="1:4" x14ac:dyDescent="0.2">
      <c r="A7977" t="s">
        <v>9442</v>
      </c>
      <c r="B7977" s="2">
        <v>43220</v>
      </c>
      <c r="C7977" t="s">
        <v>2193</v>
      </c>
      <c r="D7977" t="s">
        <v>1031</v>
      </c>
    </row>
    <row r="7978" spans="1:4" x14ac:dyDescent="0.2">
      <c r="A7978" t="s">
        <v>9443</v>
      </c>
      <c r="B7978" s="2">
        <v>43178</v>
      </c>
      <c r="C7978" t="s">
        <v>1825</v>
      </c>
      <c r="D7978" t="s">
        <v>1810</v>
      </c>
    </row>
    <row r="7979" spans="1:4" x14ac:dyDescent="0.2">
      <c r="A7979" t="s">
        <v>9444</v>
      </c>
      <c r="B7979" s="2">
        <v>43083</v>
      </c>
      <c r="C7979" t="s">
        <v>1939</v>
      </c>
      <c r="D7979" t="s">
        <v>1031</v>
      </c>
    </row>
    <row r="7980" spans="1:4" x14ac:dyDescent="0.2">
      <c r="A7980" t="s">
        <v>1786</v>
      </c>
      <c r="B7980" s="2">
        <v>43187</v>
      </c>
      <c r="C7980" t="s">
        <v>1809</v>
      </c>
      <c r="D7980" t="s">
        <v>1810</v>
      </c>
    </row>
    <row r="7981" spans="1:4" x14ac:dyDescent="0.2">
      <c r="A7981" t="s">
        <v>9445</v>
      </c>
      <c r="B7981" s="2">
        <v>42948</v>
      </c>
      <c r="C7981" t="s">
        <v>9446</v>
      </c>
      <c r="D7981" t="s">
        <v>1810</v>
      </c>
    </row>
    <row r="7982" spans="1:4" x14ac:dyDescent="0.2">
      <c r="A7982" t="s">
        <v>9447</v>
      </c>
      <c r="B7982" s="2">
        <v>43173</v>
      </c>
      <c r="C7982" t="s">
        <v>1803</v>
      </c>
      <c r="D7982" t="s">
        <v>1804</v>
      </c>
    </row>
    <row r="7983" spans="1:4" x14ac:dyDescent="0.2">
      <c r="A7983" t="s">
        <v>9448</v>
      </c>
      <c r="B7983" s="2">
        <v>43143</v>
      </c>
      <c r="C7983" t="s">
        <v>1867</v>
      </c>
      <c r="D7983" t="s">
        <v>1807</v>
      </c>
    </row>
    <row r="7984" spans="1:4" x14ac:dyDescent="0.2">
      <c r="A7984" t="s">
        <v>9449</v>
      </c>
      <c r="B7984" s="2">
        <v>43234</v>
      </c>
      <c r="C7984" t="s">
        <v>1816</v>
      </c>
      <c r="D7984" t="s">
        <v>1829</v>
      </c>
    </row>
    <row r="7985" spans="1:4" x14ac:dyDescent="0.2">
      <c r="A7985" t="s">
        <v>1788</v>
      </c>
      <c r="B7985" s="2">
        <v>43238</v>
      </c>
      <c r="C7985" t="s">
        <v>1836</v>
      </c>
      <c r="D7985" t="s">
        <v>1810</v>
      </c>
    </row>
    <row r="7986" spans="1:4" x14ac:dyDescent="0.2">
      <c r="A7986" t="s">
        <v>9450</v>
      </c>
      <c r="B7986" s="2">
        <v>43115</v>
      </c>
      <c r="C7986" t="s">
        <v>1836</v>
      </c>
      <c r="D7986" t="s">
        <v>1031</v>
      </c>
    </row>
    <row r="7987" spans="1:4" x14ac:dyDescent="0.2">
      <c r="A7987" t="s">
        <v>9451</v>
      </c>
      <c r="B7987" s="2">
        <v>43181</v>
      </c>
      <c r="C7987" t="s">
        <v>2196</v>
      </c>
      <c r="D7987" t="s">
        <v>1810</v>
      </c>
    </row>
    <row r="7988" spans="1:4" x14ac:dyDescent="0.2">
      <c r="A7988" t="s">
        <v>9452</v>
      </c>
      <c r="B7988" s="2">
        <v>43220</v>
      </c>
      <c r="C7988" t="s">
        <v>1836</v>
      </c>
      <c r="D7988" t="s">
        <v>1031</v>
      </c>
    </row>
    <row r="7989" spans="1:4" x14ac:dyDescent="0.2">
      <c r="A7989" t="s">
        <v>9453</v>
      </c>
      <c r="B7989" s="2">
        <v>43165</v>
      </c>
      <c r="C7989" t="s">
        <v>1836</v>
      </c>
      <c r="D7989" t="s">
        <v>1031</v>
      </c>
    </row>
    <row r="7990" spans="1:4" x14ac:dyDescent="0.2">
      <c r="A7990" t="s">
        <v>9454</v>
      </c>
      <c r="B7990" s="2">
        <v>43152</v>
      </c>
      <c r="C7990" t="s">
        <v>2462</v>
      </c>
      <c r="D7990" t="s">
        <v>1807</v>
      </c>
    </row>
    <row r="7991" spans="1:4" x14ac:dyDescent="0.2">
      <c r="A7991" t="s">
        <v>9455</v>
      </c>
      <c r="B7991" s="2">
        <v>43121</v>
      </c>
      <c r="C7991" t="s">
        <v>1867</v>
      </c>
      <c r="D7991" t="s">
        <v>1807</v>
      </c>
    </row>
    <row r="7992" spans="1:4" x14ac:dyDescent="0.2">
      <c r="A7992" t="s">
        <v>9456</v>
      </c>
      <c r="B7992" s="2">
        <v>43151</v>
      </c>
      <c r="C7992" t="s">
        <v>2591</v>
      </c>
      <c r="D7992" t="s">
        <v>1813</v>
      </c>
    </row>
    <row r="7993" spans="1:4" x14ac:dyDescent="0.2">
      <c r="A7993" t="s">
        <v>1790</v>
      </c>
      <c r="B7993" s="2">
        <v>43245</v>
      </c>
      <c r="C7993" t="s">
        <v>1930</v>
      </c>
      <c r="D7993" t="s">
        <v>1807</v>
      </c>
    </row>
    <row r="7994" spans="1:4" x14ac:dyDescent="0.2">
      <c r="A7994" t="s">
        <v>9457</v>
      </c>
      <c r="B7994" s="2">
        <v>43107</v>
      </c>
      <c r="C7994" t="s">
        <v>1803</v>
      </c>
      <c r="D7994" t="s">
        <v>1804</v>
      </c>
    </row>
    <row r="7995" spans="1:4" x14ac:dyDescent="0.2">
      <c r="A7995" t="s">
        <v>9458</v>
      </c>
      <c r="B7995" s="2">
        <v>42962</v>
      </c>
      <c r="C7995" t="s">
        <v>2559</v>
      </c>
      <c r="D7995" t="s">
        <v>1810</v>
      </c>
    </row>
    <row r="7996" spans="1:4" x14ac:dyDescent="0.2">
      <c r="A7996" t="s">
        <v>1792</v>
      </c>
      <c r="B7996" s="2">
        <v>43135</v>
      </c>
      <c r="C7996" t="s">
        <v>1803</v>
      </c>
      <c r="D7996" t="s">
        <v>1804</v>
      </c>
    </row>
    <row r="7997" spans="1:4" x14ac:dyDescent="0.2">
      <c r="A7997" t="s">
        <v>9459</v>
      </c>
      <c r="B7997" s="2">
        <v>43242</v>
      </c>
      <c r="C7997" t="s">
        <v>2066</v>
      </c>
      <c r="D7997" t="s">
        <v>1807</v>
      </c>
    </row>
    <row r="7998" spans="1:4" x14ac:dyDescent="0.2">
      <c r="A7998" t="s">
        <v>9460</v>
      </c>
      <c r="B7998" s="2">
        <v>43186</v>
      </c>
      <c r="C7998" t="s">
        <v>2170</v>
      </c>
      <c r="D7998" t="s">
        <v>1807</v>
      </c>
    </row>
    <row r="7999" spans="1:4" x14ac:dyDescent="0.2">
      <c r="A7999" t="s">
        <v>9461</v>
      </c>
      <c r="B7999" s="2">
        <v>42974</v>
      </c>
      <c r="C7999" t="s">
        <v>1814</v>
      </c>
      <c r="D7999" t="s">
        <v>1810</v>
      </c>
    </row>
    <row r="8000" spans="1:4" x14ac:dyDescent="0.2">
      <c r="A8000" t="s">
        <v>9462</v>
      </c>
      <c r="B8000" s="2">
        <v>43014</v>
      </c>
      <c r="C8000" t="s">
        <v>1900</v>
      </c>
      <c r="D8000" t="s">
        <v>1810</v>
      </c>
    </row>
    <row r="8001" spans="1:4" x14ac:dyDescent="0.2">
      <c r="A8001" t="s">
        <v>1794</v>
      </c>
      <c r="B8001" s="2">
        <v>43111</v>
      </c>
      <c r="C8001" t="s">
        <v>1836</v>
      </c>
      <c r="D8001" t="s">
        <v>1840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43E4-8583-4FCE-A4D7-3BBFB23CF3CF}">
  <dimension ref="A1:E27"/>
  <sheetViews>
    <sheetView showGridLines="0" tabSelected="1" workbookViewId="0">
      <selection activeCell="G12" sqref="G12"/>
    </sheetView>
  </sheetViews>
  <sheetFormatPr defaultRowHeight="14.25" x14ac:dyDescent="0.2"/>
  <cols>
    <col min="1" max="1" width="32.25" bestFit="1" customWidth="1"/>
    <col min="2" max="2" width="19" customWidth="1"/>
    <col min="3" max="3" width="18.625" customWidth="1"/>
    <col min="4" max="5" width="17.875" customWidth="1"/>
    <col min="6" max="7" width="27.5" bestFit="1" customWidth="1"/>
    <col min="8" max="8" width="13.125" bestFit="1" customWidth="1"/>
    <col min="9" max="9" width="33.875" bestFit="1" customWidth="1"/>
    <col min="10" max="10" width="1.875" bestFit="1" customWidth="1"/>
    <col min="11" max="15" width="4.875" bestFit="1" customWidth="1"/>
    <col min="16" max="23" width="5.875" bestFit="1" customWidth="1"/>
    <col min="24" max="33" width="6.875" bestFit="1" customWidth="1"/>
    <col min="34" max="34" width="7.875" bestFit="1" customWidth="1"/>
    <col min="35" max="35" width="8.875" bestFit="1" customWidth="1"/>
    <col min="36" max="36" width="8" bestFit="1" customWidth="1"/>
    <col min="37" max="37" width="11.375" bestFit="1" customWidth="1"/>
  </cols>
  <sheetData>
    <row r="1" spans="1:5" x14ac:dyDescent="0.2">
      <c r="A1" s="7" t="s">
        <v>9475</v>
      </c>
      <c r="B1" s="7" t="s">
        <v>9463</v>
      </c>
    </row>
    <row r="2" spans="1:5" x14ac:dyDescent="0.2">
      <c r="A2" s="7" t="s">
        <v>1801</v>
      </c>
      <c r="B2" t="s">
        <v>9472</v>
      </c>
      <c r="C2" t="s">
        <v>9473</v>
      </c>
      <c r="D2" t="s">
        <v>9474</v>
      </c>
      <c r="E2" s="8" t="s">
        <v>9471</v>
      </c>
    </row>
    <row r="3" spans="1:5" x14ac:dyDescent="0.2">
      <c r="A3" t="s">
        <v>1840</v>
      </c>
      <c r="B3" s="3">
        <v>60000</v>
      </c>
      <c r="C3" s="3">
        <v>0</v>
      </c>
      <c r="D3" s="3">
        <v>0</v>
      </c>
      <c r="E3" s="9">
        <v>60000</v>
      </c>
    </row>
    <row r="4" spans="1:5" x14ac:dyDescent="0.2">
      <c r="A4" t="s">
        <v>1849</v>
      </c>
      <c r="B4" s="3">
        <v>0</v>
      </c>
      <c r="C4" s="3">
        <v>0</v>
      </c>
      <c r="D4" s="3">
        <v>0</v>
      </c>
      <c r="E4" s="9">
        <v>0</v>
      </c>
    </row>
    <row r="5" spans="1:5" x14ac:dyDescent="0.2">
      <c r="A5" t="s">
        <v>1813</v>
      </c>
      <c r="B5" s="3">
        <v>15000</v>
      </c>
      <c r="C5" s="3">
        <v>0</v>
      </c>
      <c r="D5" s="3">
        <v>0</v>
      </c>
      <c r="E5" s="9">
        <v>15000</v>
      </c>
    </row>
    <row r="6" spans="1:5" x14ac:dyDescent="0.2">
      <c r="A6" t="s">
        <v>1810</v>
      </c>
      <c r="B6" s="3">
        <v>51415000</v>
      </c>
      <c r="C6" s="3">
        <v>0</v>
      </c>
      <c r="D6" s="3">
        <v>11000</v>
      </c>
      <c r="E6" s="9">
        <v>51426000</v>
      </c>
    </row>
    <row r="7" spans="1:5" x14ac:dyDescent="0.2">
      <c r="A7" t="s">
        <v>160</v>
      </c>
      <c r="B7" s="3">
        <v>0</v>
      </c>
      <c r="C7" s="3">
        <v>0</v>
      </c>
      <c r="D7" s="3">
        <v>0</v>
      </c>
      <c r="E7" s="9">
        <v>0</v>
      </c>
    </row>
    <row r="8" spans="1:5" x14ac:dyDescent="0.2">
      <c r="A8" t="s">
        <v>1910</v>
      </c>
      <c r="B8" s="3">
        <v>0</v>
      </c>
      <c r="C8" s="3">
        <v>0</v>
      </c>
      <c r="D8" s="3">
        <v>0</v>
      </c>
      <c r="E8" s="9">
        <v>0</v>
      </c>
    </row>
    <row r="9" spans="1:5" x14ac:dyDescent="0.2">
      <c r="A9" t="s">
        <v>1807</v>
      </c>
      <c r="B9" s="3">
        <v>9165000</v>
      </c>
      <c r="C9" s="3">
        <v>0</v>
      </c>
      <c r="D9" s="3">
        <v>4000</v>
      </c>
      <c r="E9" s="9">
        <v>9169000</v>
      </c>
    </row>
    <row r="10" spans="1:5" x14ac:dyDescent="0.2">
      <c r="A10" t="s">
        <v>1829</v>
      </c>
      <c r="B10" s="3">
        <v>0</v>
      </c>
      <c r="C10" s="3">
        <v>0</v>
      </c>
      <c r="D10" s="3">
        <v>0</v>
      </c>
      <c r="E10" s="9">
        <v>0</v>
      </c>
    </row>
    <row r="11" spans="1:5" x14ac:dyDescent="0.2">
      <c r="A11" t="s">
        <v>1804</v>
      </c>
      <c r="B11" s="3">
        <v>500000</v>
      </c>
      <c r="C11" s="3">
        <v>0</v>
      </c>
      <c r="D11" s="3">
        <v>1000</v>
      </c>
      <c r="E11" s="9">
        <v>501000</v>
      </c>
    </row>
    <row r="12" spans="1:5" x14ac:dyDescent="0.2">
      <c r="A12" t="s">
        <v>1796</v>
      </c>
      <c r="B12" s="3">
        <v>150000</v>
      </c>
      <c r="C12" s="3">
        <v>0</v>
      </c>
      <c r="D12" s="3">
        <v>0</v>
      </c>
      <c r="E12" s="9">
        <v>150000</v>
      </c>
    </row>
    <row r="13" spans="1:5" x14ac:dyDescent="0.2">
      <c r="A13" t="s">
        <v>1031</v>
      </c>
      <c r="B13" s="3">
        <v>450000</v>
      </c>
      <c r="C13" s="3">
        <v>0</v>
      </c>
      <c r="D13" s="3">
        <v>13006</v>
      </c>
      <c r="E13" s="9">
        <v>463006</v>
      </c>
    </row>
    <row r="14" spans="1:5" x14ac:dyDescent="0.2">
      <c r="A14" t="s">
        <v>9471</v>
      </c>
      <c r="B14" s="3">
        <v>61755000</v>
      </c>
      <c r="C14" s="3">
        <v>0</v>
      </c>
      <c r="D14" s="3">
        <v>29006</v>
      </c>
      <c r="E14" s="9">
        <v>61784006</v>
      </c>
    </row>
    <row r="27" spans="5:5" x14ac:dyDescent="0.2">
      <c r="E27" t="s">
        <v>9476</v>
      </c>
    </row>
  </sheetData>
  <conditionalFormatting pivot="1" sqref="C7">
    <cfRule type="cellIs" dxfId="2" priority="3" operator="equal">
      <formula>0</formula>
    </cfRule>
  </conditionalFormatting>
  <conditionalFormatting pivot="1" sqref="B3:E14">
    <cfRule type="cellIs" dxfId="1" priority="2" operator="equal">
      <formula>0</formula>
    </cfRule>
  </conditionalFormatting>
  <conditionalFormatting pivot="1" sqref="B3:E14">
    <cfRule type="cellIs" dxfId="0" priority="1" operator="equal">
      <formula>0</formula>
    </cfRule>
  </conditionalFormatting>
  <pageMargins left="0.7" right="0.7" top="0.75" bottom="0.75" header="0.3" footer="0.3"/>
  <pageSetup paperSize="9" orientation="portrait" verticalDpi="0"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BDA4-B0C5-4911-8197-34F738C4E3BB}">
  <dimension ref="A1:P871"/>
  <sheetViews>
    <sheetView topLeftCell="A2" workbookViewId="0">
      <selection activeCell="A5" sqref="A5"/>
    </sheetView>
  </sheetViews>
  <sheetFormatPr defaultRowHeight="14.25" x14ac:dyDescent="0.2"/>
  <cols>
    <col min="1" max="4" width="33.625" bestFit="1" customWidth="1"/>
    <col min="5" max="5" width="15" bestFit="1" customWidth="1"/>
    <col min="6" max="6" width="28.875" bestFit="1" customWidth="1"/>
    <col min="7" max="7" width="13.75" bestFit="1" customWidth="1"/>
    <col min="8" max="8" width="23.75" bestFit="1" customWidth="1"/>
    <col min="9" max="9" width="14.75" bestFit="1" customWidth="1"/>
    <col min="10" max="10" width="10.375" bestFit="1" customWidth="1"/>
    <col min="11" max="11" width="16" bestFit="1" customWidth="1"/>
    <col min="12" max="12" width="15.75" bestFit="1" customWidth="1"/>
    <col min="13" max="13" width="30.75" customWidth="1"/>
    <col min="14" max="14" width="30.125" customWidth="1"/>
    <col min="15" max="15" width="19.125" customWidth="1"/>
    <col min="16" max="16" width="21.125"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1801</v>
      </c>
      <c r="P1" t="s">
        <v>9463</v>
      </c>
    </row>
    <row r="2" spans="1:16" x14ac:dyDescent="0.2">
      <c r="A2" t="s">
        <v>14</v>
      </c>
      <c r="B2" t="s">
        <v>15</v>
      </c>
      <c r="C2" t="s">
        <v>16</v>
      </c>
      <c r="D2" t="s">
        <v>17</v>
      </c>
      <c r="E2" s="1">
        <v>43157.832569444443</v>
      </c>
      <c r="F2" t="s">
        <v>18</v>
      </c>
      <c r="G2" t="s">
        <v>19</v>
      </c>
      <c r="H2" t="s">
        <v>20</v>
      </c>
      <c r="I2" t="s">
        <v>1796</v>
      </c>
      <c r="J2" t="s">
        <v>1796</v>
      </c>
      <c r="K2" t="s">
        <v>1796</v>
      </c>
      <c r="L2" t="s">
        <v>21</v>
      </c>
      <c r="M2">
        <v>0</v>
      </c>
      <c r="N2">
        <v>0</v>
      </c>
      <c r="O2" t="str">
        <f>_xlfn.XLOOKUP(olist_closed_deals_dataset[[#This Row],[mql_id]], leads!A:A, leads!D:D, "Unknow" )</f>
        <v>organic_search</v>
      </c>
      <c r="P2" t="str">
        <f>IF(olist_closed_deals_dataset[[#This Row],[declared_monthly_revenue]] &gt;= 10000, "High Values ", IF(olist_closed_deals_dataset[[#This Row],[declared_monthly_revenue]] &gt; 0, "Stander ", "No Revenue " ))</f>
        <v xml:space="preserve">No Revenue </v>
      </c>
    </row>
    <row r="3" spans="1:16" x14ac:dyDescent="0.2">
      <c r="A3" t="s">
        <v>22</v>
      </c>
      <c r="B3" t="s">
        <v>23</v>
      </c>
      <c r="C3" t="s">
        <v>24</v>
      </c>
      <c r="D3" t="s">
        <v>25</v>
      </c>
      <c r="E3" s="1">
        <v>43228.845821759256</v>
      </c>
      <c r="F3" t="s">
        <v>26</v>
      </c>
      <c r="G3" t="s">
        <v>27</v>
      </c>
      <c r="H3" t="s">
        <v>28</v>
      </c>
      <c r="I3" t="s">
        <v>1796</v>
      </c>
      <c r="J3" t="s">
        <v>1796</v>
      </c>
      <c r="K3" t="s">
        <v>1796</v>
      </c>
      <c r="L3" t="s">
        <v>21</v>
      </c>
      <c r="M3">
        <v>0</v>
      </c>
      <c r="N3">
        <v>0</v>
      </c>
      <c r="O3" t="str">
        <f>_xlfn.XLOOKUP(olist_closed_deals_dataset[[#This Row],[mql_id]], leads!A:A, leads!D:D, "Unknow" )</f>
        <v>referral</v>
      </c>
      <c r="P3" t="str">
        <f>IF(olist_closed_deals_dataset[[#This Row],[declared_monthly_revenue]] &gt;= 10000, "High Values ", IF(olist_closed_deals_dataset[[#This Row],[declared_monthly_revenue]] &gt; 0, "Stander ", "No Revenue " ))</f>
        <v xml:space="preserve">No Revenue </v>
      </c>
    </row>
    <row r="4" spans="1:16" x14ac:dyDescent="0.2">
      <c r="A4" t="s">
        <v>29</v>
      </c>
      <c r="B4" t="s">
        <v>30</v>
      </c>
      <c r="C4" t="s">
        <v>31</v>
      </c>
      <c r="D4" t="s">
        <v>32</v>
      </c>
      <c r="E4" s="1">
        <v>43256.727349537039</v>
      </c>
      <c r="F4" t="s">
        <v>33</v>
      </c>
      <c r="G4" t="s">
        <v>34</v>
      </c>
      <c r="H4" t="s">
        <v>20</v>
      </c>
      <c r="I4" t="s">
        <v>1796</v>
      </c>
      <c r="J4" t="s">
        <v>1796</v>
      </c>
      <c r="K4" t="s">
        <v>1796</v>
      </c>
      <c r="L4" t="s">
        <v>21</v>
      </c>
      <c r="M4">
        <v>0</v>
      </c>
      <c r="N4">
        <v>0</v>
      </c>
      <c r="O4" t="str">
        <f>_xlfn.XLOOKUP(olist_closed_deals_dataset[[#This Row],[mql_id]], leads!A:A, leads!D:D, "Unknow" )</f>
        <v>organic_search</v>
      </c>
      <c r="P4" t="str">
        <f>IF(olist_closed_deals_dataset[[#This Row],[declared_monthly_revenue]] &gt;= 10000, "High Values ", IF(olist_closed_deals_dataset[[#This Row],[declared_monthly_revenue]] &gt; 0, "Stander ", "No Revenue " ))</f>
        <v xml:space="preserve">No Revenue </v>
      </c>
    </row>
    <row r="5" spans="1:16" x14ac:dyDescent="0.2">
      <c r="A5" t="s">
        <v>35</v>
      </c>
      <c r="B5" t="s">
        <v>36</v>
      </c>
      <c r="C5" t="s">
        <v>37</v>
      </c>
      <c r="D5" t="s">
        <v>25</v>
      </c>
      <c r="E5" s="1">
        <v>43117.577118055553</v>
      </c>
      <c r="F5" t="s">
        <v>38</v>
      </c>
      <c r="G5" t="s">
        <v>39</v>
      </c>
      <c r="H5" t="s">
        <v>1796</v>
      </c>
      <c r="I5" t="s">
        <v>1796</v>
      </c>
      <c r="J5" t="s">
        <v>1796</v>
      </c>
      <c r="K5" t="s">
        <v>1796</v>
      </c>
      <c r="L5" t="s">
        <v>21</v>
      </c>
      <c r="M5">
        <v>0</v>
      </c>
      <c r="N5">
        <v>0</v>
      </c>
      <c r="O5" t="str">
        <f>_xlfn.XLOOKUP(olist_closed_deals_dataset[[#This Row],[mql_id]], leads!A:A, leads!D:D, "Unknow" )</f>
        <v>paid_search</v>
      </c>
      <c r="P5" t="str">
        <f>IF(olist_closed_deals_dataset[[#This Row],[declared_monthly_revenue]] &gt;= 10000, "High Values ", IF(olist_closed_deals_dataset[[#This Row],[declared_monthly_revenue]] &gt; 0, "Stander ", "No Revenue " ))</f>
        <v xml:space="preserve">No Revenue </v>
      </c>
    </row>
    <row r="6" spans="1:16" x14ac:dyDescent="0.2">
      <c r="A6" t="s">
        <v>40</v>
      </c>
      <c r="B6" t="s">
        <v>41</v>
      </c>
      <c r="C6" t="s">
        <v>42</v>
      </c>
      <c r="D6" t="s">
        <v>25</v>
      </c>
      <c r="E6" s="1">
        <v>43284.845659722225</v>
      </c>
      <c r="F6" t="s">
        <v>33</v>
      </c>
      <c r="G6" t="s">
        <v>27</v>
      </c>
      <c r="H6" t="s">
        <v>43</v>
      </c>
      <c r="I6" t="s">
        <v>1796</v>
      </c>
      <c r="J6" t="s">
        <v>1796</v>
      </c>
      <c r="K6" t="s">
        <v>1796</v>
      </c>
      <c r="L6" t="s">
        <v>44</v>
      </c>
      <c r="M6">
        <v>0</v>
      </c>
      <c r="N6">
        <v>0</v>
      </c>
      <c r="O6" t="str">
        <f>_xlfn.XLOOKUP(olist_closed_deals_dataset[[#This Row],[mql_id]], leads!A:A, leads!D:D, "Unknow" )</f>
        <v>unknown</v>
      </c>
      <c r="P6" t="str">
        <f>IF(olist_closed_deals_dataset[[#This Row],[declared_monthly_revenue]] &gt;= 10000, "High Values ", IF(olist_closed_deals_dataset[[#This Row],[declared_monthly_revenue]] &gt; 0, "Stander ", "No Revenue " ))</f>
        <v xml:space="preserve">No Revenue </v>
      </c>
    </row>
    <row r="7" spans="1:16" x14ac:dyDescent="0.2">
      <c r="A7" t="s">
        <v>45</v>
      </c>
      <c r="B7" t="s">
        <v>46</v>
      </c>
      <c r="C7" t="s">
        <v>47</v>
      </c>
      <c r="D7" t="s">
        <v>48</v>
      </c>
      <c r="E7" s="1">
        <v>43138.752835648149</v>
      </c>
      <c r="F7" t="s">
        <v>49</v>
      </c>
      <c r="G7" t="s">
        <v>19</v>
      </c>
      <c r="H7" t="s">
        <v>1796</v>
      </c>
      <c r="I7" t="s">
        <v>1796</v>
      </c>
      <c r="J7" t="s">
        <v>1796</v>
      </c>
      <c r="K7" t="s">
        <v>1796</v>
      </c>
      <c r="L7" t="s">
        <v>44</v>
      </c>
      <c r="M7">
        <v>0</v>
      </c>
      <c r="N7">
        <v>0</v>
      </c>
      <c r="O7" t="str">
        <f>_xlfn.XLOOKUP(olist_closed_deals_dataset[[#This Row],[mql_id]], leads!A:A, leads!D:D, "Unknow" )</f>
        <v>organic_search</v>
      </c>
      <c r="P7" t="str">
        <f>IF(olist_closed_deals_dataset[[#This Row],[declared_monthly_revenue]] &gt;= 10000, "High Values ", IF(olist_closed_deals_dataset[[#This Row],[declared_monthly_revenue]] &gt; 0, "Stander ", "No Revenue " ))</f>
        <v xml:space="preserve">No Revenue </v>
      </c>
    </row>
    <row r="8" spans="1:16" x14ac:dyDescent="0.2">
      <c r="A8" t="s">
        <v>50</v>
      </c>
      <c r="B8" t="s">
        <v>51</v>
      </c>
      <c r="C8" t="s">
        <v>42</v>
      </c>
      <c r="D8" t="s">
        <v>52</v>
      </c>
      <c r="E8" s="1">
        <v>43206.762754629628</v>
      </c>
      <c r="F8" t="s">
        <v>53</v>
      </c>
      <c r="G8" t="s">
        <v>19</v>
      </c>
      <c r="H8" t="s">
        <v>43</v>
      </c>
      <c r="I8" t="s">
        <v>1796</v>
      </c>
      <c r="J8" t="s">
        <v>1796</v>
      </c>
      <c r="K8" t="s">
        <v>1796</v>
      </c>
      <c r="L8" t="s">
        <v>21</v>
      </c>
      <c r="M8">
        <v>0</v>
      </c>
      <c r="N8">
        <v>0</v>
      </c>
      <c r="O8" t="str">
        <f>_xlfn.XLOOKUP(olist_closed_deals_dataset[[#This Row],[mql_id]], leads!A:A, leads!D:D, "Unknow" )</f>
        <v>direct_traffic</v>
      </c>
      <c r="P8" t="str">
        <f>IF(olist_closed_deals_dataset[[#This Row],[declared_monthly_revenue]] &gt;= 10000, "High Values ", IF(olist_closed_deals_dataset[[#This Row],[declared_monthly_revenue]] &gt; 0, "Stander ", "No Revenue " ))</f>
        <v xml:space="preserve">No Revenue </v>
      </c>
    </row>
    <row r="9" spans="1:16" x14ac:dyDescent="0.2">
      <c r="A9" t="s">
        <v>54</v>
      </c>
      <c r="B9" t="s">
        <v>55</v>
      </c>
      <c r="C9" t="s">
        <v>56</v>
      </c>
      <c r="D9" t="s">
        <v>17</v>
      </c>
      <c r="E9" s="1">
        <v>43207.709687499999</v>
      </c>
      <c r="F9" t="s">
        <v>49</v>
      </c>
      <c r="G9" t="s">
        <v>57</v>
      </c>
      <c r="H9" t="s">
        <v>20</v>
      </c>
      <c r="I9" t="s">
        <v>1796</v>
      </c>
      <c r="J9" t="s">
        <v>1796</v>
      </c>
      <c r="K9" t="s">
        <v>1796</v>
      </c>
      <c r="L9" t="s">
        <v>44</v>
      </c>
      <c r="M9">
        <v>0</v>
      </c>
      <c r="N9">
        <v>0</v>
      </c>
      <c r="O9" t="str">
        <f>_xlfn.XLOOKUP(olist_closed_deals_dataset[[#This Row],[mql_id]], leads!A:A, leads!D:D, "Unknow" )</f>
        <v>unknown</v>
      </c>
      <c r="P9" t="str">
        <f>IF(olist_closed_deals_dataset[[#This Row],[declared_monthly_revenue]] &gt;= 10000, "High Values ", IF(olist_closed_deals_dataset[[#This Row],[declared_monthly_revenue]] &gt; 0, "Stander ", "No Revenue " ))</f>
        <v xml:space="preserve">No Revenue </v>
      </c>
    </row>
    <row r="10" spans="1:16" x14ac:dyDescent="0.2">
      <c r="A10" t="s">
        <v>58</v>
      </c>
      <c r="B10" t="s">
        <v>59</v>
      </c>
      <c r="C10" t="s">
        <v>60</v>
      </c>
      <c r="D10" t="s">
        <v>32</v>
      </c>
      <c r="E10" s="1">
        <v>43234.775868055556</v>
      </c>
      <c r="F10" t="s">
        <v>61</v>
      </c>
      <c r="G10" t="s">
        <v>57</v>
      </c>
      <c r="H10" t="s">
        <v>28</v>
      </c>
      <c r="I10" t="s">
        <v>1796</v>
      </c>
      <c r="J10" t="s">
        <v>1796</v>
      </c>
      <c r="K10" t="s">
        <v>1796</v>
      </c>
      <c r="L10" t="s">
        <v>21</v>
      </c>
      <c r="M10">
        <v>0</v>
      </c>
      <c r="N10">
        <v>0</v>
      </c>
      <c r="O10" t="str">
        <f>_xlfn.XLOOKUP(olist_closed_deals_dataset[[#This Row],[mql_id]], leads!A:A, leads!D:D, "Unknow" )</f>
        <v>social</v>
      </c>
      <c r="P10" t="str">
        <f>IF(olist_closed_deals_dataset[[#This Row],[declared_monthly_revenue]] &gt;= 10000, "High Values ", IF(olist_closed_deals_dataset[[#This Row],[declared_monthly_revenue]] &gt; 0, "Stander ", "No Revenue " ))</f>
        <v xml:space="preserve">No Revenue </v>
      </c>
    </row>
    <row r="11" spans="1:16" x14ac:dyDescent="0.2">
      <c r="A11" t="s">
        <v>62</v>
      </c>
      <c r="B11" t="s">
        <v>63</v>
      </c>
      <c r="C11" t="s">
        <v>64</v>
      </c>
      <c r="D11" t="s">
        <v>65</v>
      </c>
      <c r="E11" s="1">
        <v>43214.125</v>
      </c>
      <c r="F11" t="s">
        <v>61</v>
      </c>
      <c r="G11" t="s">
        <v>19</v>
      </c>
      <c r="H11" t="s">
        <v>28</v>
      </c>
      <c r="I11" t="s">
        <v>1796</v>
      </c>
      <c r="J11" t="s">
        <v>1796</v>
      </c>
      <c r="K11" t="s">
        <v>1796</v>
      </c>
      <c r="L11" t="s">
        <v>44</v>
      </c>
      <c r="M11">
        <v>0</v>
      </c>
      <c r="N11">
        <v>0</v>
      </c>
      <c r="O11" t="str">
        <f>_xlfn.XLOOKUP(olist_closed_deals_dataset[[#This Row],[mql_id]], leads!A:A, leads!D:D, "Unknow" )</f>
        <v>paid_search</v>
      </c>
      <c r="P11" t="str">
        <f>IF(olist_closed_deals_dataset[[#This Row],[declared_monthly_revenue]] &gt;= 10000, "High Values ", IF(olist_closed_deals_dataset[[#This Row],[declared_monthly_revenue]] &gt; 0, "Stander ", "No Revenue " ))</f>
        <v xml:space="preserve">No Revenue </v>
      </c>
    </row>
    <row r="12" spans="1:16" x14ac:dyDescent="0.2">
      <c r="A12" t="s">
        <v>66</v>
      </c>
      <c r="B12" t="s">
        <v>67</v>
      </c>
      <c r="C12" t="s">
        <v>47</v>
      </c>
      <c r="D12" t="s">
        <v>17</v>
      </c>
      <c r="E12" s="1">
        <v>43159.82099537037</v>
      </c>
      <c r="F12" t="s">
        <v>68</v>
      </c>
      <c r="G12" t="s">
        <v>19</v>
      </c>
      <c r="H12" t="s">
        <v>20</v>
      </c>
      <c r="I12" t="s">
        <v>1796</v>
      </c>
      <c r="J12" t="s">
        <v>1796</v>
      </c>
      <c r="K12" t="s">
        <v>1796</v>
      </c>
      <c r="L12" t="s">
        <v>21</v>
      </c>
      <c r="M12">
        <v>0</v>
      </c>
      <c r="N12">
        <v>0</v>
      </c>
      <c r="O12" t="str">
        <f>_xlfn.XLOOKUP(olist_closed_deals_dataset[[#This Row],[mql_id]], leads!A:A, leads!D:D, "Unknow" )</f>
        <v>social</v>
      </c>
      <c r="P12" t="str">
        <f>IF(olist_closed_deals_dataset[[#This Row],[declared_monthly_revenue]] &gt;= 10000, "High Values ", IF(olist_closed_deals_dataset[[#This Row],[declared_monthly_revenue]] &gt; 0, "Stander ", "No Revenue " ))</f>
        <v xml:space="preserve">No Revenue </v>
      </c>
    </row>
    <row r="13" spans="1:16" x14ac:dyDescent="0.2">
      <c r="A13" t="s">
        <v>69</v>
      </c>
      <c r="B13" t="s">
        <v>70</v>
      </c>
      <c r="C13" t="s">
        <v>71</v>
      </c>
      <c r="D13" t="s">
        <v>25</v>
      </c>
      <c r="E13" s="1">
        <v>43154.579629629632</v>
      </c>
      <c r="F13" t="s">
        <v>68</v>
      </c>
      <c r="G13" t="s">
        <v>34</v>
      </c>
      <c r="H13" t="s">
        <v>20</v>
      </c>
      <c r="I13" t="s">
        <v>1796</v>
      </c>
      <c r="J13" t="s">
        <v>1796</v>
      </c>
      <c r="K13" t="s">
        <v>1796</v>
      </c>
      <c r="L13" t="s">
        <v>21</v>
      </c>
      <c r="M13">
        <v>0</v>
      </c>
      <c r="N13">
        <v>0</v>
      </c>
      <c r="O13" t="str">
        <f>_xlfn.XLOOKUP(olist_closed_deals_dataset[[#This Row],[mql_id]], leads!A:A, leads!D:D, "Unknow" )</f>
        <v>paid_search</v>
      </c>
      <c r="P13" t="str">
        <f>IF(olist_closed_deals_dataset[[#This Row],[declared_monthly_revenue]] &gt;= 10000, "High Values ", IF(olist_closed_deals_dataset[[#This Row],[declared_monthly_revenue]] &gt; 0, "Stander ", "No Revenue " ))</f>
        <v xml:space="preserve">No Revenue </v>
      </c>
    </row>
    <row r="14" spans="1:16" x14ac:dyDescent="0.2">
      <c r="A14" t="s">
        <v>72</v>
      </c>
      <c r="B14" t="s">
        <v>73</v>
      </c>
      <c r="C14" t="s">
        <v>24</v>
      </c>
      <c r="D14" t="s">
        <v>74</v>
      </c>
      <c r="E14" s="1">
        <v>43242.558425925927</v>
      </c>
      <c r="F14" t="s">
        <v>61</v>
      </c>
      <c r="G14" t="s">
        <v>19</v>
      </c>
      <c r="H14" t="s">
        <v>20</v>
      </c>
      <c r="I14" t="s">
        <v>1796</v>
      </c>
      <c r="J14" t="s">
        <v>1796</v>
      </c>
      <c r="K14" t="s">
        <v>1796</v>
      </c>
      <c r="L14" t="s">
        <v>21</v>
      </c>
      <c r="M14">
        <v>0</v>
      </c>
      <c r="N14">
        <v>0</v>
      </c>
      <c r="O14" t="str">
        <f>_xlfn.XLOOKUP(olist_closed_deals_dataset[[#This Row],[mql_id]], leads!A:A, leads!D:D, "Unknow" )</f>
        <v>direct_traffic</v>
      </c>
      <c r="P14" t="str">
        <f>IF(olist_closed_deals_dataset[[#This Row],[declared_monthly_revenue]] &gt;= 10000, "High Values ", IF(olist_closed_deals_dataset[[#This Row],[declared_monthly_revenue]] &gt; 0, "Stander ", "No Revenue " ))</f>
        <v xml:space="preserve">No Revenue </v>
      </c>
    </row>
    <row r="15" spans="1:16" x14ac:dyDescent="0.2">
      <c r="A15" t="s">
        <v>75</v>
      </c>
      <c r="B15" t="s">
        <v>76</v>
      </c>
      <c r="C15" t="s">
        <v>42</v>
      </c>
      <c r="D15" t="s">
        <v>77</v>
      </c>
      <c r="E15" s="1">
        <v>43265.604398148149</v>
      </c>
      <c r="F15" t="s">
        <v>78</v>
      </c>
      <c r="G15" t="s">
        <v>34</v>
      </c>
      <c r="H15" t="s">
        <v>43</v>
      </c>
      <c r="I15" t="s">
        <v>1796</v>
      </c>
      <c r="J15" t="s">
        <v>1796</v>
      </c>
      <c r="K15" t="s">
        <v>1796</v>
      </c>
      <c r="L15" t="s">
        <v>21</v>
      </c>
      <c r="M15">
        <v>0</v>
      </c>
      <c r="N15">
        <v>0</v>
      </c>
      <c r="O15" t="str">
        <f>_xlfn.XLOOKUP(olist_closed_deals_dataset[[#This Row],[mql_id]], leads!A:A, leads!D:D, "Unknow" )</f>
        <v>direct_traffic</v>
      </c>
      <c r="P15" t="str">
        <f>IF(olist_closed_deals_dataset[[#This Row],[declared_monthly_revenue]] &gt;= 10000, "High Values ", IF(olist_closed_deals_dataset[[#This Row],[declared_monthly_revenue]] &gt; 0, "Stander ", "No Revenue " ))</f>
        <v xml:space="preserve">No Revenue </v>
      </c>
    </row>
    <row r="16" spans="1:16" x14ac:dyDescent="0.2">
      <c r="A16" t="s">
        <v>79</v>
      </c>
      <c r="B16" t="s">
        <v>80</v>
      </c>
      <c r="C16" t="s">
        <v>81</v>
      </c>
      <c r="D16" t="s">
        <v>71</v>
      </c>
      <c r="E16" s="1">
        <v>43200.125</v>
      </c>
      <c r="F16" t="s">
        <v>82</v>
      </c>
      <c r="G16" t="s">
        <v>19</v>
      </c>
      <c r="H16" t="s">
        <v>20</v>
      </c>
      <c r="I16" t="s">
        <v>1796</v>
      </c>
      <c r="J16" t="s">
        <v>1796</v>
      </c>
      <c r="K16" t="s">
        <v>1796</v>
      </c>
      <c r="L16" t="s">
        <v>21</v>
      </c>
      <c r="M16">
        <v>0</v>
      </c>
      <c r="N16">
        <v>0</v>
      </c>
      <c r="O16" t="str">
        <f>_xlfn.XLOOKUP(olist_closed_deals_dataset[[#This Row],[mql_id]], leads!A:A, leads!D:D, "Unknow" )</f>
        <v>paid_search</v>
      </c>
      <c r="P16" t="str">
        <f>IF(olist_closed_deals_dataset[[#This Row],[declared_monthly_revenue]] &gt;= 10000, "High Values ", IF(olist_closed_deals_dataset[[#This Row],[declared_monthly_revenue]] &gt; 0, "Stander ", "No Revenue " ))</f>
        <v xml:space="preserve">No Revenue </v>
      </c>
    </row>
    <row r="17" spans="1:16" x14ac:dyDescent="0.2">
      <c r="A17" t="s">
        <v>83</v>
      </c>
      <c r="B17" t="s">
        <v>84</v>
      </c>
      <c r="C17" t="s">
        <v>60</v>
      </c>
      <c r="D17" t="s">
        <v>48</v>
      </c>
      <c r="E17" s="1">
        <v>43353.59584490741</v>
      </c>
      <c r="F17" t="s">
        <v>85</v>
      </c>
      <c r="G17" t="s">
        <v>27</v>
      </c>
      <c r="H17" t="s">
        <v>20</v>
      </c>
      <c r="I17" t="s">
        <v>1796</v>
      </c>
      <c r="J17" t="s">
        <v>1796</v>
      </c>
      <c r="K17" t="s">
        <v>86</v>
      </c>
      <c r="L17" t="s">
        <v>21</v>
      </c>
      <c r="M17">
        <v>2000</v>
      </c>
      <c r="N17">
        <v>100000</v>
      </c>
      <c r="O17" t="str">
        <f>_xlfn.XLOOKUP(olist_closed_deals_dataset[[#This Row],[mql_id]], leads!A:A, leads!D:D, "Unknow" )</f>
        <v>social</v>
      </c>
      <c r="P17" t="str">
        <f>IF(olist_closed_deals_dataset[[#This Row],[declared_monthly_revenue]] &gt;= 10000, "High Values ", IF(olist_closed_deals_dataset[[#This Row],[declared_monthly_revenue]] &gt; 0, "Stander ", "No Revenue " ))</f>
        <v xml:space="preserve">High Values </v>
      </c>
    </row>
    <row r="18" spans="1:16" x14ac:dyDescent="0.2">
      <c r="A18" t="s">
        <v>87</v>
      </c>
      <c r="B18" t="s">
        <v>88</v>
      </c>
      <c r="C18" t="s">
        <v>24</v>
      </c>
      <c r="D18" t="s">
        <v>89</v>
      </c>
      <c r="E18" s="1">
        <v>43200.806875000002</v>
      </c>
      <c r="F18" t="s">
        <v>38</v>
      </c>
      <c r="G18" t="s">
        <v>19</v>
      </c>
      <c r="H18" t="s">
        <v>20</v>
      </c>
      <c r="I18" t="s">
        <v>1796</v>
      </c>
      <c r="J18" t="s">
        <v>1796</v>
      </c>
      <c r="K18" t="s">
        <v>1796</v>
      </c>
      <c r="L18" t="s">
        <v>44</v>
      </c>
      <c r="M18">
        <v>0</v>
      </c>
      <c r="N18">
        <v>0</v>
      </c>
      <c r="O18" t="str">
        <f>_xlfn.XLOOKUP(olist_closed_deals_dataset[[#This Row],[mql_id]], leads!A:A, leads!D:D, "Unknow" )</f>
        <v>referral</v>
      </c>
      <c r="P18" t="str">
        <f>IF(olist_closed_deals_dataset[[#This Row],[declared_monthly_revenue]] &gt;= 10000, "High Values ", IF(olist_closed_deals_dataset[[#This Row],[declared_monthly_revenue]] &gt; 0, "Stander ", "No Revenue " ))</f>
        <v xml:space="preserve">No Revenue </v>
      </c>
    </row>
    <row r="19" spans="1:16" x14ac:dyDescent="0.2">
      <c r="A19" t="s">
        <v>90</v>
      </c>
      <c r="B19" t="s">
        <v>91</v>
      </c>
      <c r="C19" t="s">
        <v>71</v>
      </c>
      <c r="D19" t="s">
        <v>17</v>
      </c>
      <c r="E19" s="1">
        <v>43126.72483796296</v>
      </c>
      <c r="F19" t="s">
        <v>92</v>
      </c>
      <c r="G19" t="s">
        <v>27</v>
      </c>
      <c r="H19" t="s">
        <v>1796</v>
      </c>
      <c r="I19" t="s">
        <v>1796</v>
      </c>
      <c r="J19" t="s">
        <v>1796</v>
      </c>
      <c r="K19" t="s">
        <v>1796</v>
      </c>
      <c r="L19" t="s">
        <v>44</v>
      </c>
      <c r="M19">
        <v>0</v>
      </c>
      <c r="N19">
        <v>0</v>
      </c>
      <c r="O19" t="str">
        <f>_xlfn.XLOOKUP(olist_closed_deals_dataset[[#This Row],[mql_id]], leads!A:A, leads!D:D, "Unknow" )</f>
        <v>organic_search</v>
      </c>
      <c r="P19" t="str">
        <f>IF(olist_closed_deals_dataset[[#This Row],[declared_monthly_revenue]] &gt;= 10000, "High Values ", IF(olist_closed_deals_dataset[[#This Row],[declared_monthly_revenue]] &gt; 0, "Stander ", "No Revenue " ))</f>
        <v xml:space="preserve">No Revenue </v>
      </c>
    </row>
    <row r="20" spans="1:16" x14ac:dyDescent="0.2">
      <c r="A20" t="s">
        <v>93</v>
      </c>
      <c r="B20" t="s">
        <v>94</v>
      </c>
      <c r="C20" t="s">
        <v>64</v>
      </c>
      <c r="D20" t="s">
        <v>95</v>
      </c>
      <c r="E20" s="1">
        <v>43231.793969907405</v>
      </c>
      <c r="F20" t="s">
        <v>96</v>
      </c>
      <c r="G20" t="s">
        <v>19</v>
      </c>
      <c r="H20" t="s">
        <v>20</v>
      </c>
      <c r="I20" t="s">
        <v>1796</v>
      </c>
      <c r="J20" t="s">
        <v>1796</v>
      </c>
      <c r="K20" t="s">
        <v>1796</v>
      </c>
      <c r="L20" t="s">
        <v>44</v>
      </c>
      <c r="M20">
        <v>0</v>
      </c>
      <c r="N20">
        <v>0</v>
      </c>
      <c r="O20" t="str">
        <f>_xlfn.XLOOKUP(olist_closed_deals_dataset[[#This Row],[mql_id]], leads!A:A, leads!D:D, "Unknow" )</f>
        <v>organic_search</v>
      </c>
      <c r="P20" t="str">
        <f>IF(olist_closed_deals_dataset[[#This Row],[declared_monthly_revenue]] &gt;= 10000, "High Values ", IF(olist_closed_deals_dataset[[#This Row],[declared_monthly_revenue]] &gt; 0, "Stander ", "No Revenue " ))</f>
        <v xml:space="preserve">No Revenue </v>
      </c>
    </row>
    <row r="21" spans="1:16" x14ac:dyDescent="0.2">
      <c r="A21" t="s">
        <v>97</v>
      </c>
      <c r="B21" t="s">
        <v>98</v>
      </c>
      <c r="C21" t="s">
        <v>31</v>
      </c>
      <c r="D21" t="s">
        <v>17</v>
      </c>
      <c r="E21" s="1">
        <v>43270.589143518519</v>
      </c>
      <c r="F21" t="s">
        <v>49</v>
      </c>
      <c r="G21" t="s">
        <v>99</v>
      </c>
      <c r="H21" t="s">
        <v>20</v>
      </c>
      <c r="I21" t="s">
        <v>1796</v>
      </c>
      <c r="J21" t="s">
        <v>1796</v>
      </c>
      <c r="K21" t="s">
        <v>1796</v>
      </c>
      <c r="L21" t="s">
        <v>21</v>
      </c>
      <c r="M21">
        <v>0</v>
      </c>
      <c r="N21">
        <v>0</v>
      </c>
      <c r="O21" t="str">
        <f>_xlfn.XLOOKUP(olist_closed_deals_dataset[[#This Row],[mql_id]], leads!A:A, leads!D:D, "Unknow" )</f>
        <v>organic_search</v>
      </c>
      <c r="P21" t="str">
        <f>IF(olist_closed_deals_dataset[[#This Row],[declared_monthly_revenue]] &gt;= 10000, "High Values ", IF(olist_closed_deals_dataset[[#This Row],[declared_monthly_revenue]] &gt; 0, "Stander ", "No Revenue " ))</f>
        <v xml:space="preserve">No Revenue </v>
      </c>
    </row>
    <row r="22" spans="1:16" x14ac:dyDescent="0.2">
      <c r="A22" t="s">
        <v>100</v>
      </c>
      <c r="B22" t="s">
        <v>101</v>
      </c>
      <c r="C22" t="s">
        <v>37</v>
      </c>
      <c r="D22" t="s">
        <v>102</v>
      </c>
      <c r="E22" s="1">
        <v>43138.581273148149</v>
      </c>
      <c r="F22" t="s">
        <v>103</v>
      </c>
      <c r="G22" t="s">
        <v>57</v>
      </c>
      <c r="H22" t="s">
        <v>1796</v>
      </c>
      <c r="I22" t="s">
        <v>1796</v>
      </c>
      <c r="J22" t="s">
        <v>1796</v>
      </c>
      <c r="K22" t="s">
        <v>1796</v>
      </c>
      <c r="L22" t="s">
        <v>21</v>
      </c>
      <c r="M22">
        <v>0</v>
      </c>
      <c r="N22">
        <v>0</v>
      </c>
      <c r="O22" t="str">
        <f>_xlfn.XLOOKUP(olist_closed_deals_dataset[[#This Row],[mql_id]], leads!A:A, leads!D:D, "Unknow" )</f>
        <v>organic_search</v>
      </c>
      <c r="P22" t="str">
        <f>IF(olist_closed_deals_dataset[[#This Row],[declared_monthly_revenue]] &gt;= 10000, "High Values ", IF(olist_closed_deals_dataset[[#This Row],[declared_monthly_revenue]] &gt; 0, "Stander ", "No Revenue " ))</f>
        <v xml:space="preserve">No Revenue </v>
      </c>
    </row>
    <row r="23" spans="1:16" x14ac:dyDescent="0.2">
      <c r="A23" t="s">
        <v>104</v>
      </c>
      <c r="B23" t="s">
        <v>105</v>
      </c>
      <c r="C23" t="s">
        <v>65</v>
      </c>
      <c r="D23" t="s">
        <v>89</v>
      </c>
      <c r="E23" s="1">
        <v>43206.548020833332</v>
      </c>
      <c r="F23" t="s">
        <v>49</v>
      </c>
      <c r="G23" t="s">
        <v>39</v>
      </c>
      <c r="H23" t="s">
        <v>20</v>
      </c>
      <c r="I23" t="s">
        <v>1796</v>
      </c>
      <c r="J23" t="s">
        <v>1796</v>
      </c>
      <c r="K23" t="s">
        <v>1796</v>
      </c>
      <c r="L23" t="s">
        <v>21</v>
      </c>
      <c r="M23">
        <v>0</v>
      </c>
      <c r="N23">
        <v>0</v>
      </c>
      <c r="O23" t="str">
        <f>_xlfn.XLOOKUP(olist_closed_deals_dataset[[#This Row],[mql_id]], leads!A:A, leads!D:D, "Unknow" )</f>
        <v>social</v>
      </c>
      <c r="P23" t="str">
        <f>IF(olist_closed_deals_dataset[[#This Row],[declared_monthly_revenue]] &gt;= 10000, "High Values ", IF(olist_closed_deals_dataset[[#This Row],[declared_monthly_revenue]] &gt; 0, "Stander ", "No Revenue " ))</f>
        <v xml:space="preserve">No Revenue </v>
      </c>
    </row>
    <row r="24" spans="1:16" x14ac:dyDescent="0.2">
      <c r="A24" t="s">
        <v>106</v>
      </c>
      <c r="B24" t="s">
        <v>107</v>
      </c>
      <c r="C24" t="s">
        <v>37</v>
      </c>
      <c r="D24" t="s">
        <v>77</v>
      </c>
      <c r="E24" s="1">
        <v>43139.722384259258</v>
      </c>
      <c r="F24" t="s">
        <v>108</v>
      </c>
      <c r="G24" t="s">
        <v>34</v>
      </c>
      <c r="H24" t="s">
        <v>1796</v>
      </c>
      <c r="I24" t="s">
        <v>1796</v>
      </c>
      <c r="J24" t="s">
        <v>1796</v>
      </c>
      <c r="K24" t="s">
        <v>1796</v>
      </c>
      <c r="L24" t="s">
        <v>21</v>
      </c>
      <c r="M24">
        <v>0</v>
      </c>
      <c r="N24">
        <v>0</v>
      </c>
      <c r="O24" t="str">
        <f>_xlfn.XLOOKUP(olist_closed_deals_dataset[[#This Row],[mql_id]], leads!A:A, leads!D:D, "Unknow" )</f>
        <v>unknown</v>
      </c>
      <c r="P24" t="str">
        <f>IF(olist_closed_deals_dataset[[#This Row],[declared_monthly_revenue]] &gt;= 10000, "High Values ", IF(olist_closed_deals_dataset[[#This Row],[declared_monthly_revenue]] &gt; 0, "Stander ", "No Revenue " ))</f>
        <v xml:space="preserve">No Revenue </v>
      </c>
    </row>
    <row r="25" spans="1:16" x14ac:dyDescent="0.2">
      <c r="A25" t="s">
        <v>109</v>
      </c>
      <c r="B25" t="s">
        <v>110</v>
      </c>
      <c r="C25" t="s">
        <v>37</v>
      </c>
      <c r="D25" t="s">
        <v>25</v>
      </c>
      <c r="E25" s="1">
        <v>43147.522175925929</v>
      </c>
      <c r="F25" t="s">
        <v>111</v>
      </c>
      <c r="G25" t="s">
        <v>112</v>
      </c>
      <c r="H25" t="s">
        <v>1796</v>
      </c>
      <c r="I25" t="s">
        <v>1796</v>
      </c>
      <c r="J25" t="s">
        <v>1796</v>
      </c>
      <c r="K25" t="s">
        <v>1796</v>
      </c>
      <c r="L25" t="s">
        <v>44</v>
      </c>
      <c r="M25">
        <v>0</v>
      </c>
      <c r="N25">
        <v>0</v>
      </c>
      <c r="O25" t="str">
        <f>_xlfn.XLOOKUP(olist_closed_deals_dataset[[#This Row],[mql_id]], leads!A:A, leads!D:D, "Unknow" )</f>
        <v>unknown</v>
      </c>
      <c r="P25" t="str">
        <f>IF(olist_closed_deals_dataset[[#This Row],[declared_monthly_revenue]] &gt;= 10000, "High Values ", IF(olist_closed_deals_dataset[[#This Row],[declared_monthly_revenue]] &gt; 0, "Stander ", "No Revenue " ))</f>
        <v xml:space="preserve">No Revenue </v>
      </c>
    </row>
    <row r="26" spans="1:16" x14ac:dyDescent="0.2">
      <c r="A26" t="s">
        <v>113</v>
      </c>
      <c r="B26" t="s">
        <v>114</v>
      </c>
      <c r="C26" t="s">
        <v>47</v>
      </c>
      <c r="D26" t="s">
        <v>17</v>
      </c>
      <c r="E26" s="1">
        <v>43153.527951388889</v>
      </c>
      <c r="F26" t="s">
        <v>115</v>
      </c>
      <c r="G26" t="s">
        <v>19</v>
      </c>
      <c r="H26" t="s">
        <v>1796</v>
      </c>
      <c r="I26" t="s">
        <v>1796</v>
      </c>
      <c r="J26" t="s">
        <v>1796</v>
      </c>
      <c r="K26" t="s">
        <v>1796</v>
      </c>
      <c r="L26" t="s">
        <v>44</v>
      </c>
      <c r="M26">
        <v>0</v>
      </c>
      <c r="N26">
        <v>0</v>
      </c>
      <c r="O26" t="str">
        <f>_xlfn.XLOOKUP(olist_closed_deals_dataset[[#This Row],[mql_id]], leads!A:A, leads!D:D, "Unknow" )</f>
        <v>direct_traffic</v>
      </c>
      <c r="P26" t="str">
        <f>IF(olist_closed_deals_dataset[[#This Row],[declared_monthly_revenue]] &gt;= 10000, "High Values ", IF(olist_closed_deals_dataset[[#This Row],[declared_monthly_revenue]] &gt; 0, "Stander ", "No Revenue " ))</f>
        <v xml:space="preserve">No Revenue </v>
      </c>
    </row>
    <row r="27" spans="1:16" x14ac:dyDescent="0.2">
      <c r="A27" t="s">
        <v>116</v>
      </c>
      <c r="B27" t="s">
        <v>117</v>
      </c>
      <c r="C27" t="s">
        <v>81</v>
      </c>
      <c r="D27" t="s">
        <v>77</v>
      </c>
      <c r="E27" s="1">
        <v>43143.55431712963</v>
      </c>
      <c r="F27" t="s">
        <v>96</v>
      </c>
      <c r="G27" t="s">
        <v>27</v>
      </c>
      <c r="H27" t="s">
        <v>1796</v>
      </c>
      <c r="I27" t="s">
        <v>1796</v>
      </c>
      <c r="J27" t="s">
        <v>1796</v>
      </c>
      <c r="K27" t="s">
        <v>1796</v>
      </c>
      <c r="L27" t="s">
        <v>44</v>
      </c>
      <c r="M27">
        <v>0</v>
      </c>
      <c r="N27">
        <v>0</v>
      </c>
      <c r="O27" t="str">
        <f>_xlfn.XLOOKUP(olist_closed_deals_dataset[[#This Row],[mql_id]], leads!A:A, leads!D:D, "Unknow" )</f>
        <v>organic_search</v>
      </c>
      <c r="P27" t="str">
        <f>IF(olist_closed_deals_dataset[[#This Row],[declared_monthly_revenue]] &gt;= 10000, "High Values ", IF(olist_closed_deals_dataset[[#This Row],[declared_monthly_revenue]] &gt; 0, "Stander ", "No Revenue " ))</f>
        <v xml:space="preserve">No Revenue </v>
      </c>
    </row>
    <row r="28" spans="1:16" x14ac:dyDescent="0.2">
      <c r="A28" t="s">
        <v>118</v>
      </c>
      <c r="B28" t="s">
        <v>119</v>
      </c>
      <c r="C28" t="s">
        <v>47</v>
      </c>
      <c r="D28" t="s">
        <v>17</v>
      </c>
      <c r="E28" s="1">
        <v>43139.873425925929</v>
      </c>
      <c r="F28" t="s">
        <v>18</v>
      </c>
      <c r="G28" t="s">
        <v>39</v>
      </c>
      <c r="H28" t="s">
        <v>1796</v>
      </c>
      <c r="I28" t="s">
        <v>1796</v>
      </c>
      <c r="J28" t="s">
        <v>1796</v>
      </c>
      <c r="K28" t="s">
        <v>1796</v>
      </c>
      <c r="L28" t="s">
        <v>21</v>
      </c>
      <c r="M28">
        <v>0</v>
      </c>
      <c r="N28">
        <v>0</v>
      </c>
      <c r="O28" t="str">
        <f>_xlfn.XLOOKUP(olist_closed_deals_dataset[[#This Row],[mql_id]], leads!A:A, leads!D:D, "Unknow" )</f>
        <v>social</v>
      </c>
      <c r="P28" t="str">
        <f>IF(olist_closed_deals_dataset[[#This Row],[declared_monthly_revenue]] &gt;= 10000, "High Values ", IF(olist_closed_deals_dataset[[#This Row],[declared_monthly_revenue]] &gt; 0, "Stander ", "No Revenue " ))</f>
        <v xml:space="preserve">No Revenue </v>
      </c>
    </row>
    <row r="29" spans="1:16" x14ac:dyDescent="0.2">
      <c r="A29" t="s">
        <v>120</v>
      </c>
      <c r="B29" t="s">
        <v>121</v>
      </c>
      <c r="C29" t="s">
        <v>42</v>
      </c>
      <c r="D29" t="s">
        <v>95</v>
      </c>
      <c r="E29" s="1">
        <v>43196.870069444441</v>
      </c>
      <c r="F29" t="s">
        <v>61</v>
      </c>
      <c r="G29" t="s">
        <v>27</v>
      </c>
      <c r="H29" t="s">
        <v>122</v>
      </c>
      <c r="I29" t="s">
        <v>1796</v>
      </c>
      <c r="J29" t="s">
        <v>1796</v>
      </c>
      <c r="K29" t="s">
        <v>1796</v>
      </c>
      <c r="L29" t="s">
        <v>21</v>
      </c>
      <c r="M29">
        <v>0</v>
      </c>
      <c r="N29">
        <v>0</v>
      </c>
      <c r="O29" t="str">
        <f>_xlfn.XLOOKUP(olist_closed_deals_dataset[[#This Row],[mql_id]], leads!A:A, leads!D:D, "Unknow" )</f>
        <v>paid_search</v>
      </c>
      <c r="P29" t="str">
        <f>IF(olist_closed_deals_dataset[[#This Row],[declared_monthly_revenue]] &gt;= 10000, "High Values ", IF(olist_closed_deals_dataset[[#This Row],[declared_monthly_revenue]] &gt; 0, "Stander ", "No Revenue " ))</f>
        <v xml:space="preserve">No Revenue </v>
      </c>
    </row>
    <row r="30" spans="1:16" x14ac:dyDescent="0.2">
      <c r="A30" t="s">
        <v>123</v>
      </c>
      <c r="B30" t="s">
        <v>124</v>
      </c>
      <c r="C30" t="s">
        <v>24</v>
      </c>
      <c r="D30" t="s">
        <v>32</v>
      </c>
      <c r="E30" s="1">
        <v>43203.519305555557</v>
      </c>
      <c r="F30" t="s">
        <v>53</v>
      </c>
      <c r="G30" t="s">
        <v>112</v>
      </c>
      <c r="H30" t="s">
        <v>20</v>
      </c>
      <c r="I30" t="s">
        <v>1796</v>
      </c>
      <c r="J30" t="s">
        <v>1796</v>
      </c>
      <c r="K30" t="s">
        <v>1796</v>
      </c>
      <c r="L30" t="s">
        <v>21</v>
      </c>
      <c r="M30">
        <v>0</v>
      </c>
      <c r="N30">
        <v>0</v>
      </c>
      <c r="O30" t="str">
        <f>_xlfn.XLOOKUP(olist_closed_deals_dataset[[#This Row],[mql_id]], leads!A:A, leads!D:D, "Unknow" )</f>
        <v>paid_search</v>
      </c>
      <c r="P30" t="str">
        <f>IF(olist_closed_deals_dataset[[#This Row],[declared_monthly_revenue]] &gt;= 10000, "High Values ", IF(olist_closed_deals_dataset[[#This Row],[declared_monthly_revenue]] &gt; 0, "Stander ", "No Revenue " ))</f>
        <v xml:space="preserve">No Revenue </v>
      </c>
    </row>
    <row r="31" spans="1:16" x14ac:dyDescent="0.2">
      <c r="A31" t="s">
        <v>125</v>
      </c>
      <c r="B31" t="s">
        <v>126</v>
      </c>
      <c r="C31" t="s">
        <v>127</v>
      </c>
      <c r="D31" t="s">
        <v>52</v>
      </c>
      <c r="E31" s="1">
        <v>43208.751481481479</v>
      </c>
      <c r="F31" t="s">
        <v>128</v>
      </c>
      <c r="G31" t="s">
        <v>19</v>
      </c>
      <c r="H31" t="s">
        <v>28</v>
      </c>
      <c r="I31" t="s">
        <v>1796</v>
      </c>
      <c r="J31" t="s">
        <v>1796</v>
      </c>
      <c r="K31" t="s">
        <v>1796</v>
      </c>
      <c r="L31" t="s">
        <v>44</v>
      </c>
      <c r="M31">
        <v>0</v>
      </c>
      <c r="N31">
        <v>0</v>
      </c>
      <c r="O31" t="str">
        <f>_xlfn.XLOOKUP(olist_closed_deals_dataset[[#This Row],[mql_id]], leads!A:A, leads!D:D, "Unknow" )</f>
        <v>organic_search</v>
      </c>
      <c r="P31" t="str">
        <f>IF(olist_closed_deals_dataset[[#This Row],[declared_monthly_revenue]] &gt;= 10000, "High Values ", IF(olist_closed_deals_dataset[[#This Row],[declared_monthly_revenue]] &gt; 0, "Stander ", "No Revenue " ))</f>
        <v xml:space="preserve">No Revenue </v>
      </c>
    </row>
    <row r="32" spans="1:16" x14ac:dyDescent="0.2">
      <c r="A32" t="s">
        <v>129</v>
      </c>
      <c r="B32" t="s">
        <v>130</v>
      </c>
      <c r="C32" t="s">
        <v>64</v>
      </c>
      <c r="D32" t="s">
        <v>16</v>
      </c>
      <c r="E32" s="1">
        <v>43300.754247685189</v>
      </c>
      <c r="F32" t="s">
        <v>131</v>
      </c>
      <c r="G32" t="s">
        <v>19</v>
      </c>
      <c r="H32" t="s">
        <v>20</v>
      </c>
      <c r="I32" t="b">
        <v>1</v>
      </c>
      <c r="J32" t="b">
        <v>1</v>
      </c>
      <c r="K32" t="s">
        <v>86</v>
      </c>
      <c r="L32" t="s">
        <v>21</v>
      </c>
      <c r="M32">
        <v>0</v>
      </c>
      <c r="N32">
        <v>0</v>
      </c>
      <c r="O32" t="str">
        <f>_xlfn.XLOOKUP(olist_closed_deals_dataset[[#This Row],[mql_id]], leads!A:A, leads!D:D, "Unknow" )</f>
        <v>organic_search</v>
      </c>
      <c r="P32" t="str">
        <f>IF(olist_closed_deals_dataset[[#This Row],[declared_monthly_revenue]] &gt;= 10000, "High Values ", IF(olist_closed_deals_dataset[[#This Row],[declared_monthly_revenue]] &gt; 0, "Stander ", "No Revenue " ))</f>
        <v xml:space="preserve">No Revenue </v>
      </c>
    </row>
    <row r="33" spans="1:16" x14ac:dyDescent="0.2">
      <c r="A33" t="s">
        <v>132</v>
      </c>
      <c r="B33" t="s">
        <v>133</v>
      </c>
      <c r="C33" t="s">
        <v>42</v>
      </c>
      <c r="D33" t="s">
        <v>71</v>
      </c>
      <c r="E33" s="1">
        <v>43285.630173611113</v>
      </c>
      <c r="F33" t="s">
        <v>92</v>
      </c>
      <c r="G33" t="s">
        <v>39</v>
      </c>
      <c r="H33" t="s">
        <v>20</v>
      </c>
      <c r="I33" t="s">
        <v>1796</v>
      </c>
      <c r="J33" t="s">
        <v>1796</v>
      </c>
      <c r="K33" t="s">
        <v>1796</v>
      </c>
      <c r="L33" t="s">
        <v>21</v>
      </c>
      <c r="M33">
        <v>0</v>
      </c>
      <c r="N33">
        <v>0</v>
      </c>
      <c r="O33" t="str">
        <f>_xlfn.XLOOKUP(olist_closed_deals_dataset[[#This Row],[mql_id]], leads!A:A, leads!D:D, "Unknow" )</f>
        <v>unknown</v>
      </c>
      <c r="P33" t="str">
        <f>IF(olist_closed_deals_dataset[[#This Row],[declared_monthly_revenue]] &gt;= 10000, "High Values ", IF(olist_closed_deals_dataset[[#This Row],[declared_monthly_revenue]] &gt; 0, "Stander ", "No Revenue " ))</f>
        <v xml:space="preserve">No Revenue </v>
      </c>
    </row>
    <row r="34" spans="1:16" x14ac:dyDescent="0.2">
      <c r="A34" t="s">
        <v>134</v>
      </c>
      <c r="B34" t="s">
        <v>135</v>
      </c>
      <c r="C34" t="s">
        <v>24</v>
      </c>
      <c r="D34" t="s">
        <v>71</v>
      </c>
      <c r="E34" s="1">
        <v>43215.125</v>
      </c>
      <c r="F34" t="s">
        <v>49</v>
      </c>
      <c r="G34" t="s">
        <v>19</v>
      </c>
      <c r="H34" t="s">
        <v>122</v>
      </c>
      <c r="I34" t="s">
        <v>1796</v>
      </c>
      <c r="J34" t="s">
        <v>1796</v>
      </c>
      <c r="K34" t="s">
        <v>1796</v>
      </c>
      <c r="L34" t="s">
        <v>21</v>
      </c>
      <c r="M34">
        <v>0</v>
      </c>
      <c r="N34">
        <v>0</v>
      </c>
      <c r="O34" t="str">
        <f>_xlfn.XLOOKUP(olist_closed_deals_dataset[[#This Row],[mql_id]], leads!A:A, leads!D:D, "Unknow" )</f>
        <v>unknown</v>
      </c>
      <c r="P34" t="str">
        <f>IF(olist_closed_deals_dataset[[#This Row],[declared_monthly_revenue]] &gt;= 10000, "High Values ", IF(olist_closed_deals_dataset[[#This Row],[declared_monthly_revenue]] &gt; 0, "Stander ", "No Revenue " ))</f>
        <v xml:space="preserve">No Revenue </v>
      </c>
    </row>
    <row r="35" spans="1:16" x14ac:dyDescent="0.2">
      <c r="A35" t="s">
        <v>136</v>
      </c>
      <c r="B35" t="s">
        <v>137</v>
      </c>
      <c r="C35" t="s">
        <v>24</v>
      </c>
      <c r="D35" t="s">
        <v>95</v>
      </c>
      <c r="E35" s="1">
        <v>43256.722615740742</v>
      </c>
      <c r="F35" t="s">
        <v>138</v>
      </c>
      <c r="G35" t="s">
        <v>27</v>
      </c>
      <c r="H35" t="s">
        <v>43</v>
      </c>
      <c r="I35" t="s">
        <v>1796</v>
      </c>
      <c r="J35" t="s">
        <v>1796</v>
      </c>
      <c r="K35" t="s">
        <v>1796</v>
      </c>
      <c r="L35" t="s">
        <v>21</v>
      </c>
      <c r="M35">
        <v>0</v>
      </c>
      <c r="N35">
        <v>0</v>
      </c>
      <c r="O35" t="str">
        <f>_xlfn.XLOOKUP(olist_closed_deals_dataset[[#This Row],[mql_id]], leads!A:A, leads!D:D, "Unknow" )</f>
        <v>organic_search</v>
      </c>
      <c r="P35" t="str">
        <f>IF(olist_closed_deals_dataset[[#This Row],[declared_monthly_revenue]] &gt;= 10000, "High Values ", IF(olist_closed_deals_dataset[[#This Row],[declared_monthly_revenue]] &gt; 0, "Stander ", "No Revenue " ))</f>
        <v xml:space="preserve">No Revenue </v>
      </c>
    </row>
    <row r="36" spans="1:16" x14ac:dyDescent="0.2">
      <c r="A36" t="s">
        <v>139</v>
      </c>
      <c r="B36" t="s">
        <v>140</v>
      </c>
      <c r="C36" t="s">
        <v>141</v>
      </c>
      <c r="D36" t="s">
        <v>81</v>
      </c>
      <c r="E36" s="1">
        <v>43404.70484953704</v>
      </c>
      <c r="F36" t="s">
        <v>53</v>
      </c>
      <c r="G36" t="s">
        <v>19</v>
      </c>
      <c r="H36" t="s">
        <v>20</v>
      </c>
      <c r="I36" t="b">
        <v>1</v>
      </c>
      <c r="J36" t="s">
        <v>1796</v>
      </c>
      <c r="K36" t="s">
        <v>142</v>
      </c>
      <c r="L36" t="s">
        <v>21</v>
      </c>
      <c r="M36">
        <v>80</v>
      </c>
      <c r="N36">
        <v>0</v>
      </c>
      <c r="O36" t="str">
        <f>_xlfn.XLOOKUP(olist_closed_deals_dataset[[#This Row],[mql_id]], leads!A:A, leads!D:D, "Unknow" )</f>
        <v>paid_search</v>
      </c>
      <c r="P36" t="str">
        <f>IF(olist_closed_deals_dataset[[#This Row],[declared_monthly_revenue]] &gt;= 10000, "High Values ", IF(olist_closed_deals_dataset[[#This Row],[declared_monthly_revenue]] &gt; 0, "Stander ", "No Revenue " ))</f>
        <v xml:space="preserve">No Revenue </v>
      </c>
    </row>
    <row r="37" spans="1:16" x14ac:dyDescent="0.2">
      <c r="A37" t="s">
        <v>143</v>
      </c>
      <c r="B37" t="s">
        <v>144</v>
      </c>
      <c r="C37" t="s">
        <v>56</v>
      </c>
      <c r="D37" t="s">
        <v>52</v>
      </c>
      <c r="E37" s="1">
        <v>43250.61377314815</v>
      </c>
      <c r="F37" t="s">
        <v>18</v>
      </c>
      <c r="G37" t="s">
        <v>27</v>
      </c>
      <c r="H37" t="s">
        <v>20</v>
      </c>
      <c r="I37" t="s">
        <v>1796</v>
      </c>
      <c r="J37" t="s">
        <v>1796</v>
      </c>
      <c r="K37" t="s">
        <v>1796</v>
      </c>
      <c r="L37" t="s">
        <v>44</v>
      </c>
      <c r="M37">
        <v>0</v>
      </c>
      <c r="N37">
        <v>0</v>
      </c>
      <c r="O37" t="str">
        <f>_xlfn.XLOOKUP(olist_closed_deals_dataset[[#This Row],[mql_id]], leads!A:A, leads!D:D, "Unknow" )</f>
        <v>paid_search</v>
      </c>
      <c r="P37" t="str">
        <f>IF(olist_closed_deals_dataset[[#This Row],[declared_monthly_revenue]] &gt;= 10000, "High Values ", IF(olist_closed_deals_dataset[[#This Row],[declared_monthly_revenue]] &gt; 0, "Stander ", "No Revenue " ))</f>
        <v xml:space="preserve">No Revenue </v>
      </c>
    </row>
    <row r="38" spans="1:16" x14ac:dyDescent="0.2">
      <c r="A38" t="s">
        <v>145</v>
      </c>
      <c r="B38" t="s">
        <v>146</v>
      </c>
      <c r="C38" t="s">
        <v>16</v>
      </c>
      <c r="D38" t="s">
        <v>77</v>
      </c>
      <c r="E38" s="1">
        <v>43165.517696759256</v>
      </c>
      <c r="F38" t="s">
        <v>38</v>
      </c>
      <c r="G38" t="s">
        <v>19</v>
      </c>
      <c r="H38" t="s">
        <v>20</v>
      </c>
      <c r="I38" t="s">
        <v>1796</v>
      </c>
      <c r="J38" t="s">
        <v>1796</v>
      </c>
      <c r="K38" t="s">
        <v>1796</v>
      </c>
      <c r="L38" t="s">
        <v>44</v>
      </c>
      <c r="M38">
        <v>0</v>
      </c>
      <c r="N38">
        <v>0</v>
      </c>
      <c r="O38" t="str">
        <f>_xlfn.XLOOKUP(olist_closed_deals_dataset[[#This Row],[mql_id]], leads!A:A, leads!D:D, "Unknow" )</f>
        <v>organic_search</v>
      </c>
      <c r="P38" t="str">
        <f>IF(olist_closed_deals_dataset[[#This Row],[declared_monthly_revenue]] &gt;= 10000, "High Values ", IF(olist_closed_deals_dataset[[#This Row],[declared_monthly_revenue]] &gt; 0, "Stander ", "No Revenue " ))</f>
        <v xml:space="preserve">No Revenue </v>
      </c>
    </row>
    <row r="39" spans="1:16" x14ac:dyDescent="0.2">
      <c r="A39" t="s">
        <v>147</v>
      </c>
      <c r="B39" t="s">
        <v>148</v>
      </c>
      <c r="C39" t="s">
        <v>149</v>
      </c>
      <c r="D39" t="s">
        <v>71</v>
      </c>
      <c r="E39" s="1">
        <v>43370.521539351852</v>
      </c>
      <c r="F39" t="s">
        <v>49</v>
      </c>
      <c r="G39" t="s">
        <v>19</v>
      </c>
      <c r="H39" t="s">
        <v>20</v>
      </c>
      <c r="I39" t="s">
        <v>1796</v>
      </c>
      <c r="J39" t="b">
        <v>0</v>
      </c>
      <c r="K39" t="s">
        <v>1796</v>
      </c>
      <c r="L39" t="s">
        <v>21</v>
      </c>
      <c r="M39">
        <v>15</v>
      </c>
      <c r="N39">
        <v>20000</v>
      </c>
      <c r="O39" t="str">
        <f>_xlfn.XLOOKUP(olist_closed_deals_dataset[[#This Row],[mql_id]], leads!A:A, leads!D:D, "Unknow" )</f>
        <v>unknown</v>
      </c>
      <c r="P39" t="str">
        <f>IF(olist_closed_deals_dataset[[#This Row],[declared_monthly_revenue]] &gt;= 10000, "High Values ", IF(olist_closed_deals_dataset[[#This Row],[declared_monthly_revenue]] &gt; 0, "Stander ", "No Revenue " ))</f>
        <v xml:space="preserve">High Values </v>
      </c>
    </row>
    <row r="40" spans="1:16" x14ac:dyDescent="0.2">
      <c r="A40" t="s">
        <v>150</v>
      </c>
      <c r="B40" t="s">
        <v>151</v>
      </c>
      <c r="C40" t="s">
        <v>42</v>
      </c>
      <c r="D40" t="s">
        <v>32</v>
      </c>
      <c r="E40" s="1">
        <v>43137.657106481478</v>
      </c>
      <c r="F40" t="s">
        <v>103</v>
      </c>
      <c r="G40" t="s">
        <v>112</v>
      </c>
      <c r="H40" t="s">
        <v>1796</v>
      </c>
      <c r="I40" t="s">
        <v>1796</v>
      </c>
      <c r="J40" t="s">
        <v>1796</v>
      </c>
      <c r="K40" t="s">
        <v>1796</v>
      </c>
      <c r="L40" t="s">
        <v>44</v>
      </c>
      <c r="M40">
        <v>0</v>
      </c>
      <c r="N40">
        <v>0</v>
      </c>
      <c r="O40" t="str">
        <f>_xlfn.XLOOKUP(olist_closed_deals_dataset[[#This Row],[mql_id]], leads!A:A, leads!D:D, "Unknow" )</f>
        <v>direct_traffic</v>
      </c>
      <c r="P40" t="str">
        <f>IF(olist_closed_deals_dataset[[#This Row],[declared_monthly_revenue]] &gt;= 10000, "High Values ", IF(olist_closed_deals_dataset[[#This Row],[declared_monthly_revenue]] &gt; 0, "Stander ", "No Revenue " ))</f>
        <v xml:space="preserve">No Revenue </v>
      </c>
    </row>
    <row r="41" spans="1:16" x14ac:dyDescent="0.2">
      <c r="A41" t="s">
        <v>152</v>
      </c>
      <c r="B41" t="s">
        <v>153</v>
      </c>
      <c r="C41" t="s">
        <v>37</v>
      </c>
      <c r="D41" t="s">
        <v>25</v>
      </c>
      <c r="E41" s="1">
        <v>43235.753761574073</v>
      </c>
      <c r="F41" t="s">
        <v>26</v>
      </c>
      <c r="G41" t="s">
        <v>19</v>
      </c>
      <c r="H41" t="s">
        <v>1796</v>
      </c>
      <c r="I41" t="s">
        <v>1796</v>
      </c>
      <c r="J41" t="s">
        <v>1796</v>
      </c>
      <c r="K41" t="s">
        <v>1796</v>
      </c>
      <c r="L41" t="s">
        <v>21</v>
      </c>
      <c r="M41">
        <v>0</v>
      </c>
      <c r="N41">
        <v>0</v>
      </c>
      <c r="O41" t="str">
        <f>_xlfn.XLOOKUP(olist_closed_deals_dataset[[#This Row],[mql_id]], leads!A:A, leads!D:D, "Unknow" )</f>
        <v>unknown</v>
      </c>
      <c r="P41" t="str">
        <f>IF(olist_closed_deals_dataset[[#This Row],[declared_monthly_revenue]] &gt;= 10000, "High Values ", IF(olist_closed_deals_dataset[[#This Row],[declared_monthly_revenue]] &gt; 0, "Stander ", "No Revenue " ))</f>
        <v xml:space="preserve">No Revenue </v>
      </c>
    </row>
    <row r="42" spans="1:16" x14ac:dyDescent="0.2">
      <c r="A42" t="s">
        <v>154</v>
      </c>
      <c r="B42" t="s">
        <v>155</v>
      </c>
      <c r="C42" t="s">
        <v>127</v>
      </c>
      <c r="D42" t="s">
        <v>16</v>
      </c>
      <c r="E42" s="1">
        <v>43262.528263888889</v>
      </c>
      <c r="F42" t="s">
        <v>49</v>
      </c>
      <c r="G42" t="s">
        <v>19</v>
      </c>
      <c r="H42" t="s">
        <v>20</v>
      </c>
      <c r="I42" t="s">
        <v>1796</v>
      </c>
      <c r="J42" t="s">
        <v>1796</v>
      </c>
      <c r="K42" t="s">
        <v>1796</v>
      </c>
      <c r="L42" t="s">
        <v>21</v>
      </c>
      <c r="M42">
        <v>0</v>
      </c>
      <c r="N42">
        <v>0</v>
      </c>
      <c r="O42" t="str">
        <f>_xlfn.XLOOKUP(olist_closed_deals_dataset[[#This Row],[mql_id]], leads!A:A, leads!D:D, "Unknow" )</f>
        <v>social</v>
      </c>
      <c r="P42" t="str">
        <f>IF(olist_closed_deals_dataset[[#This Row],[declared_monthly_revenue]] &gt;= 10000, "High Values ", IF(olist_closed_deals_dataset[[#This Row],[declared_monthly_revenue]] &gt; 0, "Stander ", "No Revenue " ))</f>
        <v xml:space="preserve">No Revenue </v>
      </c>
    </row>
    <row r="43" spans="1:16" x14ac:dyDescent="0.2">
      <c r="A43" t="s">
        <v>156</v>
      </c>
      <c r="B43" t="s">
        <v>157</v>
      </c>
      <c r="C43" t="s">
        <v>158</v>
      </c>
      <c r="D43" t="s">
        <v>159</v>
      </c>
      <c r="E43" s="1">
        <v>43418.752997685187</v>
      </c>
      <c r="F43" t="s">
        <v>160</v>
      </c>
      <c r="G43" t="s">
        <v>160</v>
      </c>
      <c r="H43" t="s">
        <v>20</v>
      </c>
      <c r="I43" t="b">
        <v>0</v>
      </c>
      <c r="J43" t="b">
        <v>0</v>
      </c>
      <c r="K43" t="s">
        <v>142</v>
      </c>
      <c r="L43" t="s">
        <v>160</v>
      </c>
      <c r="M43">
        <v>120</v>
      </c>
      <c r="N43">
        <v>6000</v>
      </c>
      <c r="O43" t="str">
        <f>_xlfn.XLOOKUP(olist_closed_deals_dataset[[#This Row],[mql_id]], leads!A:A, leads!D:D, "Unknow" )</f>
        <v>organic_search</v>
      </c>
      <c r="P43" t="str">
        <f>IF(olist_closed_deals_dataset[[#This Row],[declared_monthly_revenue]] &gt;= 10000, "High Values ", IF(olist_closed_deals_dataset[[#This Row],[declared_monthly_revenue]] &gt; 0, "Stander ", "No Revenue " ))</f>
        <v xml:space="preserve">Stander </v>
      </c>
    </row>
    <row r="44" spans="1:16" x14ac:dyDescent="0.2">
      <c r="A44" t="s">
        <v>161</v>
      </c>
      <c r="B44" t="s">
        <v>162</v>
      </c>
      <c r="C44" t="s">
        <v>81</v>
      </c>
      <c r="D44" t="s">
        <v>74</v>
      </c>
      <c r="E44" s="1">
        <v>43217.584409722222</v>
      </c>
      <c r="F44" t="s">
        <v>111</v>
      </c>
      <c r="G44" t="s">
        <v>112</v>
      </c>
      <c r="H44" t="s">
        <v>20</v>
      </c>
      <c r="I44" t="s">
        <v>1796</v>
      </c>
      <c r="J44" t="s">
        <v>1796</v>
      </c>
      <c r="K44" t="s">
        <v>1796</v>
      </c>
      <c r="L44" t="s">
        <v>44</v>
      </c>
      <c r="M44">
        <v>0</v>
      </c>
      <c r="N44">
        <v>0</v>
      </c>
      <c r="O44" t="str">
        <f>_xlfn.XLOOKUP(olist_closed_deals_dataset[[#This Row],[mql_id]], leads!A:A, leads!D:D, "Unknow" )</f>
        <v>organic_search</v>
      </c>
      <c r="P44" t="str">
        <f>IF(olist_closed_deals_dataset[[#This Row],[declared_monthly_revenue]] &gt;= 10000, "High Values ", IF(olist_closed_deals_dataset[[#This Row],[declared_monthly_revenue]] &gt; 0, "Stander ", "No Revenue " ))</f>
        <v xml:space="preserve">No Revenue </v>
      </c>
    </row>
    <row r="45" spans="1:16" x14ac:dyDescent="0.2">
      <c r="A45" t="s">
        <v>163</v>
      </c>
      <c r="B45" t="s">
        <v>164</v>
      </c>
      <c r="C45" t="s">
        <v>64</v>
      </c>
      <c r="D45" t="s">
        <v>102</v>
      </c>
      <c r="E45" s="1">
        <v>43186.801388888889</v>
      </c>
      <c r="F45" t="s">
        <v>96</v>
      </c>
      <c r="G45" t="s">
        <v>57</v>
      </c>
      <c r="H45" t="s">
        <v>28</v>
      </c>
      <c r="I45" t="s">
        <v>1796</v>
      </c>
      <c r="J45" t="s">
        <v>1796</v>
      </c>
      <c r="K45" t="s">
        <v>1796</v>
      </c>
      <c r="L45" t="s">
        <v>44</v>
      </c>
      <c r="M45">
        <v>0</v>
      </c>
      <c r="N45">
        <v>0</v>
      </c>
      <c r="O45" t="str">
        <f>_xlfn.XLOOKUP(olist_closed_deals_dataset[[#This Row],[mql_id]], leads!A:A, leads!D:D, "Unknow" )</f>
        <v>unknown</v>
      </c>
      <c r="P45" t="str">
        <f>IF(olist_closed_deals_dataset[[#This Row],[declared_monthly_revenue]] &gt;= 10000, "High Values ", IF(olist_closed_deals_dataset[[#This Row],[declared_monthly_revenue]] &gt; 0, "Stander ", "No Revenue " ))</f>
        <v xml:space="preserve">No Revenue </v>
      </c>
    </row>
    <row r="46" spans="1:16" x14ac:dyDescent="0.2">
      <c r="A46" t="s">
        <v>165</v>
      </c>
      <c r="B46" t="s">
        <v>166</v>
      </c>
      <c r="C46" t="s">
        <v>56</v>
      </c>
      <c r="D46" t="s">
        <v>74</v>
      </c>
      <c r="E46" s="1">
        <v>43269.581944444442</v>
      </c>
      <c r="F46" t="s">
        <v>138</v>
      </c>
      <c r="G46" t="s">
        <v>57</v>
      </c>
      <c r="H46" t="s">
        <v>43</v>
      </c>
      <c r="I46" t="s">
        <v>1796</v>
      </c>
      <c r="J46" t="s">
        <v>1796</v>
      </c>
      <c r="K46" t="s">
        <v>1796</v>
      </c>
      <c r="L46" t="s">
        <v>21</v>
      </c>
      <c r="M46">
        <v>0</v>
      </c>
      <c r="N46">
        <v>0</v>
      </c>
      <c r="O46" t="str">
        <f>_xlfn.XLOOKUP(olist_closed_deals_dataset[[#This Row],[mql_id]], leads!A:A, leads!D:D, "Unknow" )</f>
        <v>direct_traffic</v>
      </c>
      <c r="P46" t="str">
        <f>IF(olist_closed_deals_dataset[[#This Row],[declared_monthly_revenue]] &gt;= 10000, "High Values ", IF(olist_closed_deals_dataset[[#This Row],[declared_monthly_revenue]] &gt; 0, "Stander ", "No Revenue " ))</f>
        <v xml:space="preserve">No Revenue </v>
      </c>
    </row>
    <row r="47" spans="1:16" x14ac:dyDescent="0.2">
      <c r="A47" t="s">
        <v>167</v>
      </c>
      <c r="B47" t="s">
        <v>168</v>
      </c>
      <c r="C47" t="s">
        <v>42</v>
      </c>
      <c r="D47" t="s">
        <v>65</v>
      </c>
      <c r="E47" s="1">
        <v>43201.125</v>
      </c>
      <c r="F47" t="s">
        <v>96</v>
      </c>
      <c r="G47" t="s">
        <v>34</v>
      </c>
      <c r="H47" t="s">
        <v>20</v>
      </c>
      <c r="I47" t="s">
        <v>1796</v>
      </c>
      <c r="J47" t="s">
        <v>1796</v>
      </c>
      <c r="K47" t="s">
        <v>1796</v>
      </c>
      <c r="L47" t="s">
        <v>21</v>
      </c>
      <c r="M47">
        <v>0</v>
      </c>
      <c r="N47">
        <v>0</v>
      </c>
      <c r="O47" t="str">
        <f>_xlfn.XLOOKUP(olist_closed_deals_dataset[[#This Row],[mql_id]], leads!A:A, leads!D:D, "Unknow" )</f>
        <v>social</v>
      </c>
      <c r="P47" t="str">
        <f>IF(olist_closed_deals_dataset[[#This Row],[declared_monthly_revenue]] &gt;= 10000, "High Values ", IF(olist_closed_deals_dataset[[#This Row],[declared_monthly_revenue]] &gt; 0, "Stander ", "No Revenue " ))</f>
        <v xml:space="preserve">No Revenue </v>
      </c>
    </row>
    <row r="48" spans="1:16" x14ac:dyDescent="0.2">
      <c r="A48" t="s">
        <v>169</v>
      </c>
      <c r="B48" t="s">
        <v>170</v>
      </c>
      <c r="C48" t="s">
        <v>64</v>
      </c>
      <c r="D48" t="s">
        <v>95</v>
      </c>
      <c r="E48" s="1">
        <v>43208.701851851853</v>
      </c>
      <c r="F48" t="s">
        <v>96</v>
      </c>
      <c r="G48" t="s">
        <v>34</v>
      </c>
      <c r="H48" t="s">
        <v>20</v>
      </c>
      <c r="I48" t="s">
        <v>1796</v>
      </c>
      <c r="J48" t="s">
        <v>1796</v>
      </c>
      <c r="K48" t="s">
        <v>1796</v>
      </c>
      <c r="L48" t="s">
        <v>44</v>
      </c>
      <c r="M48">
        <v>0</v>
      </c>
      <c r="N48">
        <v>0</v>
      </c>
      <c r="O48" t="str">
        <f>_xlfn.XLOOKUP(olist_closed_deals_dataset[[#This Row],[mql_id]], leads!A:A, leads!D:D, "Unknow" )</f>
        <v>social</v>
      </c>
      <c r="P48" t="str">
        <f>IF(olist_closed_deals_dataset[[#This Row],[declared_monthly_revenue]] &gt;= 10000, "High Values ", IF(olist_closed_deals_dataset[[#This Row],[declared_monthly_revenue]] &gt; 0, "Stander ", "No Revenue " ))</f>
        <v xml:space="preserve">No Revenue </v>
      </c>
    </row>
    <row r="49" spans="1:16" x14ac:dyDescent="0.2">
      <c r="A49" t="s">
        <v>171</v>
      </c>
      <c r="B49" t="s">
        <v>172</v>
      </c>
      <c r="C49" t="s">
        <v>42</v>
      </c>
      <c r="D49" t="s">
        <v>48</v>
      </c>
      <c r="E49" s="1">
        <v>43188.742152777777</v>
      </c>
      <c r="F49" t="s">
        <v>26</v>
      </c>
      <c r="G49" t="s">
        <v>19</v>
      </c>
      <c r="H49" t="s">
        <v>1796</v>
      </c>
      <c r="I49" t="s">
        <v>1796</v>
      </c>
      <c r="J49" t="s">
        <v>1796</v>
      </c>
      <c r="K49" t="s">
        <v>1796</v>
      </c>
      <c r="L49" t="s">
        <v>21</v>
      </c>
      <c r="M49">
        <v>0</v>
      </c>
      <c r="N49">
        <v>0</v>
      </c>
      <c r="O49" t="str">
        <f>_xlfn.XLOOKUP(olist_closed_deals_dataset[[#This Row],[mql_id]], leads!A:A, leads!D:D, "Unknow" )</f>
        <v>unknown</v>
      </c>
      <c r="P49" t="str">
        <f>IF(olist_closed_deals_dataset[[#This Row],[declared_monthly_revenue]] &gt;= 10000, "High Values ", IF(olist_closed_deals_dataset[[#This Row],[declared_monthly_revenue]] &gt; 0, "Stander ", "No Revenue " ))</f>
        <v xml:space="preserve">No Revenue </v>
      </c>
    </row>
    <row r="50" spans="1:16" x14ac:dyDescent="0.2">
      <c r="A50" t="s">
        <v>173</v>
      </c>
      <c r="B50" t="s">
        <v>174</v>
      </c>
      <c r="C50" t="s">
        <v>47</v>
      </c>
      <c r="D50" t="s">
        <v>89</v>
      </c>
      <c r="E50" s="1">
        <v>43153.554467592592</v>
      </c>
      <c r="F50" t="s">
        <v>38</v>
      </c>
      <c r="G50" t="s">
        <v>27</v>
      </c>
      <c r="H50" t="s">
        <v>1796</v>
      </c>
      <c r="I50" t="s">
        <v>1796</v>
      </c>
      <c r="J50" t="s">
        <v>1796</v>
      </c>
      <c r="K50" t="s">
        <v>1796</v>
      </c>
      <c r="L50" t="s">
        <v>44</v>
      </c>
      <c r="M50">
        <v>0</v>
      </c>
      <c r="N50">
        <v>0</v>
      </c>
      <c r="O50" t="str">
        <f>_xlfn.XLOOKUP(olist_closed_deals_dataset[[#This Row],[mql_id]], leads!A:A, leads!D:D, "Unknow" )</f>
        <v>organic_search</v>
      </c>
      <c r="P50" t="str">
        <f>IF(olist_closed_deals_dataset[[#This Row],[declared_monthly_revenue]] &gt;= 10000, "High Values ", IF(olist_closed_deals_dataset[[#This Row],[declared_monthly_revenue]] &gt; 0, "Stander ", "No Revenue " ))</f>
        <v xml:space="preserve">No Revenue </v>
      </c>
    </row>
    <row r="51" spans="1:16" x14ac:dyDescent="0.2">
      <c r="A51" t="s">
        <v>175</v>
      </c>
      <c r="B51" t="s">
        <v>176</v>
      </c>
      <c r="C51" t="s">
        <v>65</v>
      </c>
      <c r="D51" t="s">
        <v>17</v>
      </c>
      <c r="E51" s="1">
        <v>43158.83625</v>
      </c>
      <c r="F51" t="s">
        <v>18</v>
      </c>
      <c r="G51" t="s">
        <v>19</v>
      </c>
      <c r="H51" t="s">
        <v>20</v>
      </c>
      <c r="I51" t="s">
        <v>1796</v>
      </c>
      <c r="J51" t="s">
        <v>1796</v>
      </c>
      <c r="K51" t="s">
        <v>1796</v>
      </c>
      <c r="L51" t="s">
        <v>44</v>
      </c>
      <c r="M51">
        <v>0</v>
      </c>
      <c r="N51">
        <v>0</v>
      </c>
      <c r="O51" t="str">
        <f>_xlfn.XLOOKUP(olist_closed_deals_dataset[[#This Row],[mql_id]], leads!A:A, leads!D:D, "Unknow" )</f>
        <v>unknown</v>
      </c>
      <c r="P51" t="str">
        <f>IF(olist_closed_deals_dataset[[#This Row],[declared_monthly_revenue]] &gt;= 10000, "High Values ", IF(olist_closed_deals_dataset[[#This Row],[declared_monthly_revenue]] &gt; 0, "Stander ", "No Revenue " ))</f>
        <v xml:space="preserve">No Revenue </v>
      </c>
    </row>
    <row r="52" spans="1:16" x14ac:dyDescent="0.2">
      <c r="A52" t="s">
        <v>177</v>
      </c>
      <c r="B52" t="s">
        <v>178</v>
      </c>
      <c r="C52" t="s">
        <v>56</v>
      </c>
      <c r="D52" t="s">
        <v>16</v>
      </c>
      <c r="E52" s="1">
        <v>43262.502905092595</v>
      </c>
      <c r="F52" t="s">
        <v>92</v>
      </c>
      <c r="G52" t="s">
        <v>112</v>
      </c>
      <c r="H52" t="s">
        <v>20</v>
      </c>
      <c r="I52" t="s">
        <v>1796</v>
      </c>
      <c r="J52" t="s">
        <v>1796</v>
      </c>
      <c r="K52" t="s">
        <v>1796</v>
      </c>
      <c r="L52" t="s">
        <v>21</v>
      </c>
      <c r="M52">
        <v>0</v>
      </c>
      <c r="N52">
        <v>0</v>
      </c>
      <c r="O52" t="str">
        <f>_xlfn.XLOOKUP(olist_closed_deals_dataset[[#This Row],[mql_id]], leads!A:A, leads!D:D, "Unknow" )</f>
        <v>organic_search</v>
      </c>
      <c r="P52" t="str">
        <f>IF(olist_closed_deals_dataset[[#This Row],[declared_monthly_revenue]] &gt;= 10000, "High Values ", IF(olist_closed_deals_dataset[[#This Row],[declared_monthly_revenue]] &gt; 0, "Stander ", "No Revenue " ))</f>
        <v xml:space="preserve">No Revenue </v>
      </c>
    </row>
    <row r="53" spans="1:16" x14ac:dyDescent="0.2">
      <c r="A53" t="s">
        <v>179</v>
      </c>
      <c r="B53" t="s">
        <v>180</v>
      </c>
      <c r="C53" t="s">
        <v>181</v>
      </c>
      <c r="D53" t="s">
        <v>17</v>
      </c>
      <c r="E53" s="1">
        <v>43311.607534722221</v>
      </c>
      <c r="F53" t="s">
        <v>138</v>
      </c>
      <c r="G53" t="s">
        <v>34</v>
      </c>
      <c r="H53" t="s">
        <v>20</v>
      </c>
      <c r="I53" t="s">
        <v>1796</v>
      </c>
      <c r="J53" t="s">
        <v>1796</v>
      </c>
      <c r="K53" t="s">
        <v>1796</v>
      </c>
      <c r="L53" t="s">
        <v>21</v>
      </c>
      <c r="M53">
        <v>0</v>
      </c>
      <c r="N53">
        <v>0</v>
      </c>
      <c r="O53" t="str">
        <f>_xlfn.XLOOKUP(olist_closed_deals_dataset[[#This Row],[mql_id]], leads!A:A, leads!D:D, "Unknow" )</f>
        <v>paid_search</v>
      </c>
      <c r="P53" t="str">
        <f>IF(olist_closed_deals_dataset[[#This Row],[declared_monthly_revenue]] &gt;= 10000, "High Values ", IF(olist_closed_deals_dataset[[#This Row],[declared_monthly_revenue]] &gt; 0, "Stander ", "No Revenue " ))</f>
        <v xml:space="preserve">No Revenue </v>
      </c>
    </row>
    <row r="54" spans="1:16" x14ac:dyDescent="0.2">
      <c r="A54" t="s">
        <v>182</v>
      </c>
      <c r="B54" t="s">
        <v>183</v>
      </c>
      <c r="C54" t="s">
        <v>37</v>
      </c>
      <c r="D54" t="s">
        <v>95</v>
      </c>
      <c r="E54" s="1">
        <v>43192.597604166665</v>
      </c>
      <c r="F54" t="s">
        <v>68</v>
      </c>
      <c r="G54" t="s">
        <v>57</v>
      </c>
      <c r="H54" t="s">
        <v>20</v>
      </c>
      <c r="I54" t="s">
        <v>1796</v>
      </c>
      <c r="J54" t="s">
        <v>1796</v>
      </c>
      <c r="K54" t="s">
        <v>1796</v>
      </c>
      <c r="L54" t="s">
        <v>21</v>
      </c>
      <c r="M54">
        <v>0</v>
      </c>
      <c r="N54">
        <v>0</v>
      </c>
      <c r="O54" t="str">
        <f>_xlfn.XLOOKUP(olist_closed_deals_dataset[[#This Row],[mql_id]], leads!A:A, leads!D:D, "Unknow" )</f>
        <v>unknown</v>
      </c>
      <c r="P54" t="str">
        <f>IF(olist_closed_deals_dataset[[#This Row],[declared_monthly_revenue]] &gt;= 10000, "High Values ", IF(olist_closed_deals_dataset[[#This Row],[declared_monthly_revenue]] &gt; 0, "Stander ", "No Revenue " ))</f>
        <v xml:space="preserve">No Revenue </v>
      </c>
    </row>
    <row r="55" spans="1:16" x14ac:dyDescent="0.2">
      <c r="A55" t="s">
        <v>184</v>
      </c>
      <c r="B55" t="s">
        <v>185</v>
      </c>
      <c r="C55" t="s">
        <v>56</v>
      </c>
      <c r="D55" t="s">
        <v>48</v>
      </c>
      <c r="E55" s="1">
        <v>43203.535127314812</v>
      </c>
      <c r="F55" t="s">
        <v>186</v>
      </c>
      <c r="G55" t="s">
        <v>27</v>
      </c>
      <c r="H55" t="s">
        <v>20</v>
      </c>
      <c r="I55" t="s">
        <v>1796</v>
      </c>
      <c r="J55" t="s">
        <v>1796</v>
      </c>
      <c r="K55" t="s">
        <v>1796</v>
      </c>
      <c r="L55" t="s">
        <v>44</v>
      </c>
      <c r="M55">
        <v>0</v>
      </c>
      <c r="N55">
        <v>0</v>
      </c>
      <c r="O55" t="str">
        <f>_xlfn.XLOOKUP(olist_closed_deals_dataset[[#This Row],[mql_id]], leads!A:A, leads!D:D, "Unknow" )</f>
        <v>unknown</v>
      </c>
      <c r="P55" t="str">
        <f>IF(olist_closed_deals_dataset[[#This Row],[declared_monthly_revenue]] &gt;= 10000, "High Values ", IF(olist_closed_deals_dataset[[#This Row],[declared_monthly_revenue]] &gt; 0, "Stander ", "No Revenue " ))</f>
        <v xml:space="preserve">No Revenue </v>
      </c>
    </row>
    <row r="56" spans="1:16" x14ac:dyDescent="0.2">
      <c r="A56" t="s">
        <v>187</v>
      </c>
      <c r="B56" t="s">
        <v>188</v>
      </c>
      <c r="C56" t="s">
        <v>64</v>
      </c>
      <c r="D56" t="s">
        <v>17</v>
      </c>
      <c r="E56" s="1">
        <v>43182.796458333331</v>
      </c>
      <c r="F56" t="s">
        <v>68</v>
      </c>
      <c r="G56" t="s">
        <v>19</v>
      </c>
      <c r="H56" t="s">
        <v>28</v>
      </c>
      <c r="I56" t="s">
        <v>1796</v>
      </c>
      <c r="J56" t="s">
        <v>1796</v>
      </c>
      <c r="K56" t="s">
        <v>1796</v>
      </c>
      <c r="L56" t="s">
        <v>21</v>
      </c>
      <c r="M56">
        <v>0</v>
      </c>
      <c r="N56">
        <v>0</v>
      </c>
      <c r="O56" t="str">
        <f>_xlfn.XLOOKUP(olist_closed_deals_dataset[[#This Row],[mql_id]], leads!A:A, leads!D:D, "Unknow" )</f>
        <v>unknown</v>
      </c>
      <c r="P56" t="str">
        <f>IF(olist_closed_deals_dataset[[#This Row],[declared_monthly_revenue]] &gt;= 10000, "High Values ", IF(olist_closed_deals_dataset[[#This Row],[declared_monthly_revenue]] &gt; 0, "Stander ", "No Revenue " ))</f>
        <v xml:space="preserve">No Revenue </v>
      </c>
    </row>
    <row r="57" spans="1:16" x14ac:dyDescent="0.2">
      <c r="A57" t="s">
        <v>189</v>
      </c>
      <c r="B57" t="s">
        <v>190</v>
      </c>
      <c r="C57" t="s">
        <v>16</v>
      </c>
      <c r="D57" t="s">
        <v>65</v>
      </c>
      <c r="E57" s="1">
        <v>43216.125</v>
      </c>
      <c r="F57" t="s">
        <v>68</v>
      </c>
      <c r="G57" t="s">
        <v>19</v>
      </c>
      <c r="H57" t="s">
        <v>20</v>
      </c>
      <c r="I57" t="s">
        <v>1796</v>
      </c>
      <c r="J57" t="s">
        <v>1796</v>
      </c>
      <c r="K57" t="s">
        <v>1796</v>
      </c>
      <c r="L57" t="s">
        <v>44</v>
      </c>
      <c r="M57">
        <v>0</v>
      </c>
      <c r="N57">
        <v>0</v>
      </c>
      <c r="O57" t="str">
        <f>_xlfn.XLOOKUP(olist_closed_deals_dataset[[#This Row],[mql_id]], leads!A:A, leads!D:D, "Unknow" )</f>
        <v>organic_search</v>
      </c>
      <c r="P57" t="str">
        <f>IF(olist_closed_deals_dataset[[#This Row],[declared_monthly_revenue]] &gt;= 10000, "High Values ", IF(olist_closed_deals_dataset[[#This Row],[declared_monthly_revenue]] &gt; 0, "Stander ", "No Revenue " ))</f>
        <v xml:space="preserve">No Revenue </v>
      </c>
    </row>
    <row r="58" spans="1:16" x14ac:dyDescent="0.2">
      <c r="A58" t="s">
        <v>191</v>
      </c>
      <c r="B58" t="s">
        <v>192</v>
      </c>
      <c r="C58" t="s">
        <v>65</v>
      </c>
      <c r="D58" t="s">
        <v>32</v>
      </c>
      <c r="E58" s="1">
        <v>43171.556377314817</v>
      </c>
      <c r="F58" t="s">
        <v>115</v>
      </c>
      <c r="G58" t="s">
        <v>39</v>
      </c>
      <c r="H58" t="s">
        <v>20</v>
      </c>
      <c r="I58" t="s">
        <v>1796</v>
      </c>
      <c r="J58" t="s">
        <v>1796</v>
      </c>
      <c r="K58" t="s">
        <v>1796</v>
      </c>
      <c r="L58" t="s">
        <v>21</v>
      </c>
      <c r="M58">
        <v>0</v>
      </c>
      <c r="N58">
        <v>0</v>
      </c>
      <c r="O58" t="str">
        <f>_xlfn.XLOOKUP(olist_closed_deals_dataset[[#This Row],[mql_id]], leads!A:A, leads!D:D, "Unknow" )</f>
        <v>social</v>
      </c>
      <c r="P58" t="str">
        <f>IF(olist_closed_deals_dataset[[#This Row],[declared_monthly_revenue]] &gt;= 10000, "High Values ", IF(olist_closed_deals_dataset[[#This Row],[declared_monthly_revenue]] &gt; 0, "Stander ", "No Revenue " ))</f>
        <v xml:space="preserve">No Revenue </v>
      </c>
    </row>
    <row r="59" spans="1:16" x14ac:dyDescent="0.2">
      <c r="A59" t="s">
        <v>193</v>
      </c>
      <c r="B59" t="s">
        <v>194</v>
      </c>
      <c r="C59" t="s">
        <v>60</v>
      </c>
      <c r="D59" t="s">
        <v>52</v>
      </c>
      <c r="E59" s="1">
        <v>43220.884444444448</v>
      </c>
      <c r="F59" t="s">
        <v>138</v>
      </c>
      <c r="G59" t="s">
        <v>39</v>
      </c>
      <c r="H59" t="s">
        <v>20</v>
      </c>
      <c r="I59" t="s">
        <v>1796</v>
      </c>
      <c r="J59" t="s">
        <v>1796</v>
      </c>
      <c r="K59" t="s">
        <v>1796</v>
      </c>
      <c r="L59" t="s">
        <v>21</v>
      </c>
      <c r="M59">
        <v>0</v>
      </c>
      <c r="N59">
        <v>0</v>
      </c>
      <c r="O59" t="str">
        <f>_xlfn.XLOOKUP(olist_closed_deals_dataset[[#This Row],[mql_id]], leads!A:A, leads!D:D, "Unknow" )</f>
        <v>organic_search</v>
      </c>
      <c r="P59" t="str">
        <f>IF(olist_closed_deals_dataset[[#This Row],[declared_monthly_revenue]] &gt;= 10000, "High Values ", IF(olist_closed_deals_dataset[[#This Row],[declared_monthly_revenue]] &gt; 0, "Stander ", "No Revenue " ))</f>
        <v xml:space="preserve">No Revenue </v>
      </c>
    </row>
    <row r="60" spans="1:16" x14ac:dyDescent="0.2">
      <c r="A60" t="s">
        <v>195</v>
      </c>
      <c r="B60" t="s">
        <v>196</v>
      </c>
      <c r="C60" t="s">
        <v>42</v>
      </c>
      <c r="D60" t="s">
        <v>71</v>
      </c>
      <c r="E60" s="1">
        <v>43217.565972222219</v>
      </c>
      <c r="F60" t="s">
        <v>96</v>
      </c>
      <c r="G60" t="s">
        <v>19</v>
      </c>
      <c r="H60" t="s">
        <v>43</v>
      </c>
      <c r="I60" t="s">
        <v>1796</v>
      </c>
      <c r="J60" t="s">
        <v>1796</v>
      </c>
      <c r="K60" t="s">
        <v>1796</v>
      </c>
      <c r="L60" t="s">
        <v>44</v>
      </c>
      <c r="M60">
        <v>0</v>
      </c>
      <c r="N60">
        <v>0</v>
      </c>
      <c r="O60" t="str">
        <f>_xlfn.XLOOKUP(olist_closed_deals_dataset[[#This Row],[mql_id]], leads!A:A, leads!D:D, "Unknow" )</f>
        <v>paid_search</v>
      </c>
      <c r="P60" t="str">
        <f>IF(olist_closed_deals_dataset[[#This Row],[declared_monthly_revenue]] &gt;= 10000, "High Values ", IF(olist_closed_deals_dataset[[#This Row],[declared_monthly_revenue]] &gt; 0, "Stander ", "No Revenue " ))</f>
        <v xml:space="preserve">No Revenue </v>
      </c>
    </row>
    <row r="61" spans="1:16" x14ac:dyDescent="0.2">
      <c r="A61" t="s">
        <v>197</v>
      </c>
      <c r="B61" t="s">
        <v>198</v>
      </c>
      <c r="C61" t="s">
        <v>47</v>
      </c>
      <c r="D61" t="s">
        <v>17</v>
      </c>
      <c r="E61" s="1">
        <v>43347.5937962963</v>
      </c>
      <c r="F61" t="s">
        <v>78</v>
      </c>
      <c r="G61" t="s">
        <v>34</v>
      </c>
      <c r="H61" t="s">
        <v>20</v>
      </c>
      <c r="I61" t="s">
        <v>1796</v>
      </c>
      <c r="J61" t="s">
        <v>1796</v>
      </c>
      <c r="K61" t="s">
        <v>199</v>
      </c>
      <c r="L61" t="s">
        <v>21</v>
      </c>
      <c r="M61">
        <v>1000</v>
      </c>
      <c r="N61">
        <v>180000</v>
      </c>
      <c r="O61" t="str">
        <f>_xlfn.XLOOKUP(olist_closed_deals_dataset[[#This Row],[mql_id]], leads!A:A, leads!D:D, "Unknow" )</f>
        <v>paid_search</v>
      </c>
      <c r="P61" t="str">
        <f>IF(olist_closed_deals_dataset[[#This Row],[declared_monthly_revenue]] &gt;= 10000, "High Values ", IF(olist_closed_deals_dataset[[#This Row],[declared_monthly_revenue]] &gt; 0, "Stander ", "No Revenue " ))</f>
        <v xml:space="preserve">High Values </v>
      </c>
    </row>
    <row r="62" spans="1:16" x14ac:dyDescent="0.2">
      <c r="A62" t="s">
        <v>200</v>
      </c>
      <c r="B62" t="s">
        <v>201</v>
      </c>
      <c r="C62" t="s">
        <v>64</v>
      </c>
      <c r="D62" t="s">
        <v>95</v>
      </c>
      <c r="E62" s="1">
        <v>43238.755810185183</v>
      </c>
      <c r="F62" t="s">
        <v>131</v>
      </c>
      <c r="G62" t="s">
        <v>34</v>
      </c>
      <c r="H62" t="s">
        <v>20</v>
      </c>
      <c r="I62" t="s">
        <v>1796</v>
      </c>
      <c r="J62" t="s">
        <v>1796</v>
      </c>
      <c r="K62" t="s">
        <v>1796</v>
      </c>
      <c r="L62" t="s">
        <v>21</v>
      </c>
      <c r="M62">
        <v>0</v>
      </c>
      <c r="N62">
        <v>0</v>
      </c>
      <c r="O62" t="str">
        <f>_xlfn.XLOOKUP(olist_closed_deals_dataset[[#This Row],[mql_id]], leads!A:A, leads!D:D, "Unknow" )</f>
        <v>unknown</v>
      </c>
      <c r="P62" t="str">
        <f>IF(olist_closed_deals_dataset[[#This Row],[declared_monthly_revenue]] &gt;= 10000, "High Values ", IF(olist_closed_deals_dataset[[#This Row],[declared_monthly_revenue]] &gt; 0, "Stander ", "No Revenue " ))</f>
        <v xml:space="preserve">No Revenue </v>
      </c>
    </row>
    <row r="63" spans="1:16" x14ac:dyDescent="0.2">
      <c r="A63" t="s">
        <v>202</v>
      </c>
      <c r="B63" t="s">
        <v>203</v>
      </c>
      <c r="C63" t="s">
        <v>16</v>
      </c>
      <c r="D63" t="s">
        <v>17</v>
      </c>
      <c r="E63" s="1">
        <v>43158.805405092593</v>
      </c>
      <c r="F63" t="s">
        <v>204</v>
      </c>
      <c r="G63" t="s">
        <v>57</v>
      </c>
      <c r="H63" t="s">
        <v>20</v>
      </c>
      <c r="I63" t="s">
        <v>1796</v>
      </c>
      <c r="J63" t="s">
        <v>1796</v>
      </c>
      <c r="K63" t="s">
        <v>1796</v>
      </c>
      <c r="L63" t="s">
        <v>44</v>
      </c>
      <c r="M63">
        <v>0</v>
      </c>
      <c r="N63">
        <v>0</v>
      </c>
      <c r="O63" t="str">
        <f>_xlfn.XLOOKUP(olist_closed_deals_dataset[[#This Row],[mql_id]], leads!A:A, leads!D:D, "Unknow" )</f>
        <v>paid_search</v>
      </c>
      <c r="P63" t="str">
        <f>IF(olist_closed_deals_dataset[[#This Row],[declared_monthly_revenue]] &gt;= 10000, "High Values ", IF(olist_closed_deals_dataset[[#This Row],[declared_monthly_revenue]] &gt; 0, "Stander ", "No Revenue " ))</f>
        <v xml:space="preserve">No Revenue </v>
      </c>
    </row>
    <row r="64" spans="1:16" x14ac:dyDescent="0.2">
      <c r="A64" t="s">
        <v>205</v>
      </c>
      <c r="B64" t="s">
        <v>206</v>
      </c>
      <c r="C64" t="s">
        <v>81</v>
      </c>
      <c r="D64" t="s">
        <v>32</v>
      </c>
      <c r="E64" s="1">
        <v>43112.671840277777</v>
      </c>
      <c r="F64" t="s">
        <v>96</v>
      </c>
      <c r="G64" t="s">
        <v>19</v>
      </c>
      <c r="H64" t="s">
        <v>1796</v>
      </c>
      <c r="I64" t="s">
        <v>1796</v>
      </c>
      <c r="J64" t="s">
        <v>1796</v>
      </c>
      <c r="K64" t="s">
        <v>1796</v>
      </c>
      <c r="L64" t="s">
        <v>21</v>
      </c>
      <c r="M64">
        <v>0</v>
      </c>
      <c r="N64">
        <v>0</v>
      </c>
      <c r="O64" t="str">
        <f>_xlfn.XLOOKUP(olist_closed_deals_dataset[[#This Row],[mql_id]], leads!A:A, leads!D:D, "Unknow" )</f>
        <v>organic_search</v>
      </c>
      <c r="P64" t="str">
        <f>IF(olist_closed_deals_dataset[[#This Row],[declared_monthly_revenue]] &gt;= 10000, "High Values ", IF(olist_closed_deals_dataset[[#This Row],[declared_monthly_revenue]] &gt; 0, "Stander ", "No Revenue " ))</f>
        <v xml:space="preserve">No Revenue </v>
      </c>
    </row>
    <row r="65" spans="1:16" x14ac:dyDescent="0.2">
      <c r="A65" t="s">
        <v>207</v>
      </c>
      <c r="B65" t="s">
        <v>208</v>
      </c>
      <c r="C65" t="s">
        <v>37</v>
      </c>
      <c r="D65" t="s">
        <v>32</v>
      </c>
      <c r="E65" s="1">
        <v>43157.531782407408</v>
      </c>
      <c r="F65" t="s">
        <v>26</v>
      </c>
      <c r="G65" t="s">
        <v>19</v>
      </c>
      <c r="H65" t="s">
        <v>20</v>
      </c>
      <c r="I65" t="s">
        <v>1796</v>
      </c>
      <c r="J65" t="s">
        <v>1796</v>
      </c>
      <c r="K65" t="s">
        <v>1796</v>
      </c>
      <c r="L65" t="s">
        <v>21</v>
      </c>
      <c r="M65">
        <v>0</v>
      </c>
      <c r="N65">
        <v>0</v>
      </c>
      <c r="O65" t="str">
        <f>_xlfn.XLOOKUP(olist_closed_deals_dataset[[#This Row],[mql_id]], leads!A:A, leads!D:D, "Unknow" )</f>
        <v>organic_search</v>
      </c>
      <c r="P65" t="str">
        <f>IF(olist_closed_deals_dataset[[#This Row],[declared_monthly_revenue]] &gt;= 10000, "High Values ", IF(olist_closed_deals_dataset[[#This Row],[declared_monthly_revenue]] &gt; 0, "Stander ", "No Revenue " ))</f>
        <v xml:space="preserve">No Revenue </v>
      </c>
    </row>
    <row r="66" spans="1:16" x14ac:dyDescent="0.2">
      <c r="A66" t="s">
        <v>209</v>
      </c>
      <c r="B66" t="s">
        <v>210</v>
      </c>
      <c r="C66" t="s">
        <v>16</v>
      </c>
      <c r="D66" t="s">
        <v>65</v>
      </c>
      <c r="E66" s="1">
        <v>43193.125</v>
      </c>
      <c r="F66" t="s">
        <v>26</v>
      </c>
      <c r="G66" t="s">
        <v>34</v>
      </c>
      <c r="H66" t="s">
        <v>20</v>
      </c>
      <c r="I66" t="s">
        <v>1796</v>
      </c>
      <c r="J66" t="s">
        <v>1796</v>
      </c>
      <c r="K66" t="s">
        <v>1796</v>
      </c>
      <c r="L66" t="s">
        <v>21</v>
      </c>
      <c r="M66">
        <v>0</v>
      </c>
      <c r="N66">
        <v>0</v>
      </c>
      <c r="O66" t="str">
        <f>_xlfn.XLOOKUP(olist_closed_deals_dataset[[#This Row],[mql_id]], leads!A:A, leads!D:D, "Unknow" )</f>
        <v>paid_search</v>
      </c>
      <c r="P66" t="str">
        <f>IF(olist_closed_deals_dataset[[#This Row],[declared_monthly_revenue]] &gt;= 10000, "High Values ", IF(olist_closed_deals_dataset[[#This Row],[declared_monthly_revenue]] &gt; 0, "Stander ", "No Revenue " ))</f>
        <v xml:space="preserve">No Revenue </v>
      </c>
    </row>
    <row r="67" spans="1:16" x14ac:dyDescent="0.2">
      <c r="A67" t="s">
        <v>211</v>
      </c>
      <c r="B67" t="s">
        <v>212</v>
      </c>
      <c r="C67" t="s">
        <v>24</v>
      </c>
      <c r="D67" t="s">
        <v>25</v>
      </c>
      <c r="E67" s="1">
        <v>43217.67496527778</v>
      </c>
      <c r="F67" t="s">
        <v>49</v>
      </c>
      <c r="G67" t="s">
        <v>19</v>
      </c>
      <c r="H67" t="s">
        <v>20</v>
      </c>
      <c r="I67" t="s">
        <v>1796</v>
      </c>
      <c r="J67" t="s">
        <v>1796</v>
      </c>
      <c r="K67" t="s">
        <v>1796</v>
      </c>
      <c r="L67" t="s">
        <v>21</v>
      </c>
      <c r="M67">
        <v>0</v>
      </c>
      <c r="N67">
        <v>0</v>
      </c>
      <c r="O67" t="str">
        <f>_xlfn.XLOOKUP(olist_closed_deals_dataset[[#This Row],[mql_id]], leads!A:A, leads!D:D, "Unknow" )</f>
        <v>social</v>
      </c>
      <c r="P67" t="str">
        <f>IF(olist_closed_deals_dataset[[#This Row],[declared_monthly_revenue]] &gt;= 10000, "High Values ", IF(olist_closed_deals_dataset[[#This Row],[declared_monthly_revenue]] &gt; 0, "Stander ", "No Revenue " ))</f>
        <v xml:space="preserve">No Revenue </v>
      </c>
    </row>
    <row r="68" spans="1:16" x14ac:dyDescent="0.2">
      <c r="A68" t="s">
        <v>213</v>
      </c>
      <c r="B68" t="s">
        <v>214</v>
      </c>
      <c r="C68" t="s">
        <v>16</v>
      </c>
      <c r="D68" t="s">
        <v>74</v>
      </c>
      <c r="E68" s="1">
        <v>43217.864351851851</v>
      </c>
      <c r="F68" t="s">
        <v>18</v>
      </c>
      <c r="G68" t="s">
        <v>39</v>
      </c>
      <c r="H68" t="s">
        <v>20</v>
      </c>
      <c r="I68" t="s">
        <v>1796</v>
      </c>
      <c r="J68" t="s">
        <v>1796</v>
      </c>
      <c r="K68" t="s">
        <v>1796</v>
      </c>
      <c r="L68" t="s">
        <v>21</v>
      </c>
      <c r="M68">
        <v>0</v>
      </c>
      <c r="N68">
        <v>0</v>
      </c>
      <c r="O68" t="str">
        <f>_xlfn.XLOOKUP(olist_closed_deals_dataset[[#This Row],[mql_id]], leads!A:A, leads!D:D, "Unknow" )</f>
        <v>organic_search</v>
      </c>
      <c r="P68" t="str">
        <f>IF(olist_closed_deals_dataset[[#This Row],[declared_monthly_revenue]] &gt;= 10000, "High Values ", IF(olist_closed_deals_dataset[[#This Row],[declared_monthly_revenue]] &gt; 0, "Stander ", "No Revenue " ))</f>
        <v xml:space="preserve">No Revenue </v>
      </c>
    </row>
    <row r="69" spans="1:16" x14ac:dyDescent="0.2">
      <c r="A69" t="s">
        <v>215</v>
      </c>
      <c r="B69" t="s">
        <v>216</v>
      </c>
      <c r="C69" t="s">
        <v>37</v>
      </c>
      <c r="D69" t="s">
        <v>102</v>
      </c>
      <c r="E69" s="1">
        <v>43153.880439814813</v>
      </c>
      <c r="F69" t="s">
        <v>96</v>
      </c>
      <c r="G69" t="s">
        <v>39</v>
      </c>
      <c r="H69" t="s">
        <v>20</v>
      </c>
      <c r="I69" t="s">
        <v>1796</v>
      </c>
      <c r="J69" t="s">
        <v>1796</v>
      </c>
      <c r="K69" t="s">
        <v>1796</v>
      </c>
      <c r="L69" t="s">
        <v>44</v>
      </c>
      <c r="M69">
        <v>0</v>
      </c>
      <c r="N69">
        <v>0</v>
      </c>
      <c r="O69" t="str">
        <f>_xlfn.XLOOKUP(olist_closed_deals_dataset[[#This Row],[mql_id]], leads!A:A, leads!D:D, "Unknow" )</f>
        <v>direct_traffic</v>
      </c>
      <c r="P69" t="str">
        <f>IF(olist_closed_deals_dataset[[#This Row],[declared_monthly_revenue]] &gt;= 10000, "High Values ", IF(olist_closed_deals_dataset[[#This Row],[declared_monthly_revenue]] &gt; 0, "Stander ", "No Revenue " ))</f>
        <v xml:space="preserve">No Revenue </v>
      </c>
    </row>
    <row r="70" spans="1:16" x14ac:dyDescent="0.2">
      <c r="A70" t="s">
        <v>217</v>
      </c>
      <c r="B70" t="s">
        <v>218</v>
      </c>
      <c r="C70" t="s">
        <v>37</v>
      </c>
      <c r="D70" t="s">
        <v>17</v>
      </c>
      <c r="E70" s="1">
        <v>43131.875150462962</v>
      </c>
      <c r="F70" t="s">
        <v>38</v>
      </c>
      <c r="G70" t="s">
        <v>57</v>
      </c>
      <c r="H70" t="s">
        <v>1796</v>
      </c>
      <c r="I70" t="s">
        <v>1796</v>
      </c>
      <c r="J70" t="s">
        <v>1796</v>
      </c>
      <c r="K70" t="s">
        <v>1796</v>
      </c>
      <c r="L70" t="s">
        <v>21</v>
      </c>
      <c r="M70">
        <v>0</v>
      </c>
      <c r="N70">
        <v>0</v>
      </c>
      <c r="O70" t="str">
        <f>_xlfn.XLOOKUP(olist_closed_deals_dataset[[#This Row],[mql_id]], leads!A:A, leads!D:D, "Unknow" )</f>
        <v>unknown</v>
      </c>
      <c r="P70" t="str">
        <f>IF(olist_closed_deals_dataset[[#This Row],[declared_monthly_revenue]] &gt;= 10000, "High Values ", IF(olist_closed_deals_dataset[[#This Row],[declared_monthly_revenue]] &gt; 0, "Stander ", "No Revenue " ))</f>
        <v xml:space="preserve">No Revenue </v>
      </c>
    </row>
    <row r="71" spans="1:16" x14ac:dyDescent="0.2">
      <c r="A71" t="s">
        <v>219</v>
      </c>
      <c r="B71" t="s">
        <v>220</v>
      </c>
      <c r="C71" t="s">
        <v>159</v>
      </c>
      <c r="D71" t="s">
        <v>17</v>
      </c>
      <c r="E71" s="1">
        <v>43276.815092592595</v>
      </c>
      <c r="F71" t="s">
        <v>221</v>
      </c>
      <c r="G71" t="s">
        <v>27</v>
      </c>
      <c r="H71" t="s">
        <v>20</v>
      </c>
      <c r="I71" t="s">
        <v>1796</v>
      </c>
      <c r="J71" t="s">
        <v>1796</v>
      </c>
      <c r="K71" t="s">
        <v>1796</v>
      </c>
      <c r="L71" t="s">
        <v>21</v>
      </c>
      <c r="M71">
        <v>0</v>
      </c>
      <c r="N71">
        <v>0</v>
      </c>
      <c r="O71" t="str">
        <f>_xlfn.XLOOKUP(olist_closed_deals_dataset[[#This Row],[mql_id]], leads!A:A, leads!D:D, "Unknow" )</f>
        <v>paid_search</v>
      </c>
      <c r="P71" t="str">
        <f>IF(olist_closed_deals_dataset[[#This Row],[declared_monthly_revenue]] &gt;= 10000, "High Values ", IF(olist_closed_deals_dataset[[#This Row],[declared_monthly_revenue]] &gt; 0, "Stander ", "No Revenue " ))</f>
        <v xml:space="preserve">No Revenue </v>
      </c>
    </row>
    <row r="72" spans="1:16" x14ac:dyDescent="0.2">
      <c r="A72" t="s">
        <v>222</v>
      </c>
      <c r="B72" t="s">
        <v>223</v>
      </c>
      <c r="C72" t="s">
        <v>224</v>
      </c>
      <c r="D72" t="s">
        <v>56</v>
      </c>
      <c r="E72" s="1">
        <v>43364.762673611112</v>
      </c>
      <c r="F72" t="s">
        <v>103</v>
      </c>
      <c r="G72" t="s">
        <v>19</v>
      </c>
      <c r="H72" t="s">
        <v>225</v>
      </c>
      <c r="I72" t="b">
        <v>1</v>
      </c>
      <c r="J72" t="b">
        <v>1</v>
      </c>
      <c r="K72" t="s">
        <v>199</v>
      </c>
      <c r="L72" t="s">
        <v>21</v>
      </c>
      <c r="M72">
        <v>50</v>
      </c>
      <c r="N72">
        <v>30000</v>
      </c>
      <c r="O72" t="str">
        <f>_xlfn.XLOOKUP(olist_closed_deals_dataset[[#This Row],[mql_id]], leads!A:A, leads!D:D, "Unknow" )</f>
        <v>paid_search</v>
      </c>
      <c r="P72" t="str">
        <f>IF(olist_closed_deals_dataset[[#This Row],[declared_monthly_revenue]] &gt;= 10000, "High Values ", IF(olist_closed_deals_dataset[[#This Row],[declared_monthly_revenue]] &gt; 0, "Stander ", "No Revenue " ))</f>
        <v xml:space="preserve">High Values </v>
      </c>
    </row>
    <row r="73" spans="1:16" x14ac:dyDescent="0.2">
      <c r="A73" t="s">
        <v>226</v>
      </c>
      <c r="B73" t="s">
        <v>227</v>
      </c>
      <c r="C73" t="s">
        <v>37</v>
      </c>
      <c r="D73" t="s">
        <v>17</v>
      </c>
      <c r="E73" s="1">
        <v>43171.551504629628</v>
      </c>
      <c r="F73" t="s">
        <v>53</v>
      </c>
      <c r="G73" t="s">
        <v>57</v>
      </c>
      <c r="H73" t="s">
        <v>28</v>
      </c>
      <c r="I73" t="s">
        <v>1796</v>
      </c>
      <c r="J73" t="s">
        <v>1796</v>
      </c>
      <c r="K73" t="s">
        <v>1796</v>
      </c>
      <c r="L73" t="s">
        <v>21</v>
      </c>
      <c r="M73">
        <v>0</v>
      </c>
      <c r="N73">
        <v>0</v>
      </c>
      <c r="O73" t="str">
        <f>_xlfn.XLOOKUP(olist_closed_deals_dataset[[#This Row],[mql_id]], leads!A:A, leads!D:D, "Unknow" )</f>
        <v>unknown</v>
      </c>
      <c r="P73" t="str">
        <f>IF(olist_closed_deals_dataset[[#This Row],[declared_monthly_revenue]] &gt;= 10000, "High Values ", IF(olist_closed_deals_dataset[[#This Row],[declared_monthly_revenue]] &gt; 0, "Stander ", "No Revenue " ))</f>
        <v xml:space="preserve">No Revenue </v>
      </c>
    </row>
    <row r="74" spans="1:16" x14ac:dyDescent="0.2">
      <c r="A74" t="s">
        <v>228</v>
      </c>
      <c r="B74" t="s">
        <v>229</v>
      </c>
      <c r="C74" t="s">
        <v>81</v>
      </c>
      <c r="D74" t="s">
        <v>17</v>
      </c>
      <c r="E74" s="1">
        <v>43119.702407407407</v>
      </c>
      <c r="F74" t="s">
        <v>18</v>
      </c>
      <c r="G74" t="s">
        <v>99</v>
      </c>
      <c r="H74" t="s">
        <v>1796</v>
      </c>
      <c r="I74" t="s">
        <v>1796</v>
      </c>
      <c r="J74" t="s">
        <v>1796</v>
      </c>
      <c r="K74" t="s">
        <v>1796</v>
      </c>
      <c r="L74" t="s">
        <v>21</v>
      </c>
      <c r="M74">
        <v>0</v>
      </c>
      <c r="N74">
        <v>0</v>
      </c>
      <c r="O74" t="str">
        <f>_xlfn.XLOOKUP(olist_closed_deals_dataset[[#This Row],[mql_id]], leads!A:A, leads!D:D, "Unknow" )</f>
        <v>unknown</v>
      </c>
      <c r="P74" t="str">
        <f>IF(olist_closed_deals_dataset[[#This Row],[declared_monthly_revenue]] &gt;= 10000, "High Values ", IF(olist_closed_deals_dataset[[#This Row],[declared_monthly_revenue]] &gt; 0, "Stander ", "No Revenue " ))</f>
        <v xml:space="preserve">No Revenue </v>
      </c>
    </row>
    <row r="75" spans="1:16" x14ac:dyDescent="0.2">
      <c r="A75" t="s">
        <v>230</v>
      </c>
      <c r="B75" t="s">
        <v>231</v>
      </c>
      <c r="C75" t="s">
        <v>16</v>
      </c>
      <c r="D75" t="s">
        <v>32</v>
      </c>
      <c r="E75" s="1">
        <v>43193.72216435185</v>
      </c>
      <c r="F75" t="s">
        <v>96</v>
      </c>
      <c r="G75" t="s">
        <v>19</v>
      </c>
      <c r="H75" t="s">
        <v>20</v>
      </c>
      <c r="I75" t="s">
        <v>1796</v>
      </c>
      <c r="J75" t="s">
        <v>1796</v>
      </c>
      <c r="K75" t="s">
        <v>1796</v>
      </c>
      <c r="L75" t="s">
        <v>44</v>
      </c>
      <c r="M75">
        <v>0</v>
      </c>
      <c r="N75">
        <v>0</v>
      </c>
      <c r="O75" t="str">
        <f>_xlfn.XLOOKUP(olist_closed_deals_dataset[[#This Row],[mql_id]], leads!A:A, leads!D:D, "Unknow" )</f>
        <v>paid_search</v>
      </c>
      <c r="P75" t="str">
        <f>IF(olist_closed_deals_dataset[[#This Row],[declared_monthly_revenue]] &gt;= 10000, "High Values ", IF(olist_closed_deals_dataset[[#This Row],[declared_monthly_revenue]] &gt; 0, "Stander ", "No Revenue " ))</f>
        <v xml:space="preserve">No Revenue </v>
      </c>
    </row>
    <row r="76" spans="1:16" x14ac:dyDescent="0.2">
      <c r="A76" t="s">
        <v>232</v>
      </c>
      <c r="B76" t="s">
        <v>233</v>
      </c>
      <c r="C76" t="s">
        <v>56</v>
      </c>
      <c r="D76" t="s">
        <v>71</v>
      </c>
      <c r="E76" s="1">
        <v>43213.605266203704</v>
      </c>
      <c r="F76" t="s">
        <v>26</v>
      </c>
      <c r="G76" t="s">
        <v>34</v>
      </c>
      <c r="H76" t="s">
        <v>20</v>
      </c>
      <c r="I76" t="s">
        <v>1796</v>
      </c>
      <c r="J76" t="s">
        <v>1796</v>
      </c>
      <c r="K76" t="s">
        <v>1796</v>
      </c>
      <c r="L76" t="s">
        <v>21</v>
      </c>
      <c r="M76">
        <v>0</v>
      </c>
      <c r="N76">
        <v>0</v>
      </c>
      <c r="O76" t="str">
        <f>_xlfn.XLOOKUP(olist_closed_deals_dataset[[#This Row],[mql_id]], leads!A:A, leads!D:D, "Unknow" )</f>
        <v>unknown</v>
      </c>
      <c r="P76" t="str">
        <f>IF(olist_closed_deals_dataset[[#This Row],[declared_monthly_revenue]] &gt;= 10000, "High Values ", IF(olist_closed_deals_dataset[[#This Row],[declared_monthly_revenue]] &gt; 0, "Stander ", "No Revenue " ))</f>
        <v xml:space="preserve">No Revenue </v>
      </c>
    </row>
    <row r="77" spans="1:16" x14ac:dyDescent="0.2">
      <c r="A77" t="s">
        <v>234</v>
      </c>
      <c r="B77" t="s">
        <v>235</v>
      </c>
      <c r="C77" t="s">
        <v>71</v>
      </c>
      <c r="D77" t="s">
        <v>32</v>
      </c>
      <c r="E77" s="1">
        <v>43140.649895833332</v>
      </c>
      <c r="F77" t="s">
        <v>61</v>
      </c>
      <c r="G77" t="s">
        <v>39</v>
      </c>
      <c r="H77" t="s">
        <v>20</v>
      </c>
      <c r="I77" t="s">
        <v>1796</v>
      </c>
      <c r="J77" t="s">
        <v>1796</v>
      </c>
      <c r="K77" t="s">
        <v>1796</v>
      </c>
      <c r="L77" t="s">
        <v>21</v>
      </c>
      <c r="M77">
        <v>0</v>
      </c>
      <c r="N77">
        <v>0</v>
      </c>
      <c r="O77" t="str">
        <f>_xlfn.XLOOKUP(olist_closed_deals_dataset[[#This Row],[mql_id]], leads!A:A, leads!D:D, "Unknow" )</f>
        <v>paid_search</v>
      </c>
      <c r="P77" t="str">
        <f>IF(olist_closed_deals_dataset[[#This Row],[declared_monthly_revenue]] &gt;= 10000, "High Values ", IF(olist_closed_deals_dataset[[#This Row],[declared_monthly_revenue]] &gt; 0, "Stander ", "No Revenue " ))</f>
        <v xml:space="preserve">No Revenue </v>
      </c>
    </row>
    <row r="78" spans="1:16" x14ac:dyDescent="0.2">
      <c r="A78" t="s">
        <v>236</v>
      </c>
      <c r="B78" t="s">
        <v>237</v>
      </c>
      <c r="C78" t="s">
        <v>16</v>
      </c>
      <c r="D78" t="s">
        <v>89</v>
      </c>
      <c r="E78" s="1">
        <v>43175.595532407409</v>
      </c>
      <c r="F78" t="s">
        <v>26</v>
      </c>
      <c r="G78" t="s">
        <v>19</v>
      </c>
      <c r="H78" t="s">
        <v>20</v>
      </c>
      <c r="I78" t="s">
        <v>1796</v>
      </c>
      <c r="J78" t="s">
        <v>1796</v>
      </c>
      <c r="K78" t="s">
        <v>1796</v>
      </c>
      <c r="L78" t="s">
        <v>21</v>
      </c>
      <c r="M78">
        <v>0</v>
      </c>
      <c r="N78">
        <v>0</v>
      </c>
      <c r="O78" t="str">
        <f>_xlfn.XLOOKUP(olist_closed_deals_dataset[[#This Row],[mql_id]], leads!A:A, leads!D:D, "Unknow" )</f>
        <v>unknown</v>
      </c>
      <c r="P78" t="str">
        <f>IF(olist_closed_deals_dataset[[#This Row],[declared_monthly_revenue]] &gt;= 10000, "High Values ", IF(olist_closed_deals_dataset[[#This Row],[declared_monthly_revenue]] &gt; 0, "Stander ", "No Revenue " ))</f>
        <v xml:space="preserve">No Revenue </v>
      </c>
    </row>
    <row r="79" spans="1:16" x14ac:dyDescent="0.2">
      <c r="A79" t="s">
        <v>238</v>
      </c>
      <c r="B79" t="s">
        <v>239</v>
      </c>
      <c r="C79" t="s">
        <v>24</v>
      </c>
      <c r="D79" t="s">
        <v>25</v>
      </c>
      <c r="E79" s="1">
        <v>43217.673206018517</v>
      </c>
      <c r="F79" t="s">
        <v>138</v>
      </c>
      <c r="G79" t="s">
        <v>19</v>
      </c>
      <c r="H79" t="s">
        <v>43</v>
      </c>
      <c r="I79" t="s">
        <v>1796</v>
      </c>
      <c r="J79" t="s">
        <v>1796</v>
      </c>
      <c r="K79" t="s">
        <v>1796</v>
      </c>
      <c r="L79" t="s">
        <v>21</v>
      </c>
      <c r="M79">
        <v>0</v>
      </c>
      <c r="N79">
        <v>0</v>
      </c>
      <c r="O79" t="str">
        <f>_xlfn.XLOOKUP(olist_closed_deals_dataset[[#This Row],[mql_id]], leads!A:A, leads!D:D, "Unknow" )</f>
        <v>unknown</v>
      </c>
      <c r="P79" t="str">
        <f>IF(olist_closed_deals_dataset[[#This Row],[declared_monthly_revenue]] &gt;= 10000, "High Values ", IF(olist_closed_deals_dataset[[#This Row],[declared_monthly_revenue]] &gt; 0, "Stander ", "No Revenue " ))</f>
        <v xml:space="preserve">No Revenue </v>
      </c>
    </row>
    <row r="80" spans="1:16" x14ac:dyDescent="0.2">
      <c r="A80" t="s">
        <v>240</v>
      </c>
      <c r="B80" t="s">
        <v>241</v>
      </c>
      <c r="C80" t="s">
        <v>71</v>
      </c>
      <c r="D80" t="s">
        <v>17</v>
      </c>
      <c r="E80" s="1">
        <v>43118.464583333334</v>
      </c>
      <c r="F80" t="s">
        <v>38</v>
      </c>
      <c r="G80" t="s">
        <v>27</v>
      </c>
      <c r="H80" t="s">
        <v>1796</v>
      </c>
      <c r="I80" t="s">
        <v>1796</v>
      </c>
      <c r="J80" t="s">
        <v>1796</v>
      </c>
      <c r="K80" t="s">
        <v>1796</v>
      </c>
      <c r="L80" t="s">
        <v>21</v>
      </c>
      <c r="M80">
        <v>0</v>
      </c>
      <c r="N80">
        <v>0</v>
      </c>
      <c r="O80" t="str">
        <f>_xlfn.XLOOKUP(olist_closed_deals_dataset[[#This Row],[mql_id]], leads!A:A, leads!D:D, "Unknow" )</f>
        <v>unknown</v>
      </c>
      <c r="P80" t="str">
        <f>IF(olist_closed_deals_dataset[[#This Row],[declared_monthly_revenue]] &gt;= 10000, "High Values ", IF(olist_closed_deals_dataset[[#This Row],[declared_monthly_revenue]] &gt; 0, "Stander ", "No Revenue " ))</f>
        <v xml:space="preserve">No Revenue </v>
      </c>
    </row>
    <row r="81" spans="1:16" x14ac:dyDescent="0.2">
      <c r="A81" t="s">
        <v>242</v>
      </c>
      <c r="B81" t="s">
        <v>243</v>
      </c>
      <c r="C81" t="s">
        <v>31</v>
      </c>
      <c r="D81" t="s">
        <v>52</v>
      </c>
      <c r="E81" s="1">
        <v>43217.90185185185</v>
      </c>
      <c r="F81" t="s">
        <v>49</v>
      </c>
      <c r="G81" t="s">
        <v>19</v>
      </c>
      <c r="H81" t="s">
        <v>20</v>
      </c>
      <c r="I81" t="s">
        <v>1796</v>
      </c>
      <c r="J81" t="s">
        <v>1796</v>
      </c>
      <c r="K81" t="s">
        <v>1796</v>
      </c>
      <c r="L81" t="s">
        <v>21</v>
      </c>
      <c r="M81">
        <v>0</v>
      </c>
      <c r="N81">
        <v>0</v>
      </c>
      <c r="O81" t="str">
        <f>_xlfn.XLOOKUP(olist_closed_deals_dataset[[#This Row],[mql_id]], leads!A:A, leads!D:D, "Unknow" )</f>
        <v>email</v>
      </c>
      <c r="P81" t="str">
        <f>IF(olist_closed_deals_dataset[[#This Row],[declared_monthly_revenue]] &gt;= 10000, "High Values ", IF(olist_closed_deals_dataset[[#This Row],[declared_monthly_revenue]] &gt; 0, "Stander ", "No Revenue " ))</f>
        <v xml:space="preserve">No Revenue </v>
      </c>
    </row>
    <row r="82" spans="1:16" x14ac:dyDescent="0.2">
      <c r="A82" t="s">
        <v>244</v>
      </c>
      <c r="B82" t="s">
        <v>245</v>
      </c>
      <c r="C82" t="s">
        <v>56</v>
      </c>
      <c r="D82" t="s">
        <v>89</v>
      </c>
      <c r="E82" s="1">
        <v>43217.880949074075</v>
      </c>
      <c r="F82" t="s">
        <v>53</v>
      </c>
      <c r="G82" t="s">
        <v>112</v>
      </c>
      <c r="H82" t="s">
        <v>20</v>
      </c>
      <c r="I82" t="s">
        <v>1796</v>
      </c>
      <c r="J82" t="s">
        <v>1796</v>
      </c>
      <c r="K82" t="s">
        <v>1796</v>
      </c>
      <c r="L82" t="s">
        <v>21</v>
      </c>
      <c r="M82">
        <v>0</v>
      </c>
      <c r="N82">
        <v>0</v>
      </c>
      <c r="O82" t="str">
        <f>_xlfn.XLOOKUP(olist_closed_deals_dataset[[#This Row],[mql_id]], leads!A:A, leads!D:D, "Unknow" )</f>
        <v>unknown</v>
      </c>
      <c r="P82" t="str">
        <f>IF(olist_closed_deals_dataset[[#This Row],[declared_monthly_revenue]] &gt;= 10000, "High Values ", IF(olist_closed_deals_dataset[[#This Row],[declared_monthly_revenue]] &gt; 0, "Stander ", "No Revenue " ))</f>
        <v xml:space="preserve">No Revenue </v>
      </c>
    </row>
    <row r="83" spans="1:16" x14ac:dyDescent="0.2">
      <c r="A83" t="s">
        <v>246</v>
      </c>
      <c r="B83" t="s">
        <v>247</v>
      </c>
      <c r="C83" t="s">
        <v>141</v>
      </c>
      <c r="D83" t="s">
        <v>16</v>
      </c>
      <c r="E83" s="1">
        <v>43340.714942129627</v>
      </c>
      <c r="F83" t="s">
        <v>68</v>
      </c>
      <c r="G83" t="s">
        <v>112</v>
      </c>
      <c r="H83" t="s">
        <v>1796</v>
      </c>
      <c r="I83" t="s">
        <v>1796</v>
      </c>
      <c r="J83" t="s">
        <v>1796</v>
      </c>
      <c r="K83" t="s">
        <v>1796</v>
      </c>
      <c r="L83" t="s">
        <v>21</v>
      </c>
      <c r="M83">
        <v>4</v>
      </c>
      <c r="N83">
        <v>6</v>
      </c>
      <c r="O83" t="str">
        <f>_xlfn.XLOOKUP(olist_closed_deals_dataset[[#This Row],[mql_id]], leads!A:A, leads!D:D, "Unknow" )</f>
        <v>unknown</v>
      </c>
      <c r="P83" t="str">
        <f>IF(olist_closed_deals_dataset[[#This Row],[declared_monthly_revenue]] &gt;= 10000, "High Values ", IF(olist_closed_deals_dataset[[#This Row],[declared_monthly_revenue]] &gt; 0, "Stander ", "No Revenue " ))</f>
        <v xml:space="preserve">Stander </v>
      </c>
    </row>
    <row r="84" spans="1:16" x14ac:dyDescent="0.2">
      <c r="A84" t="s">
        <v>248</v>
      </c>
      <c r="B84" t="s">
        <v>249</v>
      </c>
      <c r="C84" t="s">
        <v>65</v>
      </c>
      <c r="D84" t="s">
        <v>95</v>
      </c>
      <c r="E84" s="1">
        <v>43157.855752314812</v>
      </c>
      <c r="F84" t="s">
        <v>96</v>
      </c>
      <c r="G84" t="s">
        <v>39</v>
      </c>
      <c r="H84" t="s">
        <v>20</v>
      </c>
      <c r="I84" t="s">
        <v>1796</v>
      </c>
      <c r="J84" t="s">
        <v>1796</v>
      </c>
      <c r="K84" t="s">
        <v>1796</v>
      </c>
      <c r="L84" t="s">
        <v>21</v>
      </c>
      <c r="M84">
        <v>0</v>
      </c>
      <c r="N84">
        <v>0</v>
      </c>
      <c r="O84" t="str">
        <f>_xlfn.XLOOKUP(olist_closed_deals_dataset[[#This Row],[mql_id]], leads!A:A, leads!D:D, "Unknow" )</f>
        <v>unknown</v>
      </c>
      <c r="P84" t="str">
        <f>IF(olist_closed_deals_dataset[[#This Row],[declared_monthly_revenue]] &gt;= 10000, "High Values ", IF(olist_closed_deals_dataset[[#This Row],[declared_monthly_revenue]] &gt; 0, "Stander ", "No Revenue " ))</f>
        <v xml:space="preserve">No Revenue </v>
      </c>
    </row>
    <row r="85" spans="1:16" x14ac:dyDescent="0.2">
      <c r="A85" t="s">
        <v>250</v>
      </c>
      <c r="B85" t="s">
        <v>251</v>
      </c>
      <c r="C85" t="s">
        <v>81</v>
      </c>
      <c r="D85" t="s">
        <v>89</v>
      </c>
      <c r="E85" s="1">
        <v>43193.788981481484</v>
      </c>
      <c r="F85" t="s">
        <v>68</v>
      </c>
      <c r="G85" t="s">
        <v>27</v>
      </c>
      <c r="H85" t="s">
        <v>20</v>
      </c>
      <c r="I85" t="s">
        <v>1796</v>
      </c>
      <c r="J85" t="s">
        <v>1796</v>
      </c>
      <c r="K85" t="s">
        <v>1796</v>
      </c>
      <c r="L85" t="s">
        <v>21</v>
      </c>
      <c r="M85">
        <v>0</v>
      </c>
      <c r="N85">
        <v>0</v>
      </c>
      <c r="O85" t="str">
        <f>_xlfn.XLOOKUP(olist_closed_deals_dataset[[#This Row],[mql_id]], leads!A:A, leads!D:D, "Unknow" )</f>
        <v>organic_search</v>
      </c>
      <c r="P85" t="str">
        <f>IF(olist_closed_deals_dataset[[#This Row],[declared_monthly_revenue]] &gt;= 10000, "High Values ", IF(olist_closed_deals_dataset[[#This Row],[declared_monthly_revenue]] &gt; 0, "Stander ", "No Revenue " ))</f>
        <v xml:space="preserve">No Revenue </v>
      </c>
    </row>
    <row r="86" spans="1:16" x14ac:dyDescent="0.2">
      <c r="A86" t="s">
        <v>252</v>
      </c>
      <c r="B86" t="s">
        <v>253</v>
      </c>
      <c r="C86" t="s">
        <v>71</v>
      </c>
      <c r="D86" t="s">
        <v>25</v>
      </c>
      <c r="E86" s="1">
        <v>43216.670636574076</v>
      </c>
      <c r="F86" t="s">
        <v>53</v>
      </c>
      <c r="G86" t="s">
        <v>112</v>
      </c>
      <c r="H86" t="s">
        <v>1796</v>
      </c>
      <c r="I86" t="s">
        <v>1796</v>
      </c>
      <c r="J86" t="s">
        <v>1796</v>
      </c>
      <c r="K86" t="s">
        <v>1796</v>
      </c>
      <c r="L86" t="s">
        <v>21</v>
      </c>
      <c r="M86">
        <v>0</v>
      </c>
      <c r="N86">
        <v>0</v>
      </c>
      <c r="O86" t="str">
        <f>_xlfn.XLOOKUP(olist_closed_deals_dataset[[#This Row],[mql_id]], leads!A:A, leads!D:D, "Unknow" )</f>
        <v>paid_search</v>
      </c>
      <c r="P86" t="str">
        <f>IF(olist_closed_deals_dataset[[#This Row],[declared_monthly_revenue]] &gt;= 10000, "High Values ", IF(olist_closed_deals_dataset[[#This Row],[declared_monthly_revenue]] &gt; 0, "Stander ", "No Revenue " ))</f>
        <v xml:space="preserve">No Revenue </v>
      </c>
    </row>
    <row r="87" spans="1:16" x14ac:dyDescent="0.2">
      <c r="A87" t="s">
        <v>254</v>
      </c>
      <c r="B87" t="s">
        <v>255</v>
      </c>
      <c r="C87" t="s">
        <v>65</v>
      </c>
      <c r="D87" t="s">
        <v>48</v>
      </c>
      <c r="E87" s="1">
        <v>43157.834837962961</v>
      </c>
      <c r="F87" t="s">
        <v>96</v>
      </c>
      <c r="G87" t="s">
        <v>39</v>
      </c>
      <c r="H87" t="s">
        <v>20</v>
      </c>
      <c r="I87" t="s">
        <v>1796</v>
      </c>
      <c r="J87" t="s">
        <v>1796</v>
      </c>
      <c r="K87" t="s">
        <v>1796</v>
      </c>
      <c r="L87" t="s">
        <v>21</v>
      </c>
      <c r="M87">
        <v>0</v>
      </c>
      <c r="N87">
        <v>0</v>
      </c>
      <c r="O87" t="str">
        <f>_xlfn.XLOOKUP(olist_closed_deals_dataset[[#This Row],[mql_id]], leads!A:A, leads!D:D, "Unknow" )</f>
        <v>direct_traffic</v>
      </c>
      <c r="P87" t="str">
        <f>IF(olist_closed_deals_dataset[[#This Row],[declared_monthly_revenue]] &gt;= 10000, "High Values ", IF(olist_closed_deals_dataset[[#This Row],[declared_monthly_revenue]] &gt; 0, "Stander ", "No Revenue " ))</f>
        <v xml:space="preserve">No Revenue </v>
      </c>
    </row>
    <row r="88" spans="1:16" x14ac:dyDescent="0.2">
      <c r="A88" t="s">
        <v>256</v>
      </c>
      <c r="B88" t="s">
        <v>257</v>
      </c>
      <c r="C88" t="s">
        <v>141</v>
      </c>
      <c r="D88" t="s">
        <v>74</v>
      </c>
      <c r="E88" s="1">
        <v>43364.784594907411</v>
      </c>
      <c r="F88" t="s">
        <v>138</v>
      </c>
      <c r="G88" t="s">
        <v>19</v>
      </c>
      <c r="H88" t="s">
        <v>43</v>
      </c>
      <c r="I88" t="b">
        <v>1</v>
      </c>
      <c r="J88" t="b">
        <v>1</v>
      </c>
      <c r="K88" t="s">
        <v>199</v>
      </c>
      <c r="L88" t="s">
        <v>21</v>
      </c>
      <c r="M88">
        <v>50</v>
      </c>
      <c r="N88">
        <v>0</v>
      </c>
      <c r="O88" t="str">
        <f>_xlfn.XLOOKUP(olist_closed_deals_dataset[[#This Row],[mql_id]], leads!A:A, leads!D:D, "Unknow" )</f>
        <v>organic_search</v>
      </c>
      <c r="P88" t="str">
        <f>IF(olist_closed_deals_dataset[[#This Row],[declared_monthly_revenue]] &gt;= 10000, "High Values ", IF(olist_closed_deals_dataset[[#This Row],[declared_monthly_revenue]] &gt; 0, "Stander ", "No Revenue " ))</f>
        <v xml:space="preserve">No Revenue </v>
      </c>
    </row>
    <row r="89" spans="1:16" x14ac:dyDescent="0.2">
      <c r="A89" t="s">
        <v>258</v>
      </c>
      <c r="B89" t="s">
        <v>259</v>
      </c>
      <c r="C89" t="s">
        <v>64</v>
      </c>
      <c r="D89" t="s">
        <v>37</v>
      </c>
      <c r="E89" s="1">
        <v>43315.736805555556</v>
      </c>
      <c r="F89" t="s">
        <v>204</v>
      </c>
      <c r="G89" t="s">
        <v>19</v>
      </c>
      <c r="H89" t="s">
        <v>43</v>
      </c>
      <c r="I89" t="s">
        <v>1796</v>
      </c>
      <c r="J89" t="s">
        <v>1796</v>
      </c>
      <c r="K89" t="s">
        <v>1796</v>
      </c>
      <c r="L89" t="s">
        <v>21</v>
      </c>
      <c r="M89">
        <v>0</v>
      </c>
      <c r="N89">
        <v>0</v>
      </c>
      <c r="O89" t="str">
        <f>_xlfn.XLOOKUP(olist_closed_deals_dataset[[#This Row],[mql_id]], leads!A:A, leads!D:D, "Unknow" )</f>
        <v>email</v>
      </c>
      <c r="P89" t="str">
        <f>IF(olist_closed_deals_dataset[[#This Row],[declared_monthly_revenue]] &gt;= 10000, "High Values ", IF(olist_closed_deals_dataset[[#This Row],[declared_monthly_revenue]] &gt; 0, "Stander ", "No Revenue " ))</f>
        <v xml:space="preserve">No Revenue </v>
      </c>
    </row>
    <row r="90" spans="1:16" x14ac:dyDescent="0.2">
      <c r="A90" t="s">
        <v>260</v>
      </c>
      <c r="B90" t="s">
        <v>261</v>
      </c>
      <c r="C90" t="s">
        <v>81</v>
      </c>
      <c r="D90" t="s">
        <v>77</v>
      </c>
      <c r="E90" s="1">
        <v>43130.687696759262</v>
      </c>
      <c r="F90" t="s">
        <v>96</v>
      </c>
      <c r="G90" t="s">
        <v>19</v>
      </c>
      <c r="H90" t="s">
        <v>1796</v>
      </c>
      <c r="I90" t="s">
        <v>1796</v>
      </c>
      <c r="J90" t="s">
        <v>1796</v>
      </c>
      <c r="K90" t="s">
        <v>1796</v>
      </c>
      <c r="L90" t="s">
        <v>44</v>
      </c>
      <c r="M90">
        <v>0</v>
      </c>
      <c r="N90">
        <v>0</v>
      </c>
      <c r="O90" t="str">
        <f>_xlfn.XLOOKUP(olist_closed_deals_dataset[[#This Row],[mql_id]], leads!A:A, leads!D:D, "Unknow" )</f>
        <v>unknown</v>
      </c>
      <c r="P90" t="str">
        <f>IF(olist_closed_deals_dataset[[#This Row],[declared_monthly_revenue]] &gt;= 10000, "High Values ", IF(olist_closed_deals_dataset[[#This Row],[declared_monthly_revenue]] &gt; 0, "Stander ", "No Revenue " ))</f>
        <v xml:space="preserve">No Revenue </v>
      </c>
    </row>
    <row r="91" spans="1:16" x14ac:dyDescent="0.2">
      <c r="A91" t="s">
        <v>262</v>
      </c>
      <c r="B91" t="s">
        <v>263</v>
      </c>
      <c r="C91" t="s">
        <v>71</v>
      </c>
      <c r="D91" t="s">
        <v>17</v>
      </c>
      <c r="E91" s="1">
        <v>43146.735208333332</v>
      </c>
      <c r="F91" t="s">
        <v>61</v>
      </c>
      <c r="G91" t="s">
        <v>34</v>
      </c>
      <c r="H91" t="s">
        <v>1796</v>
      </c>
      <c r="I91" t="s">
        <v>1796</v>
      </c>
      <c r="J91" t="s">
        <v>1796</v>
      </c>
      <c r="K91" t="s">
        <v>1796</v>
      </c>
      <c r="L91" t="s">
        <v>44</v>
      </c>
      <c r="M91">
        <v>0</v>
      </c>
      <c r="N91">
        <v>0</v>
      </c>
      <c r="O91" t="str">
        <f>_xlfn.XLOOKUP(olist_closed_deals_dataset[[#This Row],[mql_id]], leads!A:A, leads!D:D, "Unknow" )</f>
        <v>unknown</v>
      </c>
      <c r="P91" t="str">
        <f>IF(olist_closed_deals_dataset[[#This Row],[declared_monthly_revenue]] &gt;= 10000, "High Values ", IF(olist_closed_deals_dataset[[#This Row],[declared_monthly_revenue]] &gt; 0, "Stander ", "No Revenue " ))</f>
        <v xml:space="preserve">No Revenue </v>
      </c>
    </row>
    <row r="92" spans="1:16" x14ac:dyDescent="0.2">
      <c r="A92" t="s">
        <v>264</v>
      </c>
      <c r="B92" t="s">
        <v>265</v>
      </c>
      <c r="C92" t="s">
        <v>127</v>
      </c>
      <c r="D92" t="s">
        <v>65</v>
      </c>
      <c r="E92" s="1">
        <v>43210.125</v>
      </c>
      <c r="F92" t="s">
        <v>33</v>
      </c>
      <c r="G92" t="s">
        <v>19</v>
      </c>
      <c r="H92" t="s">
        <v>20</v>
      </c>
      <c r="I92" t="s">
        <v>1796</v>
      </c>
      <c r="J92" t="s">
        <v>1796</v>
      </c>
      <c r="K92" t="s">
        <v>1796</v>
      </c>
      <c r="L92" t="s">
        <v>21</v>
      </c>
      <c r="M92">
        <v>0</v>
      </c>
      <c r="N92">
        <v>0</v>
      </c>
      <c r="O92" t="str">
        <f>_xlfn.XLOOKUP(olist_closed_deals_dataset[[#This Row],[mql_id]], leads!A:A, leads!D:D, "Unknow" )</f>
        <v>paid_search</v>
      </c>
      <c r="P92" t="str">
        <f>IF(olist_closed_deals_dataset[[#This Row],[declared_monthly_revenue]] &gt;= 10000, "High Values ", IF(olist_closed_deals_dataset[[#This Row],[declared_monthly_revenue]] &gt; 0, "Stander ", "No Revenue " ))</f>
        <v xml:space="preserve">No Revenue </v>
      </c>
    </row>
    <row r="93" spans="1:16" x14ac:dyDescent="0.2">
      <c r="A93" t="s">
        <v>266</v>
      </c>
      <c r="B93" t="s">
        <v>267</v>
      </c>
      <c r="C93" t="s">
        <v>24</v>
      </c>
      <c r="D93" t="s">
        <v>17</v>
      </c>
      <c r="E93" s="1">
        <v>43227.695925925924</v>
      </c>
      <c r="F93" t="s">
        <v>49</v>
      </c>
      <c r="G93" t="s">
        <v>19</v>
      </c>
      <c r="H93" t="s">
        <v>20</v>
      </c>
      <c r="I93" t="s">
        <v>1796</v>
      </c>
      <c r="J93" t="s">
        <v>1796</v>
      </c>
      <c r="K93" t="s">
        <v>1796</v>
      </c>
      <c r="L93" t="s">
        <v>21</v>
      </c>
      <c r="M93">
        <v>0</v>
      </c>
      <c r="N93">
        <v>0</v>
      </c>
      <c r="O93" t="str">
        <f>_xlfn.XLOOKUP(olist_closed_deals_dataset[[#This Row],[mql_id]], leads!A:A, leads!D:D, "Unknow" )</f>
        <v>paid_search</v>
      </c>
      <c r="P93" t="str">
        <f>IF(olist_closed_deals_dataset[[#This Row],[declared_monthly_revenue]] &gt;= 10000, "High Values ", IF(olist_closed_deals_dataset[[#This Row],[declared_monthly_revenue]] &gt; 0, "Stander ", "No Revenue " ))</f>
        <v xml:space="preserve">No Revenue </v>
      </c>
    </row>
    <row r="94" spans="1:16" x14ac:dyDescent="0.2">
      <c r="A94" t="s">
        <v>268</v>
      </c>
      <c r="B94" t="s">
        <v>269</v>
      </c>
      <c r="C94" t="s">
        <v>42</v>
      </c>
      <c r="D94" t="s">
        <v>74</v>
      </c>
      <c r="E94" s="1">
        <v>43269.53230324074</v>
      </c>
      <c r="F94" t="s">
        <v>92</v>
      </c>
      <c r="G94" t="s">
        <v>27</v>
      </c>
      <c r="H94" t="s">
        <v>43</v>
      </c>
      <c r="I94" t="s">
        <v>1796</v>
      </c>
      <c r="J94" t="s">
        <v>1796</v>
      </c>
      <c r="K94" t="s">
        <v>1796</v>
      </c>
      <c r="L94" t="s">
        <v>44</v>
      </c>
      <c r="M94">
        <v>0</v>
      </c>
      <c r="N94">
        <v>0</v>
      </c>
      <c r="O94" t="str">
        <f>_xlfn.XLOOKUP(olist_closed_deals_dataset[[#This Row],[mql_id]], leads!A:A, leads!D:D, "Unknow" )</f>
        <v>social</v>
      </c>
      <c r="P94" t="str">
        <f>IF(olist_closed_deals_dataset[[#This Row],[declared_monthly_revenue]] &gt;= 10000, "High Values ", IF(olist_closed_deals_dataset[[#This Row],[declared_monthly_revenue]] &gt; 0, "Stander ", "No Revenue " ))</f>
        <v xml:space="preserve">No Revenue </v>
      </c>
    </row>
    <row r="95" spans="1:16" x14ac:dyDescent="0.2">
      <c r="A95" t="s">
        <v>270</v>
      </c>
      <c r="B95" t="s">
        <v>271</v>
      </c>
      <c r="C95" t="s">
        <v>65</v>
      </c>
      <c r="D95" t="s">
        <v>32</v>
      </c>
      <c r="E95" s="1">
        <v>43143.782013888886</v>
      </c>
      <c r="F95" t="s">
        <v>26</v>
      </c>
      <c r="G95" t="s">
        <v>19</v>
      </c>
      <c r="H95" t="s">
        <v>20</v>
      </c>
      <c r="I95" t="s">
        <v>1796</v>
      </c>
      <c r="J95" t="s">
        <v>1796</v>
      </c>
      <c r="K95" t="s">
        <v>1796</v>
      </c>
      <c r="L95" t="s">
        <v>21</v>
      </c>
      <c r="M95">
        <v>0</v>
      </c>
      <c r="N95">
        <v>0</v>
      </c>
      <c r="O95" t="str">
        <f>_xlfn.XLOOKUP(olist_closed_deals_dataset[[#This Row],[mql_id]], leads!A:A, leads!D:D, "Unknow" )</f>
        <v>organic_search</v>
      </c>
      <c r="P95" t="str">
        <f>IF(olist_closed_deals_dataset[[#This Row],[declared_monthly_revenue]] &gt;= 10000, "High Values ", IF(olist_closed_deals_dataset[[#This Row],[declared_monthly_revenue]] &gt; 0, "Stander ", "No Revenue " ))</f>
        <v xml:space="preserve">No Revenue </v>
      </c>
    </row>
    <row r="96" spans="1:16" x14ac:dyDescent="0.2">
      <c r="A96" t="s">
        <v>272</v>
      </c>
      <c r="B96" t="s">
        <v>273</v>
      </c>
      <c r="C96" t="s">
        <v>127</v>
      </c>
      <c r="D96" t="s">
        <v>65</v>
      </c>
      <c r="E96" s="1">
        <v>43207.800185185188</v>
      </c>
      <c r="F96" t="s">
        <v>274</v>
      </c>
      <c r="G96" t="s">
        <v>34</v>
      </c>
      <c r="H96" t="s">
        <v>20</v>
      </c>
      <c r="I96" t="s">
        <v>1796</v>
      </c>
      <c r="J96" t="s">
        <v>1796</v>
      </c>
      <c r="K96" t="s">
        <v>1796</v>
      </c>
      <c r="L96" t="s">
        <v>21</v>
      </c>
      <c r="M96">
        <v>0</v>
      </c>
      <c r="N96">
        <v>0</v>
      </c>
      <c r="O96" t="str">
        <f>_xlfn.XLOOKUP(olist_closed_deals_dataset[[#This Row],[mql_id]], leads!A:A, leads!D:D, "Unknow" )</f>
        <v>paid_search</v>
      </c>
      <c r="P96" t="str">
        <f>IF(olist_closed_deals_dataset[[#This Row],[declared_monthly_revenue]] &gt;= 10000, "High Values ", IF(olist_closed_deals_dataset[[#This Row],[declared_monthly_revenue]] &gt; 0, "Stander ", "No Revenue " ))</f>
        <v xml:space="preserve">No Revenue </v>
      </c>
    </row>
    <row r="97" spans="1:16" x14ac:dyDescent="0.2">
      <c r="A97" t="s">
        <v>275</v>
      </c>
      <c r="B97" t="s">
        <v>276</v>
      </c>
      <c r="C97" t="s">
        <v>42</v>
      </c>
      <c r="D97" t="s">
        <v>48</v>
      </c>
      <c r="E97" s="1">
        <v>43249.84752314815</v>
      </c>
      <c r="F97" t="s">
        <v>68</v>
      </c>
      <c r="G97" t="s">
        <v>34</v>
      </c>
      <c r="H97" t="s">
        <v>20</v>
      </c>
      <c r="I97" t="s">
        <v>1796</v>
      </c>
      <c r="J97" t="s">
        <v>1796</v>
      </c>
      <c r="K97" t="s">
        <v>1796</v>
      </c>
      <c r="L97" t="s">
        <v>44</v>
      </c>
      <c r="M97">
        <v>0</v>
      </c>
      <c r="N97">
        <v>0</v>
      </c>
      <c r="O97" t="str">
        <f>_xlfn.XLOOKUP(olist_closed_deals_dataset[[#This Row],[mql_id]], leads!A:A, leads!D:D, "Unknow" )</f>
        <v>unknown</v>
      </c>
      <c r="P97" t="str">
        <f>IF(olist_closed_deals_dataset[[#This Row],[declared_monthly_revenue]] &gt;= 10000, "High Values ", IF(olist_closed_deals_dataset[[#This Row],[declared_monthly_revenue]] &gt; 0, "Stander ", "No Revenue " ))</f>
        <v xml:space="preserve">No Revenue </v>
      </c>
    </row>
    <row r="98" spans="1:16" x14ac:dyDescent="0.2">
      <c r="A98" t="s">
        <v>277</v>
      </c>
      <c r="B98" t="s">
        <v>278</v>
      </c>
      <c r="C98" t="s">
        <v>60</v>
      </c>
      <c r="D98" t="s">
        <v>17</v>
      </c>
      <c r="E98" s="1">
        <v>43266.825879629629</v>
      </c>
      <c r="F98" t="s">
        <v>61</v>
      </c>
      <c r="G98" t="s">
        <v>1797</v>
      </c>
      <c r="H98" t="s">
        <v>20</v>
      </c>
      <c r="I98" t="s">
        <v>1796</v>
      </c>
      <c r="J98" t="s">
        <v>1796</v>
      </c>
      <c r="K98" t="s">
        <v>1796</v>
      </c>
      <c r="L98" t="s">
        <v>21</v>
      </c>
      <c r="M98">
        <v>0</v>
      </c>
      <c r="N98">
        <v>0</v>
      </c>
      <c r="O98" t="str">
        <f>_xlfn.XLOOKUP(olist_closed_deals_dataset[[#This Row],[mql_id]], leads!A:A, leads!D:D, "Unknow" )</f>
        <v>unknown</v>
      </c>
      <c r="P98" t="str">
        <f>IF(olist_closed_deals_dataset[[#This Row],[declared_monthly_revenue]] &gt;= 10000, "High Values ", IF(olist_closed_deals_dataset[[#This Row],[declared_monthly_revenue]] &gt; 0, "Stander ", "No Revenue " ))</f>
        <v xml:space="preserve">No Revenue </v>
      </c>
    </row>
    <row r="99" spans="1:16" x14ac:dyDescent="0.2">
      <c r="A99" t="s">
        <v>279</v>
      </c>
      <c r="B99" t="s">
        <v>280</v>
      </c>
      <c r="C99" t="s">
        <v>141</v>
      </c>
      <c r="D99" t="s">
        <v>77</v>
      </c>
      <c r="E99" s="1">
        <v>43319.824618055558</v>
      </c>
      <c r="F99" t="s">
        <v>85</v>
      </c>
      <c r="G99" t="s">
        <v>27</v>
      </c>
      <c r="H99" t="s">
        <v>281</v>
      </c>
      <c r="I99" t="b">
        <v>1</v>
      </c>
      <c r="J99" t="b">
        <v>1</v>
      </c>
      <c r="K99" t="s">
        <v>282</v>
      </c>
      <c r="L99" t="s">
        <v>21</v>
      </c>
      <c r="M99">
        <v>0</v>
      </c>
      <c r="N99">
        <v>0</v>
      </c>
      <c r="O99" t="str">
        <f>_xlfn.XLOOKUP(olist_closed_deals_dataset[[#This Row],[mql_id]], leads!A:A, leads!D:D, "Unknow" )</f>
        <v>organic_search</v>
      </c>
      <c r="P99" t="str">
        <f>IF(olist_closed_deals_dataset[[#This Row],[declared_monthly_revenue]] &gt;= 10000, "High Values ", IF(olist_closed_deals_dataset[[#This Row],[declared_monthly_revenue]] &gt; 0, "Stander ", "No Revenue " ))</f>
        <v xml:space="preserve">No Revenue </v>
      </c>
    </row>
    <row r="100" spans="1:16" x14ac:dyDescent="0.2">
      <c r="A100" t="s">
        <v>283</v>
      </c>
      <c r="B100" t="s">
        <v>284</v>
      </c>
      <c r="C100" t="s">
        <v>60</v>
      </c>
      <c r="D100" t="s">
        <v>77</v>
      </c>
      <c r="E100" s="1">
        <v>43266.897824074076</v>
      </c>
      <c r="F100" t="s">
        <v>96</v>
      </c>
      <c r="G100" t="s">
        <v>19</v>
      </c>
      <c r="H100" t="s">
        <v>43</v>
      </c>
      <c r="I100" t="s">
        <v>1796</v>
      </c>
      <c r="J100" t="s">
        <v>1796</v>
      </c>
      <c r="K100" t="s">
        <v>1796</v>
      </c>
      <c r="L100" t="s">
        <v>21</v>
      </c>
      <c r="M100">
        <v>0</v>
      </c>
      <c r="N100">
        <v>0</v>
      </c>
      <c r="O100" t="str">
        <f>_xlfn.XLOOKUP(olist_closed_deals_dataset[[#This Row],[mql_id]], leads!A:A, leads!D:D, "Unknow" )</f>
        <v>paid_search</v>
      </c>
      <c r="P100" t="str">
        <f>IF(olist_closed_deals_dataset[[#This Row],[declared_monthly_revenue]] &gt;= 10000, "High Values ", IF(olist_closed_deals_dataset[[#This Row],[declared_monthly_revenue]] &gt; 0, "Stander ", "No Revenue " ))</f>
        <v xml:space="preserve">No Revenue </v>
      </c>
    </row>
    <row r="101" spans="1:16" x14ac:dyDescent="0.2">
      <c r="A101" t="s">
        <v>285</v>
      </c>
      <c r="B101" t="s">
        <v>286</v>
      </c>
      <c r="C101" t="s">
        <v>42</v>
      </c>
      <c r="D101" t="s">
        <v>95</v>
      </c>
      <c r="E101" s="1">
        <v>43126.851377314815</v>
      </c>
      <c r="F101" t="s">
        <v>61</v>
      </c>
      <c r="G101" t="s">
        <v>27</v>
      </c>
      <c r="H101" t="s">
        <v>1796</v>
      </c>
      <c r="I101" t="s">
        <v>1796</v>
      </c>
      <c r="J101" t="s">
        <v>1796</v>
      </c>
      <c r="K101" t="s">
        <v>1796</v>
      </c>
      <c r="L101" t="s">
        <v>21</v>
      </c>
      <c r="M101">
        <v>0</v>
      </c>
      <c r="N101">
        <v>0</v>
      </c>
      <c r="O101" t="str">
        <f>_xlfn.XLOOKUP(olist_closed_deals_dataset[[#This Row],[mql_id]], leads!A:A, leads!D:D, "Unknow" )</f>
        <v>direct_traffic</v>
      </c>
      <c r="P101" t="str">
        <f>IF(olist_closed_deals_dataset[[#This Row],[declared_monthly_revenue]] &gt;= 10000, "High Values ", IF(olist_closed_deals_dataset[[#This Row],[declared_monthly_revenue]] &gt; 0, "Stander ", "No Revenue " ))</f>
        <v xml:space="preserve">No Revenue </v>
      </c>
    </row>
    <row r="102" spans="1:16" x14ac:dyDescent="0.2">
      <c r="A102" t="s">
        <v>287</v>
      </c>
      <c r="B102" t="s">
        <v>288</v>
      </c>
      <c r="C102" t="s">
        <v>60</v>
      </c>
      <c r="D102" t="s">
        <v>64</v>
      </c>
      <c r="E102" s="1">
        <v>43368.49658564815</v>
      </c>
      <c r="F102" t="s">
        <v>68</v>
      </c>
      <c r="G102" t="s">
        <v>57</v>
      </c>
      <c r="H102" t="s">
        <v>20</v>
      </c>
      <c r="I102" t="s">
        <v>1796</v>
      </c>
      <c r="J102" t="s">
        <v>1796</v>
      </c>
      <c r="K102" t="s">
        <v>1796</v>
      </c>
      <c r="L102" t="s">
        <v>21</v>
      </c>
      <c r="M102">
        <v>400</v>
      </c>
      <c r="N102">
        <v>100000</v>
      </c>
      <c r="O102" t="str">
        <f>_xlfn.XLOOKUP(olist_closed_deals_dataset[[#This Row],[mql_id]], leads!A:A, leads!D:D, "Unknow" )</f>
        <v>organic_search</v>
      </c>
      <c r="P102" t="str">
        <f>IF(olist_closed_deals_dataset[[#This Row],[declared_monthly_revenue]] &gt;= 10000, "High Values ", IF(olist_closed_deals_dataset[[#This Row],[declared_monthly_revenue]] &gt; 0, "Stander ", "No Revenue " ))</f>
        <v xml:space="preserve">High Values </v>
      </c>
    </row>
    <row r="103" spans="1:16" x14ac:dyDescent="0.2">
      <c r="A103" t="s">
        <v>289</v>
      </c>
      <c r="B103" t="s">
        <v>290</v>
      </c>
      <c r="C103" t="s">
        <v>42</v>
      </c>
      <c r="D103" t="s">
        <v>52</v>
      </c>
      <c r="E103" s="1">
        <v>43196.736435185187</v>
      </c>
      <c r="F103" t="s">
        <v>26</v>
      </c>
      <c r="G103" t="s">
        <v>99</v>
      </c>
      <c r="H103" t="s">
        <v>20</v>
      </c>
      <c r="I103" t="s">
        <v>1796</v>
      </c>
      <c r="J103" t="s">
        <v>1796</v>
      </c>
      <c r="K103" t="s">
        <v>1796</v>
      </c>
      <c r="L103" t="s">
        <v>21</v>
      </c>
      <c r="M103">
        <v>0</v>
      </c>
      <c r="N103">
        <v>0</v>
      </c>
      <c r="O103" t="str">
        <f>_xlfn.XLOOKUP(olist_closed_deals_dataset[[#This Row],[mql_id]], leads!A:A, leads!D:D, "Unknow" )</f>
        <v>organic_search</v>
      </c>
      <c r="P103" t="str">
        <f>IF(olist_closed_deals_dataset[[#This Row],[declared_monthly_revenue]] &gt;= 10000, "High Values ", IF(olist_closed_deals_dataset[[#This Row],[declared_monthly_revenue]] &gt; 0, "Stander ", "No Revenue " ))</f>
        <v xml:space="preserve">No Revenue </v>
      </c>
    </row>
    <row r="104" spans="1:16" x14ac:dyDescent="0.2">
      <c r="A104" t="s">
        <v>291</v>
      </c>
      <c r="B104" t="s">
        <v>292</v>
      </c>
      <c r="C104" t="s">
        <v>42</v>
      </c>
      <c r="D104" t="s">
        <v>42</v>
      </c>
      <c r="E104" s="1">
        <v>43293.884965277779</v>
      </c>
      <c r="F104" t="s">
        <v>26</v>
      </c>
      <c r="G104" t="s">
        <v>34</v>
      </c>
      <c r="H104" t="s">
        <v>43</v>
      </c>
      <c r="I104" t="s">
        <v>1796</v>
      </c>
      <c r="J104" t="s">
        <v>1796</v>
      </c>
      <c r="K104" t="s">
        <v>1796</v>
      </c>
      <c r="L104" t="s">
        <v>21</v>
      </c>
      <c r="M104">
        <v>0</v>
      </c>
      <c r="N104">
        <v>0</v>
      </c>
      <c r="O104" t="str">
        <f>_xlfn.XLOOKUP(olist_closed_deals_dataset[[#This Row],[mql_id]], leads!A:A, leads!D:D, "Unknow" )</f>
        <v>paid_search</v>
      </c>
      <c r="P104" t="str">
        <f>IF(olist_closed_deals_dataset[[#This Row],[declared_monthly_revenue]] &gt;= 10000, "High Values ", IF(olist_closed_deals_dataset[[#This Row],[declared_monthly_revenue]] &gt; 0, "Stander ", "No Revenue " ))</f>
        <v xml:space="preserve">No Revenue </v>
      </c>
    </row>
    <row r="105" spans="1:16" x14ac:dyDescent="0.2">
      <c r="A105" t="s">
        <v>293</v>
      </c>
      <c r="B105" t="s">
        <v>294</v>
      </c>
      <c r="C105" t="s">
        <v>81</v>
      </c>
      <c r="D105" t="s">
        <v>52</v>
      </c>
      <c r="E105" s="1">
        <v>43173.512731481482</v>
      </c>
      <c r="F105" t="s">
        <v>138</v>
      </c>
      <c r="G105" t="s">
        <v>34</v>
      </c>
      <c r="H105" t="s">
        <v>20</v>
      </c>
      <c r="I105" t="s">
        <v>1796</v>
      </c>
      <c r="J105" t="s">
        <v>1796</v>
      </c>
      <c r="K105" t="s">
        <v>1796</v>
      </c>
      <c r="L105" t="s">
        <v>21</v>
      </c>
      <c r="M105">
        <v>0</v>
      </c>
      <c r="N105">
        <v>0</v>
      </c>
      <c r="O105" t="str">
        <f>_xlfn.XLOOKUP(olist_closed_deals_dataset[[#This Row],[mql_id]], leads!A:A, leads!D:D, "Unknow" )</f>
        <v>social</v>
      </c>
      <c r="P105" t="str">
        <f>IF(olist_closed_deals_dataset[[#This Row],[declared_monthly_revenue]] &gt;= 10000, "High Values ", IF(olist_closed_deals_dataset[[#This Row],[declared_monthly_revenue]] &gt; 0, "Stander ", "No Revenue " ))</f>
        <v xml:space="preserve">No Revenue </v>
      </c>
    </row>
    <row r="106" spans="1:16" x14ac:dyDescent="0.2">
      <c r="A106" t="s">
        <v>295</v>
      </c>
      <c r="B106" t="s">
        <v>296</v>
      </c>
      <c r="C106" t="s">
        <v>65</v>
      </c>
      <c r="D106" t="s">
        <v>52</v>
      </c>
      <c r="E106" s="1">
        <v>43187.942962962959</v>
      </c>
      <c r="F106" t="s">
        <v>297</v>
      </c>
      <c r="G106" t="s">
        <v>39</v>
      </c>
      <c r="H106" t="s">
        <v>43</v>
      </c>
      <c r="I106" t="s">
        <v>1796</v>
      </c>
      <c r="J106" t="s">
        <v>1796</v>
      </c>
      <c r="K106" t="s">
        <v>1796</v>
      </c>
      <c r="L106" t="s">
        <v>44</v>
      </c>
      <c r="M106">
        <v>0</v>
      </c>
      <c r="N106">
        <v>0</v>
      </c>
      <c r="O106" t="str">
        <f>_xlfn.XLOOKUP(olist_closed_deals_dataset[[#This Row],[mql_id]], leads!A:A, leads!D:D, "Unknow" )</f>
        <v>paid_search</v>
      </c>
      <c r="P106" t="str">
        <f>IF(olist_closed_deals_dataset[[#This Row],[declared_monthly_revenue]] &gt;= 10000, "High Values ", IF(olist_closed_deals_dataset[[#This Row],[declared_monthly_revenue]] &gt; 0, "Stander ", "No Revenue " ))</f>
        <v xml:space="preserve">No Revenue </v>
      </c>
    </row>
    <row r="107" spans="1:16" x14ac:dyDescent="0.2">
      <c r="A107" t="s">
        <v>298</v>
      </c>
      <c r="B107" t="s">
        <v>299</v>
      </c>
      <c r="C107" t="s">
        <v>159</v>
      </c>
      <c r="D107" t="s">
        <v>48</v>
      </c>
      <c r="E107" s="1">
        <v>43234.671516203707</v>
      </c>
      <c r="F107" t="s">
        <v>274</v>
      </c>
      <c r="G107" t="s">
        <v>34</v>
      </c>
      <c r="H107" t="s">
        <v>20</v>
      </c>
      <c r="I107" t="s">
        <v>1796</v>
      </c>
      <c r="J107" t="s">
        <v>1796</v>
      </c>
      <c r="K107" t="s">
        <v>1796</v>
      </c>
      <c r="L107" t="s">
        <v>21</v>
      </c>
      <c r="M107">
        <v>0</v>
      </c>
      <c r="N107">
        <v>0</v>
      </c>
      <c r="O107" t="str">
        <f>_xlfn.XLOOKUP(olist_closed_deals_dataset[[#This Row],[mql_id]], leads!A:A, leads!D:D, "Unknow" )</f>
        <v>organic_search</v>
      </c>
      <c r="P107" t="str">
        <f>IF(olist_closed_deals_dataset[[#This Row],[declared_monthly_revenue]] &gt;= 10000, "High Values ", IF(olist_closed_deals_dataset[[#This Row],[declared_monthly_revenue]] &gt; 0, "Stander ", "No Revenue " ))</f>
        <v xml:space="preserve">No Revenue </v>
      </c>
    </row>
    <row r="108" spans="1:16" x14ac:dyDescent="0.2">
      <c r="A108" t="s">
        <v>300</v>
      </c>
      <c r="B108" t="s">
        <v>301</v>
      </c>
      <c r="C108" t="s">
        <v>37</v>
      </c>
      <c r="D108" t="s">
        <v>102</v>
      </c>
      <c r="E108" s="1">
        <v>43122.554537037038</v>
      </c>
      <c r="F108" t="s">
        <v>204</v>
      </c>
      <c r="G108" t="s">
        <v>27</v>
      </c>
      <c r="H108" t="s">
        <v>1796</v>
      </c>
      <c r="I108" t="s">
        <v>1796</v>
      </c>
      <c r="J108" t="s">
        <v>1796</v>
      </c>
      <c r="K108" t="s">
        <v>1796</v>
      </c>
      <c r="L108" t="s">
        <v>21</v>
      </c>
      <c r="M108">
        <v>0</v>
      </c>
      <c r="N108">
        <v>0</v>
      </c>
      <c r="O108" t="str">
        <f>_xlfn.XLOOKUP(olist_closed_deals_dataset[[#This Row],[mql_id]], leads!A:A, leads!D:D, "Unknow" )</f>
        <v>Unknow</v>
      </c>
      <c r="P108" t="str">
        <f>IF(olist_closed_deals_dataset[[#This Row],[declared_monthly_revenue]] &gt;= 10000, "High Values ", IF(olist_closed_deals_dataset[[#This Row],[declared_monthly_revenue]] &gt; 0, "Stander ", "No Revenue " ))</f>
        <v xml:space="preserve">No Revenue </v>
      </c>
    </row>
    <row r="109" spans="1:16" x14ac:dyDescent="0.2">
      <c r="A109" t="s">
        <v>302</v>
      </c>
      <c r="B109" t="s">
        <v>303</v>
      </c>
      <c r="C109" t="s">
        <v>42</v>
      </c>
      <c r="D109" t="s">
        <v>48</v>
      </c>
      <c r="E109" s="1">
        <v>43220.125</v>
      </c>
      <c r="F109" t="s">
        <v>49</v>
      </c>
      <c r="G109" t="s">
        <v>34</v>
      </c>
      <c r="H109" t="s">
        <v>20</v>
      </c>
      <c r="I109" t="s">
        <v>1796</v>
      </c>
      <c r="J109" t="s">
        <v>1796</v>
      </c>
      <c r="K109" t="s">
        <v>1796</v>
      </c>
      <c r="L109" t="s">
        <v>21</v>
      </c>
      <c r="M109">
        <v>0</v>
      </c>
      <c r="N109">
        <v>0</v>
      </c>
      <c r="O109" t="str">
        <f>_xlfn.XLOOKUP(olist_closed_deals_dataset[[#This Row],[mql_id]], leads!A:A, leads!D:D, "Unknow" )</f>
        <v>organic_search</v>
      </c>
      <c r="P109" t="str">
        <f>IF(olist_closed_deals_dataset[[#This Row],[declared_monthly_revenue]] &gt;= 10000, "High Values ", IF(olist_closed_deals_dataset[[#This Row],[declared_monthly_revenue]] &gt; 0, "Stander ", "No Revenue " ))</f>
        <v xml:space="preserve">No Revenue </v>
      </c>
    </row>
    <row r="110" spans="1:16" x14ac:dyDescent="0.2">
      <c r="A110" t="s">
        <v>304</v>
      </c>
      <c r="B110" t="s">
        <v>305</v>
      </c>
      <c r="C110" t="s">
        <v>181</v>
      </c>
      <c r="D110" t="s">
        <v>74</v>
      </c>
      <c r="E110" s="1">
        <v>43354.809594907405</v>
      </c>
      <c r="F110" t="s">
        <v>96</v>
      </c>
      <c r="G110" t="s">
        <v>34</v>
      </c>
      <c r="H110" t="s">
        <v>43</v>
      </c>
      <c r="I110" t="s">
        <v>1796</v>
      </c>
      <c r="J110" t="s">
        <v>1796</v>
      </c>
      <c r="K110" t="s">
        <v>1796</v>
      </c>
      <c r="L110" t="s">
        <v>21</v>
      </c>
      <c r="M110">
        <v>800</v>
      </c>
      <c r="N110">
        <v>100000</v>
      </c>
      <c r="O110" t="str">
        <f>_xlfn.XLOOKUP(olist_closed_deals_dataset[[#This Row],[mql_id]], leads!A:A, leads!D:D, "Unknow" )</f>
        <v>social</v>
      </c>
      <c r="P110" t="str">
        <f>IF(olist_closed_deals_dataset[[#This Row],[declared_monthly_revenue]] &gt;= 10000, "High Values ", IF(olist_closed_deals_dataset[[#This Row],[declared_monthly_revenue]] &gt; 0, "Stander ", "No Revenue " ))</f>
        <v xml:space="preserve">High Values </v>
      </c>
    </row>
    <row r="111" spans="1:16" x14ac:dyDescent="0.2">
      <c r="A111" t="s">
        <v>306</v>
      </c>
      <c r="B111" t="s">
        <v>307</v>
      </c>
      <c r="C111" t="s">
        <v>31</v>
      </c>
      <c r="D111" t="s">
        <v>37</v>
      </c>
      <c r="E111" s="1">
        <v>43230.796979166669</v>
      </c>
      <c r="F111" t="s">
        <v>26</v>
      </c>
      <c r="G111" t="s">
        <v>19</v>
      </c>
      <c r="H111" t="s">
        <v>43</v>
      </c>
      <c r="I111" t="s">
        <v>1796</v>
      </c>
      <c r="J111" t="s">
        <v>1796</v>
      </c>
      <c r="K111" t="s">
        <v>1796</v>
      </c>
      <c r="L111" t="s">
        <v>21</v>
      </c>
      <c r="M111">
        <v>0</v>
      </c>
      <c r="N111">
        <v>0</v>
      </c>
      <c r="O111" t="str">
        <f>_xlfn.XLOOKUP(olist_closed_deals_dataset[[#This Row],[mql_id]], leads!A:A, leads!D:D, "Unknow" )</f>
        <v>unknown</v>
      </c>
      <c r="P111" t="str">
        <f>IF(olist_closed_deals_dataset[[#This Row],[declared_monthly_revenue]] &gt;= 10000, "High Values ", IF(olist_closed_deals_dataset[[#This Row],[declared_monthly_revenue]] &gt; 0, "Stander ", "No Revenue " ))</f>
        <v xml:space="preserve">No Revenue </v>
      </c>
    </row>
    <row r="112" spans="1:16" x14ac:dyDescent="0.2">
      <c r="A112" t="s">
        <v>308</v>
      </c>
      <c r="B112" t="s">
        <v>309</v>
      </c>
      <c r="C112" t="s">
        <v>65</v>
      </c>
      <c r="D112" t="s">
        <v>77</v>
      </c>
      <c r="E112" s="1">
        <v>43172.622233796297</v>
      </c>
      <c r="F112" t="s">
        <v>61</v>
      </c>
      <c r="G112" t="s">
        <v>57</v>
      </c>
      <c r="H112" t="s">
        <v>28</v>
      </c>
      <c r="I112" t="s">
        <v>1796</v>
      </c>
      <c r="J112" t="s">
        <v>1796</v>
      </c>
      <c r="K112" t="s">
        <v>1796</v>
      </c>
      <c r="L112" t="s">
        <v>21</v>
      </c>
      <c r="M112">
        <v>0</v>
      </c>
      <c r="N112">
        <v>0</v>
      </c>
      <c r="O112" t="str">
        <f>_xlfn.XLOOKUP(olist_closed_deals_dataset[[#This Row],[mql_id]], leads!A:A, leads!D:D, "Unknow" )</f>
        <v>paid_search</v>
      </c>
      <c r="P112" t="str">
        <f>IF(olist_closed_deals_dataset[[#This Row],[declared_monthly_revenue]] &gt;= 10000, "High Values ", IF(olist_closed_deals_dataset[[#This Row],[declared_monthly_revenue]] &gt; 0, "Stander ", "No Revenue " ))</f>
        <v xml:space="preserve">No Revenue </v>
      </c>
    </row>
    <row r="113" spans="1:16" x14ac:dyDescent="0.2">
      <c r="A113" t="s">
        <v>310</v>
      </c>
      <c r="B113" t="s">
        <v>311</v>
      </c>
      <c r="C113" t="s">
        <v>159</v>
      </c>
      <c r="D113" t="s">
        <v>65</v>
      </c>
      <c r="E113" s="1">
        <v>43214.125</v>
      </c>
      <c r="F113" t="s">
        <v>204</v>
      </c>
      <c r="G113" t="s">
        <v>112</v>
      </c>
      <c r="H113" t="s">
        <v>28</v>
      </c>
      <c r="I113" t="s">
        <v>1796</v>
      </c>
      <c r="J113" t="s">
        <v>1796</v>
      </c>
      <c r="K113" t="s">
        <v>1796</v>
      </c>
      <c r="L113" t="s">
        <v>21</v>
      </c>
      <c r="M113">
        <v>0</v>
      </c>
      <c r="N113">
        <v>0</v>
      </c>
      <c r="O113" t="str">
        <f>_xlfn.XLOOKUP(olist_closed_deals_dataset[[#This Row],[mql_id]], leads!A:A, leads!D:D, "Unknow" )</f>
        <v>social</v>
      </c>
      <c r="P113" t="str">
        <f>IF(olist_closed_deals_dataset[[#This Row],[declared_monthly_revenue]] &gt;= 10000, "High Values ", IF(olist_closed_deals_dataset[[#This Row],[declared_monthly_revenue]] &gt; 0, "Stander ", "No Revenue " ))</f>
        <v xml:space="preserve">No Revenue </v>
      </c>
    </row>
    <row r="114" spans="1:16" x14ac:dyDescent="0.2">
      <c r="A114" t="s">
        <v>312</v>
      </c>
      <c r="B114" t="s">
        <v>313</v>
      </c>
      <c r="C114" t="s">
        <v>65</v>
      </c>
      <c r="D114" t="s">
        <v>52</v>
      </c>
      <c r="E114" s="1">
        <v>43196.74726851852</v>
      </c>
      <c r="F114" t="s">
        <v>82</v>
      </c>
      <c r="G114" t="s">
        <v>19</v>
      </c>
      <c r="H114" t="s">
        <v>20</v>
      </c>
      <c r="I114" t="s">
        <v>1796</v>
      </c>
      <c r="J114" t="s">
        <v>1796</v>
      </c>
      <c r="K114" t="s">
        <v>1796</v>
      </c>
      <c r="L114" t="s">
        <v>21</v>
      </c>
      <c r="M114">
        <v>0</v>
      </c>
      <c r="N114">
        <v>0</v>
      </c>
      <c r="O114" t="str">
        <f>_xlfn.XLOOKUP(olist_closed_deals_dataset[[#This Row],[mql_id]], leads!A:A, leads!D:D, "Unknow" )</f>
        <v>organic_search</v>
      </c>
      <c r="P114" t="str">
        <f>IF(olist_closed_deals_dataset[[#This Row],[declared_monthly_revenue]] &gt;= 10000, "High Values ", IF(olist_closed_deals_dataset[[#This Row],[declared_monthly_revenue]] &gt; 0, "Stander ", "No Revenue " ))</f>
        <v xml:space="preserve">No Revenue </v>
      </c>
    </row>
    <row r="115" spans="1:16" x14ac:dyDescent="0.2">
      <c r="A115" t="s">
        <v>314</v>
      </c>
      <c r="B115" t="s">
        <v>315</v>
      </c>
      <c r="C115" t="s">
        <v>42</v>
      </c>
      <c r="D115" t="s">
        <v>77</v>
      </c>
      <c r="E115" s="1">
        <v>43132.523090277777</v>
      </c>
      <c r="F115" t="s">
        <v>274</v>
      </c>
      <c r="G115" t="s">
        <v>19</v>
      </c>
      <c r="H115" t="s">
        <v>1796</v>
      </c>
      <c r="I115" t="s">
        <v>1796</v>
      </c>
      <c r="J115" t="s">
        <v>1796</v>
      </c>
      <c r="K115" t="s">
        <v>1796</v>
      </c>
      <c r="L115" t="s">
        <v>44</v>
      </c>
      <c r="M115">
        <v>0</v>
      </c>
      <c r="N115">
        <v>0</v>
      </c>
      <c r="O115" t="str">
        <f>_xlfn.XLOOKUP(olist_closed_deals_dataset[[#This Row],[mql_id]], leads!A:A, leads!D:D, "Unknow" )</f>
        <v>organic_search</v>
      </c>
      <c r="P115" t="str">
        <f>IF(olist_closed_deals_dataset[[#This Row],[declared_monthly_revenue]] &gt;= 10000, "High Values ", IF(olist_closed_deals_dataset[[#This Row],[declared_monthly_revenue]] &gt; 0, "Stander ", "No Revenue " ))</f>
        <v xml:space="preserve">No Revenue </v>
      </c>
    </row>
    <row r="116" spans="1:16" x14ac:dyDescent="0.2">
      <c r="A116" t="s">
        <v>316</v>
      </c>
      <c r="B116" t="s">
        <v>317</v>
      </c>
      <c r="C116" t="s">
        <v>81</v>
      </c>
      <c r="D116" t="s">
        <v>95</v>
      </c>
      <c r="E116" s="1">
        <v>43220.849421296298</v>
      </c>
      <c r="F116" t="s">
        <v>18</v>
      </c>
      <c r="G116" t="s">
        <v>19</v>
      </c>
      <c r="H116" t="s">
        <v>20</v>
      </c>
      <c r="I116" t="s">
        <v>1796</v>
      </c>
      <c r="J116" t="s">
        <v>1796</v>
      </c>
      <c r="K116" t="s">
        <v>1796</v>
      </c>
      <c r="L116" t="s">
        <v>21</v>
      </c>
      <c r="M116">
        <v>0</v>
      </c>
      <c r="N116">
        <v>0</v>
      </c>
      <c r="O116" t="str">
        <f>_xlfn.XLOOKUP(olist_closed_deals_dataset[[#This Row],[mql_id]], leads!A:A, leads!D:D, "Unknow" )</f>
        <v>social</v>
      </c>
      <c r="P116" t="str">
        <f>IF(olist_closed_deals_dataset[[#This Row],[declared_monthly_revenue]] &gt;= 10000, "High Values ", IF(olist_closed_deals_dataset[[#This Row],[declared_monthly_revenue]] &gt; 0, "Stander ", "No Revenue " ))</f>
        <v xml:space="preserve">No Revenue </v>
      </c>
    </row>
    <row r="117" spans="1:16" x14ac:dyDescent="0.2">
      <c r="A117" t="s">
        <v>318</v>
      </c>
      <c r="B117" t="s">
        <v>319</v>
      </c>
      <c r="C117" t="s">
        <v>37</v>
      </c>
      <c r="D117" t="s">
        <v>102</v>
      </c>
      <c r="E117" s="1">
        <v>43187.788495370369</v>
      </c>
      <c r="F117" t="s">
        <v>61</v>
      </c>
      <c r="G117" t="s">
        <v>27</v>
      </c>
      <c r="H117" t="s">
        <v>28</v>
      </c>
      <c r="I117" t="s">
        <v>1796</v>
      </c>
      <c r="J117" t="s">
        <v>1796</v>
      </c>
      <c r="K117" t="s">
        <v>1796</v>
      </c>
      <c r="L117" t="s">
        <v>44</v>
      </c>
      <c r="M117">
        <v>0</v>
      </c>
      <c r="N117">
        <v>0</v>
      </c>
      <c r="O117" t="str">
        <f>_xlfn.XLOOKUP(olist_closed_deals_dataset[[#This Row],[mql_id]], leads!A:A, leads!D:D, "Unknow" )</f>
        <v>unknown</v>
      </c>
      <c r="P117" t="str">
        <f>IF(olist_closed_deals_dataset[[#This Row],[declared_monthly_revenue]] &gt;= 10000, "High Values ", IF(olist_closed_deals_dataset[[#This Row],[declared_monthly_revenue]] &gt; 0, "Stander ", "No Revenue " ))</f>
        <v xml:space="preserve">No Revenue </v>
      </c>
    </row>
    <row r="118" spans="1:16" x14ac:dyDescent="0.2">
      <c r="A118" t="s">
        <v>320</v>
      </c>
      <c r="B118" t="s">
        <v>321</v>
      </c>
      <c r="C118" t="s">
        <v>31</v>
      </c>
      <c r="D118" t="s">
        <v>17</v>
      </c>
      <c r="E118" s="1">
        <v>43238.533206018517</v>
      </c>
      <c r="F118" t="s">
        <v>128</v>
      </c>
      <c r="G118" t="s">
        <v>57</v>
      </c>
      <c r="H118" t="s">
        <v>20</v>
      </c>
      <c r="I118" t="s">
        <v>1796</v>
      </c>
      <c r="J118" t="s">
        <v>1796</v>
      </c>
      <c r="K118" t="s">
        <v>1796</v>
      </c>
      <c r="L118" t="s">
        <v>44</v>
      </c>
      <c r="M118">
        <v>0</v>
      </c>
      <c r="N118">
        <v>0</v>
      </c>
      <c r="O118" t="str">
        <f>_xlfn.XLOOKUP(olist_closed_deals_dataset[[#This Row],[mql_id]], leads!A:A, leads!D:D, "Unknow" )</f>
        <v>paid_search</v>
      </c>
      <c r="P118" t="str">
        <f>IF(olist_closed_deals_dataset[[#This Row],[declared_monthly_revenue]] &gt;= 10000, "High Values ", IF(olist_closed_deals_dataset[[#This Row],[declared_monthly_revenue]] &gt; 0, "Stander ", "No Revenue " ))</f>
        <v xml:space="preserve">No Revenue </v>
      </c>
    </row>
    <row r="119" spans="1:16" x14ac:dyDescent="0.2">
      <c r="A119" t="s">
        <v>322</v>
      </c>
      <c r="B119" t="s">
        <v>323</v>
      </c>
      <c r="C119" t="s">
        <v>60</v>
      </c>
      <c r="D119" t="s">
        <v>25</v>
      </c>
      <c r="E119" s="1">
        <v>43332.583229166667</v>
      </c>
      <c r="F119" t="s">
        <v>138</v>
      </c>
      <c r="G119" t="s">
        <v>112</v>
      </c>
      <c r="H119" t="s">
        <v>20</v>
      </c>
      <c r="I119" t="b">
        <v>1</v>
      </c>
      <c r="J119" t="b">
        <v>1</v>
      </c>
      <c r="K119" t="s">
        <v>1796</v>
      </c>
      <c r="L119" t="s">
        <v>21</v>
      </c>
      <c r="M119">
        <v>5</v>
      </c>
      <c r="N119">
        <v>0</v>
      </c>
      <c r="O119" t="str">
        <f>_xlfn.XLOOKUP(olist_closed_deals_dataset[[#This Row],[mql_id]], leads!A:A, leads!D:D, "Unknow" )</f>
        <v>referral</v>
      </c>
      <c r="P119" t="str">
        <f>IF(olist_closed_deals_dataset[[#This Row],[declared_monthly_revenue]] &gt;= 10000, "High Values ", IF(olist_closed_deals_dataset[[#This Row],[declared_monthly_revenue]] &gt; 0, "Stander ", "No Revenue " ))</f>
        <v xml:space="preserve">No Revenue </v>
      </c>
    </row>
    <row r="120" spans="1:16" x14ac:dyDescent="0.2">
      <c r="A120" t="s">
        <v>324</v>
      </c>
      <c r="B120" t="s">
        <v>325</v>
      </c>
      <c r="C120" t="s">
        <v>127</v>
      </c>
      <c r="D120" t="s">
        <v>17</v>
      </c>
      <c r="E120" s="1">
        <v>43203.859953703701</v>
      </c>
      <c r="F120" t="s">
        <v>38</v>
      </c>
      <c r="G120" t="s">
        <v>19</v>
      </c>
      <c r="H120" t="s">
        <v>20</v>
      </c>
      <c r="I120" t="s">
        <v>1796</v>
      </c>
      <c r="J120" t="s">
        <v>1796</v>
      </c>
      <c r="K120" t="s">
        <v>1796</v>
      </c>
      <c r="L120" t="s">
        <v>21</v>
      </c>
      <c r="M120">
        <v>0</v>
      </c>
      <c r="N120">
        <v>0</v>
      </c>
      <c r="O120" t="str">
        <f>_xlfn.XLOOKUP(olist_closed_deals_dataset[[#This Row],[mql_id]], leads!A:A, leads!D:D, "Unknow" )</f>
        <v>social</v>
      </c>
      <c r="P120" t="str">
        <f>IF(olist_closed_deals_dataset[[#This Row],[declared_monthly_revenue]] &gt;= 10000, "High Values ", IF(olist_closed_deals_dataset[[#This Row],[declared_monthly_revenue]] &gt; 0, "Stander ", "No Revenue " ))</f>
        <v xml:space="preserve">No Revenue </v>
      </c>
    </row>
    <row r="121" spans="1:16" x14ac:dyDescent="0.2">
      <c r="A121" t="s">
        <v>326</v>
      </c>
      <c r="B121" t="s">
        <v>327</v>
      </c>
      <c r="C121" t="s">
        <v>328</v>
      </c>
      <c r="D121" t="s">
        <v>25</v>
      </c>
      <c r="E121" s="1">
        <v>43403.764641203707</v>
      </c>
      <c r="F121" t="s">
        <v>61</v>
      </c>
      <c r="G121" t="s">
        <v>34</v>
      </c>
      <c r="H121" t="s">
        <v>43</v>
      </c>
      <c r="I121" t="b">
        <v>1</v>
      </c>
      <c r="J121" t="b">
        <v>0</v>
      </c>
      <c r="K121" t="s">
        <v>142</v>
      </c>
      <c r="L121" t="s">
        <v>21</v>
      </c>
      <c r="M121">
        <v>100</v>
      </c>
      <c r="N121">
        <v>150000</v>
      </c>
      <c r="O121" t="str">
        <f>_xlfn.XLOOKUP(olist_closed_deals_dataset[[#This Row],[mql_id]], leads!A:A, leads!D:D, "Unknow" )</f>
        <v>unknown</v>
      </c>
      <c r="P121" t="str">
        <f>IF(olist_closed_deals_dataset[[#This Row],[declared_monthly_revenue]] &gt;= 10000, "High Values ", IF(olist_closed_deals_dataset[[#This Row],[declared_monthly_revenue]] &gt; 0, "Stander ", "No Revenue " ))</f>
        <v xml:space="preserve">High Values </v>
      </c>
    </row>
    <row r="122" spans="1:16" x14ac:dyDescent="0.2">
      <c r="A122" t="s">
        <v>329</v>
      </c>
      <c r="B122" t="s">
        <v>330</v>
      </c>
      <c r="C122" t="s">
        <v>65</v>
      </c>
      <c r="D122" t="s">
        <v>102</v>
      </c>
      <c r="E122" s="1">
        <v>43178.125</v>
      </c>
      <c r="F122" t="s">
        <v>138</v>
      </c>
      <c r="G122" t="s">
        <v>19</v>
      </c>
      <c r="H122" t="s">
        <v>1796</v>
      </c>
      <c r="I122" t="s">
        <v>1796</v>
      </c>
      <c r="J122" t="s">
        <v>1796</v>
      </c>
      <c r="K122" t="s">
        <v>1796</v>
      </c>
      <c r="L122" t="s">
        <v>21</v>
      </c>
      <c r="M122">
        <v>0</v>
      </c>
      <c r="N122">
        <v>0</v>
      </c>
      <c r="O122" t="str">
        <f>_xlfn.XLOOKUP(olist_closed_deals_dataset[[#This Row],[mql_id]], leads!A:A, leads!D:D, "Unknow" )</f>
        <v>paid_search</v>
      </c>
      <c r="P122" t="str">
        <f>IF(olist_closed_deals_dataset[[#This Row],[declared_monthly_revenue]] &gt;= 10000, "High Values ", IF(olist_closed_deals_dataset[[#This Row],[declared_monthly_revenue]] &gt; 0, "Stander ", "No Revenue " ))</f>
        <v xml:space="preserve">No Revenue </v>
      </c>
    </row>
    <row r="123" spans="1:16" x14ac:dyDescent="0.2">
      <c r="A123" t="s">
        <v>331</v>
      </c>
      <c r="B123" t="s">
        <v>332</v>
      </c>
      <c r="C123" t="s">
        <v>42</v>
      </c>
      <c r="D123" t="s">
        <v>95</v>
      </c>
      <c r="E123" s="1">
        <v>43257.743379629632</v>
      </c>
      <c r="F123" t="s">
        <v>49</v>
      </c>
      <c r="G123" t="s">
        <v>19</v>
      </c>
      <c r="H123" t="s">
        <v>20</v>
      </c>
      <c r="I123" t="s">
        <v>1796</v>
      </c>
      <c r="J123" t="s">
        <v>1796</v>
      </c>
      <c r="K123" t="s">
        <v>1796</v>
      </c>
      <c r="L123" t="s">
        <v>44</v>
      </c>
      <c r="M123">
        <v>0</v>
      </c>
      <c r="N123">
        <v>0</v>
      </c>
      <c r="O123" t="str">
        <f>_xlfn.XLOOKUP(olist_closed_deals_dataset[[#This Row],[mql_id]], leads!A:A, leads!D:D, "Unknow" )</f>
        <v>unknown</v>
      </c>
      <c r="P123" t="str">
        <f>IF(olist_closed_deals_dataset[[#This Row],[declared_monthly_revenue]] &gt;= 10000, "High Values ", IF(olist_closed_deals_dataset[[#This Row],[declared_monthly_revenue]] &gt; 0, "Stander ", "No Revenue " ))</f>
        <v xml:space="preserve">No Revenue </v>
      </c>
    </row>
    <row r="124" spans="1:16" x14ac:dyDescent="0.2">
      <c r="A124" t="s">
        <v>333</v>
      </c>
      <c r="B124" t="s">
        <v>334</v>
      </c>
      <c r="C124" t="s">
        <v>16</v>
      </c>
      <c r="D124" t="s">
        <v>65</v>
      </c>
      <c r="E124" s="1">
        <v>43195.629293981481</v>
      </c>
      <c r="F124" t="s">
        <v>96</v>
      </c>
      <c r="G124" t="s">
        <v>19</v>
      </c>
      <c r="H124" t="s">
        <v>20</v>
      </c>
      <c r="I124" t="s">
        <v>1796</v>
      </c>
      <c r="J124" t="s">
        <v>1796</v>
      </c>
      <c r="K124" t="s">
        <v>1796</v>
      </c>
      <c r="L124" t="s">
        <v>21</v>
      </c>
      <c r="M124">
        <v>0</v>
      </c>
      <c r="N124">
        <v>0</v>
      </c>
      <c r="O124" t="str">
        <f>_xlfn.XLOOKUP(olist_closed_deals_dataset[[#This Row],[mql_id]], leads!A:A, leads!D:D, "Unknow" )</f>
        <v>direct_traffic</v>
      </c>
      <c r="P124" t="str">
        <f>IF(olist_closed_deals_dataset[[#This Row],[declared_monthly_revenue]] &gt;= 10000, "High Values ", IF(olist_closed_deals_dataset[[#This Row],[declared_monthly_revenue]] &gt; 0, "Stander ", "No Revenue " ))</f>
        <v xml:space="preserve">No Revenue </v>
      </c>
    </row>
    <row r="125" spans="1:16" x14ac:dyDescent="0.2">
      <c r="A125" t="s">
        <v>335</v>
      </c>
      <c r="B125" t="s">
        <v>336</v>
      </c>
      <c r="C125" t="s">
        <v>42</v>
      </c>
      <c r="D125" t="s">
        <v>48</v>
      </c>
      <c r="E125" s="1">
        <v>43157.713263888887</v>
      </c>
      <c r="F125" t="s">
        <v>337</v>
      </c>
      <c r="G125" t="s">
        <v>19</v>
      </c>
      <c r="H125" t="s">
        <v>43</v>
      </c>
      <c r="I125" t="s">
        <v>1796</v>
      </c>
      <c r="J125" t="s">
        <v>1796</v>
      </c>
      <c r="K125" t="s">
        <v>1796</v>
      </c>
      <c r="L125" t="s">
        <v>21</v>
      </c>
      <c r="M125">
        <v>0</v>
      </c>
      <c r="N125">
        <v>0</v>
      </c>
      <c r="O125" t="str">
        <f>_xlfn.XLOOKUP(olist_closed_deals_dataset[[#This Row],[mql_id]], leads!A:A, leads!D:D, "Unknow" )</f>
        <v>organic_search</v>
      </c>
      <c r="P125" t="str">
        <f>IF(olist_closed_deals_dataset[[#This Row],[declared_monthly_revenue]] &gt;= 10000, "High Values ", IF(olist_closed_deals_dataset[[#This Row],[declared_monthly_revenue]] &gt; 0, "Stander ", "No Revenue " ))</f>
        <v xml:space="preserve">No Revenue </v>
      </c>
    </row>
    <row r="126" spans="1:16" x14ac:dyDescent="0.2">
      <c r="A126" t="s">
        <v>338</v>
      </c>
      <c r="B126" t="s">
        <v>339</v>
      </c>
      <c r="C126" t="s">
        <v>60</v>
      </c>
      <c r="D126" t="s">
        <v>71</v>
      </c>
      <c r="E126" s="1">
        <v>43217.591203703705</v>
      </c>
      <c r="F126" t="s">
        <v>61</v>
      </c>
      <c r="G126" t="s">
        <v>57</v>
      </c>
      <c r="H126" t="s">
        <v>43</v>
      </c>
      <c r="I126" t="s">
        <v>1796</v>
      </c>
      <c r="J126" t="s">
        <v>1796</v>
      </c>
      <c r="K126" t="s">
        <v>1796</v>
      </c>
      <c r="L126" t="s">
        <v>21</v>
      </c>
      <c r="M126">
        <v>0</v>
      </c>
      <c r="N126">
        <v>0</v>
      </c>
      <c r="O126" t="str">
        <f>_xlfn.XLOOKUP(olist_closed_deals_dataset[[#This Row],[mql_id]], leads!A:A, leads!D:D, "Unknow" )</f>
        <v>paid_search</v>
      </c>
      <c r="P126" t="str">
        <f>IF(olist_closed_deals_dataset[[#This Row],[declared_monthly_revenue]] &gt;= 10000, "High Values ", IF(olist_closed_deals_dataset[[#This Row],[declared_monthly_revenue]] &gt; 0, "Stander ", "No Revenue " ))</f>
        <v xml:space="preserve">No Revenue </v>
      </c>
    </row>
    <row r="127" spans="1:16" x14ac:dyDescent="0.2">
      <c r="A127" t="s">
        <v>340</v>
      </c>
      <c r="B127" t="s">
        <v>341</v>
      </c>
      <c r="C127" t="s">
        <v>127</v>
      </c>
      <c r="D127" t="s">
        <v>56</v>
      </c>
      <c r="E127" s="1">
        <v>43360.502291666664</v>
      </c>
      <c r="F127" t="s">
        <v>26</v>
      </c>
      <c r="G127" t="s">
        <v>57</v>
      </c>
      <c r="H127" t="s">
        <v>28</v>
      </c>
      <c r="I127" t="s">
        <v>1796</v>
      </c>
      <c r="J127" t="s">
        <v>1796</v>
      </c>
      <c r="K127" t="s">
        <v>142</v>
      </c>
      <c r="L127" t="s">
        <v>21</v>
      </c>
      <c r="M127">
        <v>50</v>
      </c>
      <c r="N127">
        <v>10000</v>
      </c>
      <c r="O127" t="str">
        <f>_xlfn.XLOOKUP(olist_closed_deals_dataset[[#This Row],[mql_id]], leads!A:A, leads!D:D, "Unknow" )</f>
        <v>paid_search</v>
      </c>
      <c r="P127" t="str">
        <f>IF(olist_closed_deals_dataset[[#This Row],[declared_monthly_revenue]] &gt;= 10000, "High Values ", IF(olist_closed_deals_dataset[[#This Row],[declared_monthly_revenue]] &gt; 0, "Stander ", "No Revenue " ))</f>
        <v xml:space="preserve">High Values </v>
      </c>
    </row>
    <row r="128" spans="1:16" x14ac:dyDescent="0.2">
      <c r="A128" t="s">
        <v>342</v>
      </c>
      <c r="B128" t="s">
        <v>343</v>
      </c>
      <c r="C128" t="s">
        <v>64</v>
      </c>
      <c r="D128" t="s">
        <v>81</v>
      </c>
      <c r="E128" s="1">
        <v>43235.848043981481</v>
      </c>
      <c r="F128" t="s">
        <v>18</v>
      </c>
      <c r="G128" t="s">
        <v>39</v>
      </c>
      <c r="H128" t="s">
        <v>28</v>
      </c>
      <c r="I128" t="s">
        <v>1796</v>
      </c>
      <c r="J128" t="s">
        <v>1796</v>
      </c>
      <c r="K128" t="s">
        <v>1796</v>
      </c>
      <c r="L128" t="s">
        <v>21</v>
      </c>
      <c r="M128">
        <v>0</v>
      </c>
      <c r="N128">
        <v>0</v>
      </c>
      <c r="O128" t="str">
        <f>_xlfn.XLOOKUP(olist_closed_deals_dataset[[#This Row],[mql_id]], leads!A:A, leads!D:D, "Unknow" )</f>
        <v>organic_search</v>
      </c>
      <c r="P128" t="str">
        <f>IF(olist_closed_deals_dataset[[#This Row],[declared_monthly_revenue]] &gt;= 10000, "High Values ", IF(olist_closed_deals_dataset[[#This Row],[declared_monthly_revenue]] &gt; 0, "Stander ", "No Revenue " ))</f>
        <v xml:space="preserve">No Revenue </v>
      </c>
    </row>
    <row r="129" spans="1:16" x14ac:dyDescent="0.2">
      <c r="A129" t="s">
        <v>344</v>
      </c>
      <c r="B129" t="s">
        <v>345</v>
      </c>
      <c r="C129" t="s">
        <v>47</v>
      </c>
      <c r="D129" t="s">
        <v>77</v>
      </c>
      <c r="E129" s="1">
        <v>43123.74895833333</v>
      </c>
      <c r="F129" t="s">
        <v>26</v>
      </c>
      <c r="G129" t="s">
        <v>27</v>
      </c>
      <c r="H129" t="s">
        <v>1796</v>
      </c>
      <c r="I129" t="s">
        <v>1796</v>
      </c>
      <c r="J129" t="s">
        <v>1796</v>
      </c>
      <c r="K129" t="s">
        <v>1796</v>
      </c>
      <c r="L129" t="s">
        <v>21</v>
      </c>
      <c r="M129">
        <v>0</v>
      </c>
      <c r="N129">
        <v>0</v>
      </c>
      <c r="O129" t="str">
        <f>_xlfn.XLOOKUP(olist_closed_deals_dataset[[#This Row],[mql_id]], leads!A:A, leads!D:D, "Unknow" )</f>
        <v>organic_search</v>
      </c>
      <c r="P129" t="str">
        <f>IF(olist_closed_deals_dataset[[#This Row],[declared_monthly_revenue]] &gt;= 10000, "High Values ", IF(olist_closed_deals_dataset[[#This Row],[declared_monthly_revenue]] &gt; 0, "Stander ", "No Revenue " ))</f>
        <v xml:space="preserve">No Revenue </v>
      </c>
    </row>
    <row r="130" spans="1:16" x14ac:dyDescent="0.2">
      <c r="A130" t="s">
        <v>346</v>
      </c>
      <c r="B130" t="s">
        <v>347</v>
      </c>
      <c r="C130" t="s">
        <v>16</v>
      </c>
      <c r="D130" t="s">
        <v>65</v>
      </c>
      <c r="E130" s="1">
        <v>43220.546331018515</v>
      </c>
      <c r="F130" t="s">
        <v>138</v>
      </c>
      <c r="G130" t="s">
        <v>27</v>
      </c>
      <c r="H130" t="s">
        <v>20</v>
      </c>
      <c r="I130" t="s">
        <v>1796</v>
      </c>
      <c r="J130" t="s">
        <v>1796</v>
      </c>
      <c r="K130" t="s">
        <v>1796</v>
      </c>
      <c r="L130" t="s">
        <v>21</v>
      </c>
      <c r="M130">
        <v>0</v>
      </c>
      <c r="N130">
        <v>0</v>
      </c>
      <c r="O130" t="str">
        <f>_xlfn.XLOOKUP(olist_closed_deals_dataset[[#This Row],[mql_id]], leads!A:A, leads!D:D, "Unknow" )</f>
        <v>paid_search</v>
      </c>
      <c r="P130" t="str">
        <f>IF(olist_closed_deals_dataset[[#This Row],[declared_monthly_revenue]] &gt;= 10000, "High Values ", IF(olist_closed_deals_dataset[[#This Row],[declared_monthly_revenue]] &gt; 0, "Stander ", "No Revenue " ))</f>
        <v xml:space="preserve">No Revenue </v>
      </c>
    </row>
    <row r="131" spans="1:16" x14ac:dyDescent="0.2">
      <c r="A131" t="s">
        <v>348</v>
      </c>
      <c r="B131" t="s">
        <v>349</v>
      </c>
      <c r="C131" t="s">
        <v>16</v>
      </c>
      <c r="D131" t="s">
        <v>95</v>
      </c>
      <c r="E131" s="1">
        <v>43187.67459490741</v>
      </c>
      <c r="F131" t="s">
        <v>82</v>
      </c>
      <c r="G131" t="s">
        <v>19</v>
      </c>
      <c r="H131" t="s">
        <v>20</v>
      </c>
      <c r="I131" t="s">
        <v>1796</v>
      </c>
      <c r="J131" t="s">
        <v>1796</v>
      </c>
      <c r="K131" t="s">
        <v>1796</v>
      </c>
      <c r="L131" t="s">
        <v>44</v>
      </c>
      <c r="M131">
        <v>0</v>
      </c>
      <c r="N131">
        <v>0</v>
      </c>
      <c r="O131" t="str">
        <f>_xlfn.XLOOKUP(olist_closed_deals_dataset[[#This Row],[mql_id]], leads!A:A, leads!D:D, "Unknow" )</f>
        <v>paid_search</v>
      </c>
      <c r="P131" t="str">
        <f>IF(olist_closed_deals_dataset[[#This Row],[declared_monthly_revenue]] &gt;= 10000, "High Values ", IF(olist_closed_deals_dataset[[#This Row],[declared_monthly_revenue]] &gt; 0, "Stander ", "No Revenue " ))</f>
        <v xml:space="preserve">No Revenue </v>
      </c>
    </row>
    <row r="132" spans="1:16" x14ac:dyDescent="0.2">
      <c r="A132" t="s">
        <v>350</v>
      </c>
      <c r="B132" t="s">
        <v>351</v>
      </c>
      <c r="C132" t="s">
        <v>141</v>
      </c>
      <c r="D132" t="s">
        <v>42</v>
      </c>
      <c r="E132" s="1">
        <v>43335.532407407409</v>
      </c>
      <c r="F132" t="s">
        <v>49</v>
      </c>
      <c r="G132" t="s">
        <v>19</v>
      </c>
      <c r="H132" t="s">
        <v>20</v>
      </c>
      <c r="I132" t="b">
        <v>1</v>
      </c>
      <c r="J132" t="b">
        <v>1</v>
      </c>
      <c r="K132" t="s">
        <v>352</v>
      </c>
      <c r="L132" t="s">
        <v>21</v>
      </c>
      <c r="M132">
        <v>300</v>
      </c>
      <c r="N132">
        <v>25000</v>
      </c>
      <c r="O132" t="str">
        <f>_xlfn.XLOOKUP(olist_closed_deals_dataset[[#This Row],[mql_id]], leads!A:A, leads!D:D, "Unknow" )</f>
        <v>organic_search</v>
      </c>
      <c r="P132" t="str">
        <f>IF(olist_closed_deals_dataset[[#This Row],[declared_monthly_revenue]] &gt;= 10000, "High Values ", IF(olist_closed_deals_dataset[[#This Row],[declared_monthly_revenue]] &gt; 0, "Stander ", "No Revenue " ))</f>
        <v xml:space="preserve">High Values </v>
      </c>
    </row>
    <row r="133" spans="1:16" x14ac:dyDescent="0.2">
      <c r="A133" t="s">
        <v>353</v>
      </c>
      <c r="B133" t="s">
        <v>354</v>
      </c>
      <c r="C133" t="s">
        <v>65</v>
      </c>
      <c r="D133" t="s">
        <v>48</v>
      </c>
      <c r="E133" s="1">
        <v>43150.727013888885</v>
      </c>
      <c r="F133" t="s">
        <v>61</v>
      </c>
      <c r="G133" t="s">
        <v>19</v>
      </c>
      <c r="H133" t="s">
        <v>43</v>
      </c>
      <c r="I133" t="s">
        <v>1796</v>
      </c>
      <c r="J133" t="s">
        <v>1796</v>
      </c>
      <c r="K133" t="s">
        <v>1796</v>
      </c>
      <c r="L133" t="s">
        <v>21</v>
      </c>
      <c r="M133">
        <v>0</v>
      </c>
      <c r="N133">
        <v>0</v>
      </c>
      <c r="O133" t="str">
        <f>_xlfn.XLOOKUP(olist_closed_deals_dataset[[#This Row],[mql_id]], leads!A:A, leads!D:D, "Unknow" )</f>
        <v>social</v>
      </c>
      <c r="P133" t="str">
        <f>IF(olist_closed_deals_dataset[[#This Row],[declared_monthly_revenue]] &gt;= 10000, "High Values ", IF(olist_closed_deals_dataset[[#This Row],[declared_monthly_revenue]] &gt; 0, "Stander ", "No Revenue " ))</f>
        <v xml:space="preserve">No Revenue </v>
      </c>
    </row>
    <row r="134" spans="1:16" x14ac:dyDescent="0.2">
      <c r="A134" t="s">
        <v>355</v>
      </c>
      <c r="B134" t="s">
        <v>356</v>
      </c>
      <c r="C134" t="s">
        <v>24</v>
      </c>
      <c r="D134" t="s">
        <v>71</v>
      </c>
      <c r="E134" s="1">
        <v>43251.905763888892</v>
      </c>
      <c r="F134" t="s">
        <v>26</v>
      </c>
      <c r="G134" t="s">
        <v>19</v>
      </c>
      <c r="H134" t="s">
        <v>20</v>
      </c>
      <c r="I134" t="s">
        <v>1796</v>
      </c>
      <c r="J134" t="s">
        <v>1796</v>
      </c>
      <c r="K134" t="s">
        <v>1796</v>
      </c>
      <c r="L134" t="s">
        <v>21</v>
      </c>
      <c r="M134">
        <v>0</v>
      </c>
      <c r="N134">
        <v>0</v>
      </c>
      <c r="O134" t="str">
        <f>_xlfn.XLOOKUP(olist_closed_deals_dataset[[#This Row],[mql_id]], leads!A:A, leads!D:D, "Unknow" )</f>
        <v>organic_search</v>
      </c>
      <c r="P134" t="str">
        <f>IF(olist_closed_deals_dataset[[#This Row],[declared_monthly_revenue]] &gt;= 10000, "High Values ", IF(olist_closed_deals_dataset[[#This Row],[declared_monthly_revenue]] &gt; 0, "Stander ", "No Revenue " ))</f>
        <v xml:space="preserve">No Revenue </v>
      </c>
    </row>
    <row r="135" spans="1:16" x14ac:dyDescent="0.2">
      <c r="A135" t="s">
        <v>357</v>
      </c>
      <c r="B135" t="s">
        <v>358</v>
      </c>
      <c r="C135" t="s">
        <v>37</v>
      </c>
      <c r="D135" t="s">
        <v>37</v>
      </c>
      <c r="E135" s="1">
        <v>43220.850057870368</v>
      </c>
      <c r="F135" t="s">
        <v>92</v>
      </c>
      <c r="G135" t="s">
        <v>57</v>
      </c>
      <c r="H135" t="s">
        <v>1796</v>
      </c>
      <c r="I135" t="s">
        <v>1796</v>
      </c>
      <c r="J135" t="s">
        <v>1796</v>
      </c>
      <c r="K135" t="s">
        <v>1796</v>
      </c>
      <c r="L135" t="s">
        <v>21</v>
      </c>
      <c r="M135">
        <v>0</v>
      </c>
      <c r="N135">
        <v>0</v>
      </c>
      <c r="O135" t="str">
        <f>_xlfn.XLOOKUP(olist_closed_deals_dataset[[#This Row],[mql_id]], leads!A:A, leads!D:D, "Unknow" )</f>
        <v>organic_search</v>
      </c>
      <c r="P135" t="str">
        <f>IF(olist_closed_deals_dataset[[#This Row],[declared_monthly_revenue]] &gt;= 10000, "High Values ", IF(olist_closed_deals_dataset[[#This Row],[declared_monthly_revenue]] &gt; 0, "Stander ", "No Revenue " ))</f>
        <v xml:space="preserve">No Revenue </v>
      </c>
    </row>
    <row r="136" spans="1:16" x14ac:dyDescent="0.2">
      <c r="A136" t="s">
        <v>359</v>
      </c>
      <c r="B136" t="s">
        <v>360</v>
      </c>
      <c r="C136" t="s">
        <v>56</v>
      </c>
      <c r="D136" t="s">
        <v>17</v>
      </c>
      <c r="E136" s="1">
        <v>43223.125</v>
      </c>
      <c r="F136" t="s">
        <v>103</v>
      </c>
      <c r="G136" t="s">
        <v>34</v>
      </c>
      <c r="H136" t="s">
        <v>20</v>
      </c>
      <c r="I136" t="s">
        <v>1796</v>
      </c>
      <c r="J136" t="s">
        <v>1796</v>
      </c>
      <c r="K136" t="s">
        <v>1796</v>
      </c>
      <c r="L136" t="s">
        <v>21</v>
      </c>
      <c r="M136">
        <v>0</v>
      </c>
      <c r="N136">
        <v>0</v>
      </c>
      <c r="O136" t="str">
        <f>_xlfn.XLOOKUP(olist_closed_deals_dataset[[#This Row],[mql_id]], leads!A:A, leads!D:D, "Unknow" )</f>
        <v>unknown</v>
      </c>
      <c r="P136" t="str">
        <f>IF(olist_closed_deals_dataset[[#This Row],[declared_monthly_revenue]] &gt;= 10000, "High Values ", IF(olist_closed_deals_dataset[[#This Row],[declared_monthly_revenue]] &gt; 0, "Stander ", "No Revenue " ))</f>
        <v xml:space="preserve">No Revenue </v>
      </c>
    </row>
    <row r="137" spans="1:16" x14ac:dyDescent="0.2">
      <c r="A137" t="s">
        <v>361</v>
      </c>
      <c r="B137" t="s">
        <v>362</v>
      </c>
      <c r="C137" t="s">
        <v>159</v>
      </c>
      <c r="D137" t="s">
        <v>48</v>
      </c>
      <c r="E137" s="1">
        <v>43271.771597222221</v>
      </c>
      <c r="F137" t="s">
        <v>138</v>
      </c>
      <c r="G137" t="s">
        <v>27</v>
      </c>
      <c r="H137" t="s">
        <v>20</v>
      </c>
      <c r="I137" t="s">
        <v>1796</v>
      </c>
      <c r="J137" t="s">
        <v>1796</v>
      </c>
      <c r="K137" t="s">
        <v>1796</v>
      </c>
      <c r="L137" t="s">
        <v>21</v>
      </c>
      <c r="M137">
        <v>0</v>
      </c>
      <c r="N137">
        <v>0</v>
      </c>
      <c r="O137" t="str">
        <f>_xlfn.XLOOKUP(olist_closed_deals_dataset[[#This Row],[mql_id]], leads!A:A, leads!D:D, "Unknow" )</f>
        <v>organic_search</v>
      </c>
      <c r="P137" t="str">
        <f>IF(olist_closed_deals_dataset[[#This Row],[declared_monthly_revenue]] &gt;= 10000, "High Values ", IF(olist_closed_deals_dataset[[#This Row],[declared_monthly_revenue]] &gt; 0, "Stander ", "No Revenue " ))</f>
        <v xml:space="preserve">No Revenue </v>
      </c>
    </row>
    <row r="138" spans="1:16" x14ac:dyDescent="0.2">
      <c r="A138" t="s">
        <v>363</v>
      </c>
      <c r="B138" t="s">
        <v>364</v>
      </c>
      <c r="C138" t="s">
        <v>42</v>
      </c>
      <c r="D138" t="s">
        <v>74</v>
      </c>
      <c r="E138" s="1">
        <v>43244.928113425929</v>
      </c>
      <c r="F138" t="s">
        <v>138</v>
      </c>
      <c r="G138" t="s">
        <v>112</v>
      </c>
      <c r="H138" t="s">
        <v>20</v>
      </c>
      <c r="I138" t="s">
        <v>1796</v>
      </c>
      <c r="J138" t="s">
        <v>1796</v>
      </c>
      <c r="K138" t="s">
        <v>1796</v>
      </c>
      <c r="L138" t="s">
        <v>21</v>
      </c>
      <c r="M138">
        <v>0</v>
      </c>
      <c r="N138">
        <v>0</v>
      </c>
      <c r="O138" t="str">
        <f>_xlfn.XLOOKUP(olist_closed_deals_dataset[[#This Row],[mql_id]], leads!A:A, leads!D:D, "Unknow" )</f>
        <v>paid_search</v>
      </c>
      <c r="P138" t="str">
        <f>IF(olist_closed_deals_dataset[[#This Row],[declared_monthly_revenue]] &gt;= 10000, "High Values ", IF(olist_closed_deals_dataset[[#This Row],[declared_monthly_revenue]] &gt; 0, "Stander ", "No Revenue " ))</f>
        <v xml:space="preserve">No Revenue </v>
      </c>
    </row>
    <row r="139" spans="1:16" x14ac:dyDescent="0.2">
      <c r="A139" t="s">
        <v>365</v>
      </c>
      <c r="B139" t="s">
        <v>366</v>
      </c>
      <c r="C139" t="s">
        <v>42</v>
      </c>
      <c r="D139" t="s">
        <v>25</v>
      </c>
      <c r="E139" s="1">
        <v>43188.847268518519</v>
      </c>
      <c r="F139" t="s">
        <v>61</v>
      </c>
      <c r="G139" t="s">
        <v>19</v>
      </c>
      <c r="H139" t="s">
        <v>43</v>
      </c>
      <c r="I139" t="s">
        <v>1796</v>
      </c>
      <c r="J139" t="s">
        <v>1796</v>
      </c>
      <c r="K139" t="s">
        <v>1796</v>
      </c>
      <c r="L139" t="s">
        <v>21</v>
      </c>
      <c r="M139">
        <v>0</v>
      </c>
      <c r="N139">
        <v>0</v>
      </c>
      <c r="O139" t="str">
        <f>_xlfn.XLOOKUP(olist_closed_deals_dataset[[#This Row],[mql_id]], leads!A:A, leads!D:D, "Unknow" )</f>
        <v>organic_search</v>
      </c>
      <c r="P139" t="str">
        <f>IF(olist_closed_deals_dataset[[#This Row],[declared_monthly_revenue]] &gt;= 10000, "High Values ", IF(olist_closed_deals_dataset[[#This Row],[declared_monthly_revenue]] &gt; 0, "Stander ", "No Revenue " ))</f>
        <v xml:space="preserve">No Revenue </v>
      </c>
    </row>
    <row r="140" spans="1:16" x14ac:dyDescent="0.2">
      <c r="A140" t="s">
        <v>367</v>
      </c>
      <c r="B140" t="s">
        <v>368</v>
      </c>
      <c r="C140" t="s">
        <v>71</v>
      </c>
      <c r="D140" t="s">
        <v>25</v>
      </c>
      <c r="E140" s="1">
        <v>43164.780092592591</v>
      </c>
      <c r="F140" t="s">
        <v>96</v>
      </c>
      <c r="G140" t="s">
        <v>112</v>
      </c>
      <c r="H140" t="s">
        <v>1796</v>
      </c>
      <c r="I140" t="s">
        <v>1796</v>
      </c>
      <c r="J140" t="s">
        <v>1796</v>
      </c>
      <c r="K140" t="s">
        <v>1796</v>
      </c>
      <c r="L140" t="s">
        <v>44</v>
      </c>
      <c r="M140">
        <v>0</v>
      </c>
      <c r="N140">
        <v>0</v>
      </c>
      <c r="O140" t="str">
        <f>_xlfn.XLOOKUP(olist_closed_deals_dataset[[#This Row],[mql_id]], leads!A:A, leads!D:D, "Unknow" )</f>
        <v>organic_search</v>
      </c>
      <c r="P140" t="str">
        <f>IF(olist_closed_deals_dataset[[#This Row],[declared_monthly_revenue]] &gt;= 10000, "High Values ", IF(olist_closed_deals_dataset[[#This Row],[declared_monthly_revenue]] &gt; 0, "Stander ", "No Revenue " ))</f>
        <v xml:space="preserve">No Revenue </v>
      </c>
    </row>
    <row r="141" spans="1:16" x14ac:dyDescent="0.2">
      <c r="A141" t="s">
        <v>369</v>
      </c>
      <c r="B141" t="s">
        <v>370</v>
      </c>
      <c r="C141" t="s">
        <v>37</v>
      </c>
      <c r="D141" t="s">
        <v>74</v>
      </c>
      <c r="E141" s="1">
        <v>43209.917129629626</v>
      </c>
      <c r="F141" t="s">
        <v>18</v>
      </c>
      <c r="G141" t="s">
        <v>57</v>
      </c>
      <c r="H141" t="s">
        <v>20</v>
      </c>
      <c r="I141" t="s">
        <v>1796</v>
      </c>
      <c r="J141" t="s">
        <v>1796</v>
      </c>
      <c r="K141" t="s">
        <v>1796</v>
      </c>
      <c r="L141" t="s">
        <v>21</v>
      </c>
      <c r="M141">
        <v>0</v>
      </c>
      <c r="N141">
        <v>0</v>
      </c>
      <c r="O141" t="str">
        <f>_xlfn.XLOOKUP(olist_closed_deals_dataset[[#This Row],[mql_id]], leads!A:A, leads!D:D, "Unknow" )</f>
        <v>organic_search</v>
      </c>
      <c r="P141" t="str">
        <f>IF(olist_closed_deals_dataset[[#This Row],[declared_monthly_revenue]] &gt;= 10000, "High Values ", IF(olist_closed_deals_dataset[[#This Row],[declared_monthly_revenue]] &gt; 0, "Stander ", "No Revenue " ))</f>
        <v xml:space="preserve">No Revenue </v>
      </c>
    </row>
    <row r="142" spans="1:16" x14ac:dyDescent="0.2">
      <c r="A142" t="s">
        <v>371</v>
      </c>
      <c r="B142" t="s">
        <v>372</v>
      </c>
      <c r="C142" t="s">
        <v>47</v>
      </c>
      <c r="D142" t="s">
        <v>17</v>
      </c>
      <c r="E142" s="1">
        <v>43179.584594907406</v>
      </c>
      <c r="F142" t="s">
        <v>49</v>
      </c>
      <c r="G142" t="s">
        <v>39</v>
      </c>
      <c r="H142" t="s">
        <v>20</v>
      </c>
      <c r="I142" t="s">
        <v>1796</v>
      </c>
      <c r="J142" t="s">
        <v>1796</v>
      </c>
      <c r="K142" t="s">
        <v>1796</v>
      </c>
      <c r="L142" t="s">
        <v>21</v>
      </c>
      <c r="M142">
        <v>0</v>
      </c>
      <c r="N142">
        <v>0</v>
      </c>
      <c r="O142" t="str">
        <f>_xlfn.XLOOKUP(olist_closed_deals_dataset[[#This Row],[mql_id]], leads!A:A, leads!D:D, "Unknow" )</f>
        <v>social</v>
      </c>
      <c r="P142" t="str">
        <f>IF(olist_closed_deals_dataset[[#This Row],[declared_monthly_revenue]] &gt;= 10000, "High Values ", IF(olist_closed_deals_dataset[[#This Row],[declared_monthly_revenue]] &gt; 0, "Stander ", "No Revenue " ))</f>
        <v xml:space="preserve">No Revenue </v>
      </c>
    </row>
    <row r="143" spans="1:16" x14ac:dyDescent="0.2">
      <c r="A143" t="s">
        <v>373</v>
      </c>
      <c r="B143" t="s">
        <v>374</v>
      </c>
      <c r="C143" t="s">
        <v>65</v>
      </c>
      <c r="D143" t="s">
        <v>74</v>
      </c>
      <c r="E143" s="1">
        <v>43181.546412037038</v>
      </c>
      <c r="F143" t="s">
        <v>82</v>
      </c>
      <c r="G143" t="s">
        <v>34</v>
      </c>
      <c r="H143" t="s">
        <v>28</v>
      </c>
      <c r="I143" t="s">
        <v>1796</v>
      </c>
      <c r="J143" t="s">
        <v>1796</v>
      </c>
      <c r="K143" t="s">
        <v>1796</v>
      </c>
      <c r="L143" t="s">
        <v>21</v>
      </c>
      <c r="M143">
        <v>0</v>
      </c>
      <c r="N143">
        <v>0</v>
      </c>
      <c r="O143" t="str">
        <f>_xlfn.XLOOKUP(olist_closed_deals_dataset[[#This Row],[mql_id]], leads!A:A, leads!D:D, "Unknow" )</f>
        <v>organic_search</v>
      </c>
      <c r="P143" t="str">
        <f>IF(olist_closed_deals_dataset[[#This Row],[declared_monthly_revenue]] &gt;= 10000, "High Values ", IF(olist_closed_deals_dataset[[#This Row],[declared_monthly_revenue]] &gt; 0, "Stander ", "No Revenue " ))</f>
        <v xml:space="preserve">No Revenue </v>
      </c>
    </row>
    <row r="144" spans="1:16" x14ac:dyDescent="0.2">
      <c r="A144" t="s">
        <v>375</v>
      </c>
      <c r="B144" t="s">
        <v>376</v>
      </c>
      <c r="C144" t="s">
        <v>81</v>
      </c>
      <c r="D144" t="s">
        <v>77</v>
      </c>
      <c r="E144" s="1">
        <v>43146.67119212963</v>
      </c>
      <c r="F144" t="s">
        <v>61</v>
      </c>
      <c r="G144" t="s">
        <v>19</v>
      </c>
      <c r="H144" t="s">
        <v>1796</v>
      </c>
      <c r="I144" t="s">
        <v>1796</v>
      </c>
      <c r="J144" t="s">
        <v>1796</v>
      </c>
      <c r="K144" t="s">
        <v>1796</v>
      </c>
      <c r="L144" t="s">
        <v>21</v>
      </c>
      <c r="M144">
        <v>0</v>
      </c>
      <c r="N144">
        <v>0</v>
      </c>
      <c r="O144" t="str">
        <f>_xlfn.XLOOKUP(olist_closed_deals_dataset[[#This Row],[mql_id]], leads!A:A, leads!D:D, "Unknow" )</f>
        <v>paid_search</v>
      </c>
      <c r="P144" t="str">
        <f>IF(olist_closed_deals_dataset[[#This Row],[declared_monthly_revenue]] &gt;= 10000, "High Values ", IF(olist_closed_deals_dataset[[#This Row],[declared_monthly_revenue]] &gt; 0, "Stander ", "No Revenue " ))</f>
        <v xml:space="preserve">No Revenue </v>
      </c>
    </row>
    <row r="145" spans="1:16" x14ac:dyDescent="0.2">
      <c r="A145" t="s">
        <v>377</v>
      </c>
      <c r="B145" t="s">
        <v>378</v>
      </c>
      <c r="C145" t="s">
        <v>64</v>
      </c>
      <c r="D145" t="s">
        <v>17</v>
      </c>
      <c r="E145" s="1">
        <v>43230.803090277775</v>
      </c>
      <c r="F145" t="s">
        <v>138</v>
      </c>
      <c r="G145" t="s">
        <v>27</v>
      </c>
      <c r="H145" t="s">
        <v>20</v>
      </c>
      <c r="I145" t="s">
        <v>1796</v>
      </c>
      <c r="J145" t="s">
        <v>1796</v>
      </c>
      <c r="K145" t="s">
        <v>1796</v>
      </c>
      <c r="L145" t="s">
        <v>44</v>
      </c>
      <c r="M145">
        <v>0</v>
      </c>
      <c r="N145">
        <v>0</v>
      </c>
      <c r="O145" t="str">
        <f>_xlfn.XLOOKUP(olist_closed_deals_dataset[[#This Row],[mql_id]], leads!A:A, leads!D:D, "Unknow" )</f>
        <v>organic_search</v>
      </c>
      <c r="P145" t="str">
        <f>IF(olist_closed_deals_dataset[[#This Row],[declared_monthly_revenue]] &gt;= 10000, "High Values ", IF(olist_closed_deals_dataset[[#This Row],[declared_monthly_revenue]] &gt; 0, "Stander ", "No Revenue " ))</f>
        <v xml:space="preserve">No Revenue </v>
      </c>
    </row>
    <row r="146" spans="1:16" x14ac:dyDescent="0.2">
      <c r="A146" t="s">
        <v>379</v>
      </c>
      <c r="B146" t="s">
        <v>380</v>
      </c>
      <c r="C146" t="s">
        <v>71</v>
      </c>
      <c r="D146" t="s">
        <v>25</v>
      </c>
      <c r="E146" s="1">
        <v>43129.717928240738</v>
      </c>
      <c r="F146" t="s">
        <v>96</v>
      </c>
      <c r="G146" t="s">
        <v>34</v>
      </c>
      <c r="H146" t="s">
        <v>1796</v>
      </c>
      <c r="I146" t="s">
        <v>1796</v>
      </c>
      <c r="J146" t="s">
        <v>1796</v>
      </c>
      <c r="K146" t="s">
        <v>1796</v>
      </c>
      <c r="L146" t="s">
        <v>21</v>
      </c>
      <c r="M146">
        <v>0</v>
      </c>
      <c r="N146">
        <v>0</v>
      </c>
      <c r="O146" t="str">
        <f>_xlfn.XLOOKUP(olist_closed_deals_dataset[[#This Row],[mql_id]], leads!A:A, leads!D:D, "Unknow" )</f>
        <v>paid_search</v>
      </c>
      <c r="P146" t="str">
        <f>IF(olist_closed_deals_dataset[[#This Row],[declared_monthly_revenue]] &gt;= 10000, "High Values ", IF(olist_closed_deals_dataset[[#This Row],[declared_monthly_revenue]] &gt; 0, "Stander ", "No Revenue " ))</f>
        <v xml:space="preserve">No Revenue </v>
      </c>
    </row>
    <row r="147" spans="1:16" x14ac:dyDescent="0.2">
      <c r="A147" t="s">
        <v>381</v>
      </c>
      <c r="B147" t="s">
        <v>382</v>
      </c>
      <c r="C147" t="s">
        <v>42</v>
      </c>
      <c r="D147" t="s">
        <v>74</v>
      </c>
      <c r="E147" s="1">
        <v>43129.839317129627</v>
      </c>
      <c r="F147" t="s">
        <v>33</v>
      </c>
      <c r="G147" t="s">
        <v>19</v>
      </c>
      <c r="H147" t="s">
        <v>1796</v>
      </c>
      <c r="I147" t="s">
        <v>1796</v>
      </c>
      <c r="J147" t="s">
        <v>1796</v>
      </c>
      <c r="K147" t="s">
        <v>1796</v>
      </c>
      <c r="L147" t="s">
        <v>21</v>
      </c>
      <c r="M147">
        <v>0</v>
      </c>
      <c r="N147">
        <v>0</v>
      </c>
      <c r="O147" t="str">
        <f>_xlfn.XLOOKUP(olist_closed_deals_dataset[[#This Row],[mql_id]], leads!A:A, leads!D:D, "Unknow" )</f>
        <v>organic_search</v>
      </c>
      <c r="P147" t="str">
        <f>IF(olist_closed_deals_dataset[[#This Row],[declared_monthly_revenue]] &gt;= 10000, "High Values ", IF(olist_closed_deals_dataset[[#This Row],[declared_monthly_revenue]] &gt; 0, "Stander ", "No Revenue " ))</f>
        <v xml:space="preserve">No Revenue </v>
      </c>
    </row>
    <row r="148" spans="1:16" x14ac:dyDescent="0.2">
      <c r="A148" t="s">
        <v>383</v>
      </c>
      <c r="B148" t="s">
        <v>384</v>
      </c>
      <c r="C148" t="s">
        <v>81</v>
      </c>
      <c r="D148" t="s">
        <v>17</v>
      </c>
      <c r="E148" s="1">
        <v>43108.801932870374</v>
      </c>
      <c r="F148" t="s">
        <v>49</v>
      </c>
      <c r="G148" t="s">
        <v>19</v>
      </c>
      <c r="H148" t="s">
        <v>1796</v>
      </c>
      <c r="I148" t="s">
        <v>1796</v>
      </c>
      <c r="J148" t="s">
        <v>1796</v>
      </c>
      <c r="K148" t="s">
        <v>1796</v>
      </c>
      <c r="L148" t="s">
        <v>44</v>
      </c>
      <c r="M148">
        <v>0</v>
      </c>
      <c r="N148">
        <v>0</v>
      </c>
      <c r="O148" t="str">
        <f>_xlfn.XLOOKUP(olist_closed_deals_dataset[[#This Row],[mql_id]], leads!A:A, leads!D:D, "Unknow" )</f>
        <v>paid_search</v>
      </c>
      <c r="P148" t="str">
        <f>IF(olist_closed_deals_dataset[[#This Row],[declared_monthly_revenue]] &gt;= 10000, "High Values ", IF(olist_closed_deals_dataset[[#This Row],[declared_monthly_revenue]] &gt; 0, "Stander ", "No Revenue " ))</f>
        <v xml:space="preserve">No Revenue </v>
      </c>
    </row>
    <row r="149" spans="1:16" x14ac:dyDescent="0.2">
      <c r="A149" t="s">
        <v>385</v>
      </c>
      <c r="B149" t="s">
        <v>386</v>
      </c>
      <c r="C149" t="s">
        <v>64</v>
      </c>
      <c r="D149" t="s">
        <v>16</v>
      </c>
      <c r="E149" s="1">
        <v>43222.747928240744</v>
      </c>
      <c r="F149" t="s">
        <v>49</v>
      </c>
      <c r="G149" t="s">
        <v>34</v>
      </c>
      <c r="H149" t="s">
        <v>43</v>
      </c>
      <c r="I149" t="s">
        <v>1796</v>
      </c>
      <c r="J149" t="s">
        <v>1796</v>
      </c>
      <c r="K149" t="s">
        <v>1796</v>
      </c>
      <c r="L149" t="s">
        <v>21</v>
      </c>
      <c r="M149">
        <v>0</v>
      </c>
      <c r="N149">
        <v>0</v>
      </c>
      <c r="O149" t="str">
        <f>_xlfn.XLOOKUP(olist_closed_deals_dataset[[#This Row],[mql_id]], leads!A:A, leads!D:D, "Unknow" )</f>
        <v>paid_search</v>
      </c>
      <c r="P149" t="str">
        <f>IF(olist_closed_deals_dataset[[#This Row],[declared_monthly_revenue]] &gt;= 10000, "High Values ", IF(olist_closed_deals_dataset[[#This Row],[declared_monthly_revenue]] &gt; 0, "Stander ", "No Revenue " ))</f>
        <v xml:space="preserve">No Revenue </v>
      </c>
    </row>
    <row r="150" spans="1:16" x14ac:dyDescent="0.2">
      <c r="A150" t="s">
        <v>387</v>
      </c>
      <c r="B150" t="s">
        <v>388</v>
      </c>
      <c r="C150" t="s">
        <v>37</v>
      </c>
      <c r="D150" t="s">
        <v>95</v>
      </c>
      <c r="E150" s="1">
        <v>43115.827326388891</v>
      </c>
      <c r="F150" t="s">
        <v>138</v>
      </c>
      <c r="G150" t="s">
        <v>39</v>
      </c>
      <c r="H150" t="s">
        <v>1796</v>
      </c>
      <c r="I150" t="s">
        <v>1796</v>
      </c>
      <c r="J150" t="s">
        <v>1796</v>
      </c>
      <c r="K150" t="s">
        <v>1796</v>
      </c>
      <c r="L150" t="s">
        <v>21</v>
      </c>
      <c r="M150">
        <v>0</v>
      </c>
      <c r="N150">
        <v>0</v>
      </c>
      <c r="O150" t="str">
        <f>_xlfn.XLOOKUP(olist_closed_deals_dataset[[#This Row],[mql_id]], leads!A:A, leads!D:D, "Unknow" )</f>
        <v>unknown</v>
      </c>
      <c r="P150" t="str">
        <f>IF(olist_closed_deals_dataset[[#This Row],[declared_monthly_revenue]] &gt;= 10000, "High Values ", IF(olist_closed_deals_dataset[[#This Row],[declared_monthly_revenue]] &gt; 0, "Stander ", "No Revenue " ))</f>
        <v xml:space="preserve">No Revenue </v>
      </c>
    </row>
    <row r="151" spans="1:16" x14ac:dyDescent="0.2">
      <c r="A151" t="s">
        <v>389</v>
      </c>
      <c r="B151" t="s">
        <v>390</v>
      </c>
      <c r="C151" t="s">
        <v>42</v>
      </c>
      <c r="D151" t="s">
        <v>25</v>
      </c>
      <c r="E151" s="1">
        <v>43140.570254629631</v>
      </c>
      <c r="F151" t="s">
        <v>274</v>
      </c>
      <c r="G151" t="s">
        <v>19</v>
      </c>
      <c r="H151" t="s">
        <v>43</v>
      </c>
      <c r="I151" t="s">
        <v>1796</v>
      </c>
      <c r="J151" t="s">
        <v>1796</v>
      </c>
      <c r="K151" t="s">
        <v>1796</v>
      </c>
      <c r="L151" t="s">
        <v>21</v>
      </c>
      <c r="M151">
        <v>0</v>
      </c>
      <c r="N151">
        <v>0</v>
      </c>
      <c r="O151" t="str">
        <f>_xlfn.XLOOKUP(olist_closed_deals_dataset[[#This Row],[mql_id]], leads!A:A, leads!D:D, "Unknow" )</f>
        <v>paid_search</v>
      </c>
      <c r="P151" t="str">
        <f>IF(olist_closed_deals_dataset[[#This Row],[declared_monthly_revenue]] &gt;= 10000, "High Values ", IF(olist_closed_deals_dataset[[#This Row],[declared_monthly_revenue]] &gt; 0, "Stander ", "No Revenue " ))</f>
        <v xml:space="preserve">No Revenue </v>
      </c>
    </row>
    <row r="152" spans="1:16" x14ac:dyDescent="0.2">
      <c r="A152" t="s">
        <v>391</v>
      </c>
      <c r="B152" t="s">
        <v>392</v>
      </c>
      <c r="C152" t="s">
        <v>16</v>
      </c>
      <c r="D152" t="s">
        <v>74</v>
      </c>
      <c r="E152" s="1">
        <v>43217.580023148148</v>
      </c>
      <c r="F152" t="s">
        <v>96</v>
      </c>
      <c r="G152" t="s">
        <v>34</v>
      </c>
      <c r="H152" t="s">
        <v>20</v>
      </c>
      <c r="I152" t="s">
        <v>1796</v>
      </c>
      <c r="J152" t="s">
        <v>1796</v>
      </c>
      <c r="K152" t="s">
        <v>1796</v>
      </c>
      <c r="L152" t="s">
        <v>21</v>
      </c>
      <c r="M152">
        <v>0</v>
      </c>
      <c r="N152">
        <v>0</v>
      </c>
      <c r="O152" t="str">
        <f>_xlfn.XLOOKUP(olist_closed_deals_dataset[[#This Row],[mql_id]], leads!A:A, leads!D:D, "Unknow" )</f>
        <v>organic_search</v>
      </c>
      <c r="P152" t="str">
        <f>IF(olist_closed_deals_dataset[[#This Row],[declared_monthly_revenue]] &gt;= 10000, "High Values ", IF(olist_closed_deals_dataset[[#This Row],[declared_monthly_revenue]] &gt; 0, "Stander ", "No Revenue " ))</f>
        <v xml:space="preserve">No Revenue </v>
      </c>
    </row>
    <row r="153" spans="1:16" x14ac:dyDescent="0.2">
      <c r="A153" t="s">
        <v>393</v>
      </c>
      <c r="B153" t="s">
        <v>394</v>
      </c>
      <c r="C153" t="s">
        <v>127</v>
      </c>
      <c r="D153" t="s">
        <v>37</v>
      </c>
      <c r="E153" s="1">
        <v>43208.844664351855</v>
      </c>
      <c r="F153" t="s">
        <v>82</v>
      </c>
      <c r="G153" t="s">
        <v>19</v>
      </c>
      <c r="H153" t="s">
        <v>28</v>
      </c>
      <c r="I153" t="s">
        <v>1796</v>
      </c>
      <c r="J153" t="s">
        <v>1796</v>
      </c>
      <c r="K153" t="s">
        <v>1796</v>
      </c>
      <c r="L153" t="s">
        <v>21</v>
      </c>
      <c r="M153">
        <v>0</v>
      </c>
      <c r="N153">
        <v>0</v>
      </c>
      <c r="O153" t="str">
        <f>_xlfn.XLOOKUP(olist_closed_deals_dataset[[#This Row],[mql_id]], leads!A:A, leads!D:D, "Unknow" )</f>
        <v>organic_search</v>
      </c>
      <c r="P153" t="str">
        <f>IF(olist_closed_deals_dataset[[#This Row],[declared_monthly_revenue]] &gt;= 10000, "High Values ", IF(olist_closed_deals_dataset[[#This Row],[declared_monthly_revenue]] &gt; 0, "Stander ", "No Revenue " ))</f>
        <v xml:space="preserve">No Revenue </v>
      </c>
    </row>
    <row r="154" spans="1:16" x14ac:dyDescent="0.2">
      <c r="A154" t="s">
        <v>395</v>
      </c>
      <c r="B154" t="s">
        <v>396</v>
      </c>
      <c r="C154" t="s">
        <v>47</v>
      </c>
      <c r="D154" t="s">
        <v>95</v>
      </c>
      <c r="E154" s="1">
        <v>43119.724374999998</v>
      </c>
      <c r="F154" t="s">
        <v>68</v>
      </c>
      <c r="G154" t="s">
        <v>19</v>
      </c>
      <c r="H154" t="s">
        <v>1796</v>
      </c>
      <c r="I154" t="s">
        <v>1796</v>
      </c>
      <c r="J154" t="s">
        <v>1796</v>
      </c>
      <c r="K154" t="s">
        <v>1796</v>
      </c>
      <c r="L154" t="s">
        <v>44</v>
      </c>
      <c r="M154">
        <v>0</v>
      </c>
      <c r="N154">
        <v>0</v>
      </c>
      <c r="O154" t="str">
        <f>_xlfn.XLOOKUP(olist_closed_deals_dataset[[#This Row],[mql_id]], leads!A:A, leads!D:D, "Unknow" )</f>
        <v>unknown</v>
      </c>
      <c r="P154" t="str">
        <f>IF(olist_closed_deals_dataset[[#This Row],[declared_monthly_revenue]] &gt;= 10000, "High Values ", IF(olist_closed_deals_dataset[[#This Row],[declared_monthly_revenue]] &gt; 0, "Stander ", "No Revenue " ))</f>
        <v xml:space="preserve">No Revenue </v>
      </c>
    </row>
    <row r="155" spans="1:16" x14ac:dyDescent="0.2">
      <c r="A155" t="s">
        <v>397</v>
      </c>
      <c r="B155" t="s">
        <v>398</v>
      </c>
      <c r="C155" t="s">
        <v>24</v>
      </c>
      <c r="D155" t="s">
        <v>32</v>
      </c>
      <c r="E155" s="1">
        <v>43194.576539351852</v>
      </c>
      <c r="F155" t="s">
        <v>26</v>
      </c>
      <c r="G155" t="s">
        <v>19</v>
      </c>
      <c r="H155" t="s">
        <v>20</v>
      </c>
      <c r="I155" t="s">
        <v>1796</v>
      </c>
      <c r="J155" t="s">
        <v>1796</v>
      </c>
      <c r="K155" t="s">
        <v>1796</v>
      </c>
      <c r="L155" t="s">
        <v>21</v>
      </c>
      <c r="M155">
        <v>0</v>
      </c>
      <c r="N155">
        <v>0</v>
      </c>
      <c r="O155" t="str">
        <f>_xlfn.XLOOKUP(olist_closed_deals_dataset[[#This Row],[mql_id]], leads!A:A, leads!D:D, "Unknow" )</f>
        <v>organic_search</v>
      </c>
      <c r="P155" t="str">
        <f>IF(olist_closed_deals_dataset[[#This Row],[declared_monthly_revenue]] &gt;= 10000, "High Values ", IF(olist_closed_deals_dataset[[#This Row],[declared_monthly_revenue]] &gt; 0, "Stander ", "No Revenue " ))</f>
        <v xml:space="preserve">No Revenue </v>
      </c>
    </row>
    <row r="156" spans="1:16" x14ac:dyDescent="0.2">
      <c r="A156" t="s">
        <v>399</v>
      </c>
      <c r="B156" t="s">
        <v>400</v>
      </c>
      <c r="C156" t="s">
        <v>42</v>
      </c>
      <c r="D156" t="s">
        <v>71</v>
      </c>
      <c r="E156" s="1">
        <v>43243.907719907409</v>
      </c>
      <c r="F156" t="s">
        <v>49</v>
      </c>
      <c r="G156" t="s">
        <v>34</v>
      </c>
      <c r="H156" t="s">
        <v>20</v>
      </c>
      <c r="I156" t="s">
        <v>1796</v>
      </c>
      <c r="J156" t="s">
        <v>1796</v>
      </c>
      <c r="K156" t="s">
        <v>1796</v>
      </c>
      <c r="L156" t="s">
        <v>21</v>
      </c>
      <c r="M156">
        <v>0</v>
      </c>
      <c r="N156">
        <v>0</v>
      </c>
      <c r="O156" t="str">
        <f>_xlfn.XLOOKUP(olist_closed_deals_dataset[[#This Row],[mql_id]], leads!A:A, leads!D:D, "Unknow" )</f>
        <v>paid_search</v>
      </c>
      <c r="P156" t="str">
        <f>IF(olist_closed_deals_dataset[[#This Row],[declared_monthly_revenue]] &gt;= 10000, "High Values ", IF(olist_closed_deals_dataset[[#This Row],[declared_monthly_revenue]] &gt; 0, "Stander ", "No Revenue " ))</f>
        <v xml:space="preserve">No Revenue </v>
      </c>
    </row>
    <row r="157" spans="1:16" x14ac:dyDescent="0.2">
      <c r="A157" t="s">
        <v>401</v>
      </c>
      <c r="B157" t="s">
        <v>402</v>
      </c>
      <c r="C157" t="s">
        <v>64</v>
      </c>
      <c r="D157" t="s">
        <v>71</v>
      </c>
      <c r="E157" s="1">
        <v>43346.80269675926</v>
      </c>
      <c r="F157" t="s">
        <v>61</v>
      </c>
      <c r="G157" t="s">
        <v>34</v>
      </c>
      <c r="H157" t="s">
        <v>20</v>
      </c>
      <c r="I157" t="s">
        <v>1796</v>
      </c>
      <c r="J157" t="s">
        <v>1796</v>
      </c>
      <c r="K157" t="s">
        <v>199</v>
      </c>
      <c r="L157" t="s">
        <v>21</v>
      </c>
      <c r="M157">
        <v>1000</v>
      </c>
      <c r="N157">
        <v>0</v>
      </c>
      <c r="O157" t="str">
        <f>_xlfn.XLOOKUP(olist_closed_deals_dataset[[#This Row],[mql_id]], leads!A:A, leads!D:D, "Unknow" )</f>
        <v>organic_search</v>
      </c>
      <c r="P157" t="str">
        <f>IF(olist_closed_deals_dataset[[#This Row],[declared_monthly_revenue]] &gt;= 10000, "High Values ", IF(olist_closed_deals_dataset[[#This Row],[declared_monthly_revenue]] &gt; 0, "Stander ", "No Revenue " ))</f>
        <v xml:space="preserve">No Revenue </v>
      </c>
    </row>
    <row r="158" spans="1:16" x14ac:dyDescent="0.2">
      <c r="A158" t="s">
        <v>403</v>
      </c>
      <c r="B158" t="s">
        <v>404</v>
      </c>
      <c r="C158" t="s">
        <v>81</v>
      </c>
      <c r="D158" t="s">
        <v>77</v>
      </c>
      <c r="E158" s="1">
        <v>43138.569606481484</v>
      </c>
      <c r="F158" t="s">
        <v>49</v>
      </c>
      <c r="G158" t="s">
        <v>19</v>
      </c>
      <c r="H158" t="s">
        <v>1796</v>
      </c>
      <c r="I158" t="s">
        <v>1796</v>
      </c>
      <c r="J158" t="s">
        <v>1796</v>
      </c>
      <c r="K158" t="s">
        <v>1796</v>
      </c>
      <c r="L158" t="s">
        <v>21</v>
      </c>
      <c r="M158">
        <v>0</v>
      </c>
      <c r="N158">
        <v>0</v>
      </c>
      <c r="O158" t="str">
        <f>_xlfn.XLOOKUP(olist_closed_deals_dataset[[#This Row],[mql_id]], leads!A:A, leads!D:D, "Unknow" )</f>
        <v>unknown</v>
      </c>
      <c r="P158" t="str">
        <f>IF(olist_closed_deals_dataset[[#This Row],[declared_monthly_revenue]] &gt;= 10000, "High Values ", IF(olist_closed_deals_dataset[[#This Row],[declared_monthly_revenue]] &gt; 0, "Stander ", "No Revenue " ))</f>
        <v xml:space="preserve">No Revenue </v>
      </c>
    </row>
    <row r="159" spans="1:16" x14ac:dyDescent="0.2">
      <c r="A159" t="s">
        <v>405</v>
      </c>
      <c r="B159" t="s">
        <v>406</v>
      </c>
      <c r="C159" t="s">
        <v>56</v>
      </c>
      <c r="D159" t="s">
        <v>81</v>
      </c>
      <c r="E159" s="1">
        <v>43235.761574074073</v>
      </c>
      <c r="F159" t="s">
        <v>96</v>
      </c>
      <c r="G159" t="s">
        <v>27</v>
      </c>
      <c r="H159" t="s">
        <v>20</v>
      </c>
      <c r="I159" t="s">
        <v>1796</v>
      </c>
      <c r="J159" t="s">
        <v>1796</v>
      </c>
      <c r="K159" t="s">
        <v>1796</v>
      </c>
      <c r="L159" t="s">
        <v>21</v>
      </c>
      <c r="M159">
        <v>0</v>
      </c>
      <c r="N159">
        <v>0</v>
      </c>
      <c r="O159" t="str">
        <f>_xlfn.XLOOKUP(olist_closed_deals_dataset[[#This Row],[mql_id]], leads!A:A, leads!D:D, "Unknow" )</f>
        <v>organic_search</v>
      </c>
      <c r="P159" t="str">
        <f>IF(olist_closed_deals_dataset[[#This Row],[declared_monthly_revenue]] &gt;= 10000, "High Values ", IF(olist_closed_deals_dataset[[#This Row],[declared_monthly_revenue]] &gt; 0, "Stander ", "No Revenue " ))</f>
        <v xml:space="preserve">No Revenue </v>
      </c>
    </row>
    <row r="160" spans="1:16" x14ac:dyDescent="0.2">
      <c r="A160" t="s">
        <v>407</v>
      </c>
      <c r="B160" t="s">
        <v>408</v>
      </c>
      <c r="C160" t="s">
        <v>65</v>
      </c>
      <c r="D160" t="s">
        <v>32</v>
      </c>
      <c r="E160" s="1">
        <v>43188.686967592592</v>
      </c>
      <c r="F160" t="s">
        <v>68</v>
      </c>
      <c r="G160" t="s">
        <v>34</v>
      </c>
      <c r="H160" t="s">
        <v>20</v>
      </c>
      <c r="I160" t="s">
        <v>1796</v>
      </c>
      <c r="J160" t="s">
        <v>1796</v>
      </c>
      <c r="K160" t="s">
        <v>1796</v>
      </c>
      <c r="L160" t="s">
        <v>21</v>
      </c>
      <c r="M160">
        <v>0</v>
      </c>
      <c r="N160">
        <v>0</v>
      </c>
      <c r="O160" t="str">
        <f>_xlfn.XLOOKUP(olist_closed_deals_dataset[[#This Row],[mql_id]], leads!A:A, leads!D:D, "Unknow" )</f>
        <v>paid_search</v>
      </c>
      <c r="P160" t="str">
        <f>IF(olist_closed_deals_dataset[[#This Row],[declared_monthly_revenue]] &gt;= 10000, "High Values ", IF(olist_closed_deals_dataset[[#This Row],[declared_monthly_revenue]] &gt; 0, "Stander ", "No Revenue " ))</f>
        <v xml:space="preserve">No Revenue </v>
      </c>
    </row>
    <row r="161" spans="1:16" x14ac:dyDescent="0.2">
      <c r="A161" t="s">
        <v>409</v>
      </c>
      <c r="B161" t="s">
        <v>410</v>
      </c>
      <c r="C161" t="s">
        <v>60</v>
      </c>
      <c r="D161" t="s">
        <v>52</v>
      </c>
      <c r="E161" s="1">
        <v>43312.936840277776</v>
      </c>
      <c r="F161" t="s">
        <v>38</v>
      </c>
      <c r="G161" t="s">
        <v>112</v>
      </c>
      <c r="H161" t="s">
        <v>43</v>
      </c>
      <c r="I161" t="s">
        <v>1796</v>
      </c>
      <c r="J161" t="s">
        <v>1796</v>
      </c>
      <c r="K161" t="s">
        <v>1796</v>
      </c>
      <c r="L161" t="s">
        <v>44</v>
      </c>
      <c r="M161">
        <v>0</v>
      </c>
      <c r="N161">
        <v>0</v>
      </c>
      <c r="O161" t="str">
        <f>_xlfn.XLOOKUP(olist_closed_deals_dataset[[#This Row],[mql_id]], leads!A:A, leads!D:D, "Unknow" )</f>
        <v>social</v>
      </c>
      <c r="P161" t="str">
        <f>IF(olist_closed_deals_dataset[[#This Row],[declared_monthly_revenue]] &gt;= 10000, "High Values ", IF(olist_closed_deals_dataset[[#This Row],[declared_monthly_revenue]] &gt; 0, "Stander ", "No Revenue " ))</f>
        <v xml:space="preserve">No Revenue </v>
      </c>
    </row>
    <row r="162" spans="1:16" x14ac:dyDescent="0.2">
      <c r="A162" t="s">
        <v>411</v>
      </c>
      <c r="B162" t="s">
        <v>412</v>
      </c>
      <c r="C162" t="s">
        <v>37</v>
      </c>
      <c r="D162" t="s">
        <v>48</v>
      </c>
      <c r="E162" s="1">
        <v>43126.75922453704</v>
      </c>
      <c r="F162" t="s">
        <v>49</v>
      </c>
      <c r="G162" t="s">
        <v>57</v>
      </c>
      <c r="H162" t="s">
        <v>1796</v>
      </c>
      <c r="I162" t="s">
        <v>1796</v>
      </c>
      <c r="J162" t="s">
        <v>1796</v>
      </c>
      <c r="K162" t="s">
        <v>1796</v>
      </c>
      <c r="L162" t="s">
        <v>21</v>
      </c>
      <c r="M162">
        <v>0</v>
      </c>
      <c r="N162">
        <v>0</v>
      </c>
      <c r="O162" t="str">
        <f>_xlfn.XLOOKUP(olist_closed_deals_dataset[[#This Row],[mql_id]], leads!A:A, leads!D:D, "Unknow" )</f>
        <v>paid_search</v>
      </c>
      <c r="P162" t="str">
        <f>IF(olist_closed_deals_dataset[[#This Row],[declared_monthly_revenue]] &gt;= 10000, "High Values ", IF(olist_closed_deals_dataset[[#This Row],[declared_monthly_revenue]] &gt; 0, "Stander ", "No Revenue " ))</f>
        <v xml:space="preserve">No Revenue </v>
      </c>
    </row>
    <row r="163" spans="1:16" x14ac:dyDescent="0.2">
      <c r="A163" t="s">
        <v>413</v>
      </c>
      <c r="B163" t="s">
        <v>414</v>
      </c>
      <c r="C163" t="s">
        <v>64</v>
      </c>
      <c r="D163" t="s">
        <v>17</v>
      </c>
      <c r="E163" s="1">
        <v>43199.72828703704</v>
      </c>
      <c r="F163" t="s">
        <v>415</v>
      </c>
      <c r="G163" t="s">
        <v>27</v>
      </c>
      <c r="H163" t="s">
        <v>28</v>
      </c>
      <c r="I163" t="s">
        <v>1796</v>
      </c>
      <c r="J163" t="s">
        <v>1796</v>
      </c>
      <c r="K163" t="s">
        <v>1796</v>
      </c>
      <c r="L163" t="s">
        <v>21</v>
      </c>
      <c r="M163">
        <v>0</v>
      </c>
      <c r="N163">
        <v>0</v>
      </c>
      <c r="O163" t="str">
        <f>_xlfn.XLOOKUP(olist_closed_deals_dataset[[#This Row],[mql_id]], leads!A:A, leads!D:D, "Unknow" )</f>
        <v>social</v>
      </c>
      <c r="P163" t="str">
        <f>IF(olist_closed_deals_dataset[[#This Row],[declared_monthly_revenue]] &gt;= 10000, "High Values ", IF(olist_closed_deals_dataset[[#This Row],[declared_monthly_revenue]] &gt; 0, "Stander ", "No Revenue " ))</f>
        <v xml:space="preserve">No Revenue </v>
      </c>
    </row>
    <row r="164" spans="1:16" x14ac:dyDescent="0.2">
      <c r="A164" t="s">
        <v>416</v>
      </c>
      <c r="B164" t="s">
        <v>417</v>
      </c>
      <c r="C164" t="s">
        <v>42</v>
      </c>
      <c r="D164" t="s">
        <v>32</v>
      </c>
      <c r="E164" s="1">
        <v>43210.558923611112</v>
      </c>
      <c r="F164" t="s">
        <v>221</v>
      </c>
      <c r="G164" t="s">
        <v>19</v>
      </c>
      <c r="H164" t="s">
        <v>43</v>
      </c>
      <c r="I164" t="s">
        <v>1796</v>
      </c>
      <c r="J164" t="s">
        <v>1796</v>
      </c>
      <c r="K164" t="s">
        <v>1796</v>
      </c>
      <c r="L164" t="s">
        <v>21</v>
      </c>
      <c r="M164">
        <v>0</v>
      </c>
      <c r="N164">
        <v>0</v>
      </c>
      <c r="O164" t="str">
        <f>_xlfn.XLOOKUP(olist_closed_deals_dataset[[#This Row],[mql_id]], leads!A:A, leads!D:D, "Unknow" )</f>
        <v>paid_search</v>
      </c>
      <c r="P164" t="str">
        <f>IF(olist_closed_deals_dataset[[#This Row],[declared_monthly_revenue]] &gt;= 10000, "High Values ", IF(olist_closed_deals_dataset[[#This Row],[declared_monthly_revenue]] &gt; 0, "Stander ", "No Revenue " ))</f>
        <v xml:space="preserve">No Revenue </v>
      </c>
    </row>
    <row r="165" spans="1:16" x14ac:dyDescent="0.2">
      <c r="A165" t="s">
        <v>418</v>
      </c>
      <c r="B165" t="s">
        <v>419</v>
      </c>
      <c r="C165" t="s">
        <v>16</v>
      </c>
      <c r="D165" t="s">
        <v>17</v>
      </c>
      <c r="E165" s="1">
        <v>43210.794675925928</v>
      </c>
      <c r="F165" t="s">
        <v>68</v>
      </c>
      <c r="G165" t="s">
        <v>19</v>
      </c>
      <c r="H165" t="s">
        <v>28</v>
      </c>
      <c r="I165" t="s">
        <v>1796</v>
      </c>
      <c r="J165" t="s">
        <v>1796</v>
      </c>
      <c r="K165" t="s">
        <v>1796</v>
      </c>
      <c r="L165" t="s">
        <v>21</v>
      </c>
      <c r="M165">
        <v>0</v>
      </c>
      <c r="N165">
        <v>0</v>
      </c>
      <c r="O165" t="str">
        <f>_xlfn.XLOOKUP(olist_closed_deals_dataset[[#This Row],[mql_id]], leads!A:A, leads!D:D, "Unknow" )</f>
        <v>unknown</v>
      </c>
      <c r="P165" t="str">
        <f>IF(olist_closed_deals_dataset[[#This Row],[declared_monthly_revenue]] &gt;= 10000, "High Values ", IF(olist_closed_deals_dataset[[#This Row],[declared_monthly_revenue]] &gt; 0, "Stander ", "No Revenue " ))</f>
        <v xml:space="preserve">No Revenue </v>
      </c>
    </row>
    <row r="166" spans="1:16" x14ac:dyDescent="0.2">
      <c r="A166" t="s">
        <v>420</v>
      </c>
      <c r="B166" t="s">
        <v>421</v>
      </c>
      <c r="C166" t="s">
        <v>127</v>
      </c>
      <c r="D166" t="s">
        <v>25</v>
      </c>
      <c r="E166" s="1">
        <v>43322.542395833334</v>
      </c>
      <c r="F166" t="s">
        <v>138</v>
      </c>
      <c r="G166" t="s">
        <v>19</v>
      </c>
      <c r="H166" t="s">
        <v>20</v>
      </c>
      <c r="I166" t="b">
        <v>1</v>
      </c>
      <c r="J166" t="b">
        <v>1</v>
      </c>
      <c r="K166" t="s">
        <v>352</v>
      </c>
      <c r="L166" t="s">
        <v>21</v>
      </c>
      <c r="M166">
        <v>0</v>
      </c>
      <c r="N166">
        <v>0</v>
      </c>
      <c r="O166" t="str">
        <f>_xlfn.XLOOKUP(olist_closed_deals_dataset[[#This Row],[mql_id]], leads!A:A, leads!D:D, "Unknow" )</f>
        <v>organic_search</v>
      </c>
      <c r="P166" t="str">
        <f>IF(olist_closed_deals_dataset[[#This Row],[declared_monthly_revenue]] &gt;= 10000, "High Values ", IF(olist_closed_deals_dataset[[#This Row],[declared_monthly_revenue]] &gt; 0, "Stander ", "No Revenue " ))</f>
        <v xml:space="preserve">No Revenue </v>
      </c>
    </row>
    <row r="167" spans="1:16" x14ac:dyDescent="0.2">
      <c r="A167" t="s">
        <v>422</v>
      </c>
      <c r="B167" t="s">
        <v>423</v>
      </c>
      <c r="C167" t="s">
        <v>64</v>
      </c>
      <c r="D167" t="s">
        <v>25</v>
      </c>
      <c r="E167" s="1">
        <v>43228.512986111113</v>
      </c>
      <c r="F167" t="s">
        <v>131</v>
      </c>
      <c r="G167" t="s">
        <v>34</v>
      </c>
      <c r="H167" t="s">
        <v>28</v>
      </c>
      <c r="I167" t="s">
        <v>1796</v>
      </c>
      <c r="J167" t="s">
        <v>1796</v>
      </c>
      <c r="K167" t="s">
        <v>1796</v>
      </c>
      <c r="L167" t="s">
        <v>21</v>
      </c>
      <c r="M167">
        <v>0</v>
      </c>
      <c r="N167">
        <v>0</v>
      </c>
      <c r="O167" t="str">
        <f>_xlfn.XLOOKUP(olist_closed_deals_dataset[[#This Row],[mql_id]], leads!A:A, leads!D:D, "Unknow" )</f>
        <v>unknown</v>
      </c>
      <c r="P167" t="str">
        <f>IF(olist_closed_deals_dataset[[#This Row],[declared_monthly_revenue]] &gt;= 10000, "High Values ", IF(olist_closed_deals_dataset[[#This Row],[declared_monthly_revenue]] &gt; 0, "Stander ", "No Revenue " ))</f>
        <v xml:space="preserve">No Revenue </v>
      </c>
    </row>
    <row r="168" spans="1:16" x14ac:dyDescent="0.2">
      <c r="A168" t="s">
        <v>424</v>
      </c>
      <c r="B168" t="s">
        <v>425</v>
      </c>
      <c r="C168" t="s">
        <v>16</v>
      </c>
      <c r="D168" t="s">
        <v>77</v>
      </c>
      <c r="E168" s="1">
        <v>43159.125</v>
      </c>
      <c r="F168" t="s">
        <v>26</v>
      </c>
      <c r="G168" t="s">
        <v>112</v>
      </c>
      <c r="H168" t="s">
        <v>20</v>
      </c>
      <c r="I168" t="s">
        <v>1796</v>
      </c>
      <c r="J168" t="s">
        <v>1796</v>
      </c>
      <c r="K168" t="s">
        <v>1796</v>
      </c>
      <c r="L168" t="s">
        <v>21</v>
      </c>
      <c r="M168">
        <v>0</v>
      </c>
      <c r="N168">
        <v>0</v>
      </c>
      <c r="O168" t="str">
        <f>_xlfn.XLOOKUP(olist_closed_deals_dataset[[#This Row],[mql_id]], leads!A:A, leads!D:D, "Unknow" )</f>
        <v>unknown</v>
      </c>
      <c r="P168" t="str">
        <f>IF(olist_closed_deals_dataset[[#This Row],[declared_monthly_revenue]] &gt;= 10000, "High Values ", IF(olist_closed_deals_dataset[[#This Row],[declared_monthly_revenue]] &gt; 0, "Stander ", "No Revenue " ))</f>
        <v xml:space="preserve">No Revenue </v>
      </c>
    </row>
    <row r="169" spans="1:16" x14ac:dyDescent="0.2">
      <c r="A169" t="s">
        <v>426</v>
      </c>
      <c r="B169" t="s">
        <v>427</v>
      </c>
      <c r="C169" t="s">
        <v>16</v>
      </c>
      <c r="D169" t="s">
        <v>17</v>
      </c>
      <c r="E169" s="1">
        <v>43216.836446759262</v>
      </c>
      <c r="F169" t="s">
        <v>82</v>
      </c>
      <c r="G169" t="s">
        <v>39</v>
      </c>
      <c r="H169" t="s">
        <v>20</v>
      </c>
      <c r="I169" t="s">
        <v>1796</v>
      </c>
      <c r="J169" t="s">
        <v>1796</v>
      </c>
      <c r="K169" t="s">
        <v>1796</v>
      </c>
      <c r="L169" t="s">
        <v>44</v>
      </c>
      <c r="M169">
        <v>0</v>
      </c>
      <c r="N169">
        <v>0</v>
      </c>
      <c r="O169" t="str">
        <f>_xlfn.XLOOKUP(olist_closed_deals_dataset[[#This Row],[mql_id]], leads!A:A, leads!D:D, "Unknow" )</f>
        <v>referral</v>
      </c>
      <c r="P169" t="str">
        <f>IF(olist_closed_deals_dataset[[#This Row],[declared_monthly_revenue]] &gt;= 10000, "High Values ", IF(olist_closed_deals_dataset[[#This Row],[declared_monthly_revenue]] &gt; 0, "Stander ", "No Revenue " ))</f>
        <v xml:space="preserve">No Revenue </v>
      </c>
    </row>
    <row r="170" spans="1:16" x14ac:dyDescent="0.2">
      <c r="A170" t="s">
        <v>428</v>
      </c>
      <c r="B170" t="s">
        <v>429</v>
      </c>
      <c r="C170" t="s">
        <v>37</v>
      </c>
      <c r="D170" t="s">
        <v>25</v>
      </c>
      <c r="E170" s="1">
        <v>43160.624131944445</v>
      </c>
      <c r="F170" t="s">
        <v>297</v>
      </c>
      <c r="G170" t="s">
        <v>34</v>
      </c>
      <c r="H170" t="s">
        <v>20</v>
      </c>
      <c r="I170" t="s">
        <v>1796</v>
      </c>
      <c r="J170" t="s">
        <v>1796</v>
      </c>
      <c r="K170" t="s">
        <v>1796</v>
      </c>
      <c r="L170" t="s">
        <v>21</v>
      </c>
      <c r="M170">
        <v>0</v>
      </c>
      <c r="N170">
        <v>0</v>
      </c>
      <c r="O170" t="str">
        <f>_xlfn.XLOOKUP(olist_closed_deals_dataset[[#This Row],[mql_id]], leads!A:A, leads!D:D, "Unknow" )</f>
        <v>organic_search</v>
      </c>
      <c r="P170" t="str">
        <f>IF(olist_closed_deals_dataset[[#This Row],[declared_monthly_revenue]] &gt;= 10000, "High Values ", IF(olist_closed_deals_dataset[[#This Row],[declared_monthly_revenue]] &gt; 0, "Stander ", "No Revenue " ))</f>
        <v xml:space="preserve">No Revenue </v>
      </c>
    </row>
    <row r="171" spans="1:16" x14ac:dyDescent="0.2">
      <c r="A171" t="s">
        <v>430</v>
      </c>
      <c r="B171" t="s">
        <v>431</v>
      </c>
      <c r="C171" t="s">
        <v>432</v>
      </c>
      <c r="D171" t="s">
        <v>48</v>
      </c>
      <c r="E171" s="1">
        <v>43110.76048611111</v>
      </c>
      <c r="F171" t="s">
        <v>297</v>
      </c>
      <c r="G171" t="s">
        <v>39</v>
      </c>
      <c r="H171" t="s">
        <v>1796</v>
      </c>
      <c r="I171" t="s">
        <v>1796</v>
      </c>
      <c r="J171" t="s">
        <v>1796</v>
      </c>
      <c r="K171" t="s">
        <v>1796</v>
      </c>
      <c r="L171" t="s">
        <v>21</v>
      </c>
      <c r="M171">
        <v>0</v>
      </c>
      <c r="N171">
        <v>0</v>
      </c>
      <c r="O171" t="str">
        <f>_xlfn.XLOOKUP(olist_closed_deals_dataset[[#This Row],[mql_id]], leads!A:A, leads!D:D, "Unknow" )</f>
        <v>social</v>
      </c>
      <c r="P171" t="str">
        <f>IF(olist_closed_deals_dataset[[#This Row],[declared_monthly_revenue]] &gt;= 10000, "High Values ", IF(olist_closed_deals_dataset[[#This Row],[declared_monthly_revenue]] &gt; 0, "Stander ", "No Revenue " ))</f>
        <v xml:space="preserve">No Revenue </v>
      </c>
    </row>
    <row r="172" spans="1:16" x14ac:dyDescent="0.2">
      <c r="A172" t="s">
        <v>433</v>
      </c>
      <c r="B172" t="s">
        <v>434</v>
      </c>
      <c r="C172" t="s">
        <v>24</v>
      </c>
      <c r="D172" t="s">
        <v>25</v>
      </c>
      <c r="E172" s="1">
        <v>43217.125</v>
      </c>
      <c r="F172" t="s">
        <v>115</v>
      </c>
      <c r="G172" t="s">
        <v>39</v>
      </c>
      <c r="H172" t="s">
        <v>20</v>
      </c>
      <c r="I172" t="s">
        <v>1796</v>
      </c>
      <c r="J172" t="s">
        <v>1796</v>
      </c>
      <c r="K172" t="s">
        <v>1796</v>
      </c>
      <c r="L172" t="s">
        <v>21</v>
      </c>
      <c r="M172">
        <v>0</v>
      </c>
      <c r="N172">
        <v>0</v>
      </c>
      <c r="O172" t="str">
        <f>_xlfn.XLOOKUP(olist_closed_deals_dataset[[#This Row],[mql_id]], leads!A:A, leads!D:D, "Unknow" )</f>
        <v>other</v>
      </c>
      <c r="P172" t="str">
        <f>IF(olist_closed_deals_dataset[[#This Row],[declared_monthly_revenue]] &gt;= 10000, "High Values ", IF(olist_closed_deals_dataset[[#This Row],[declared_monthly_revenue]] &gt; 0, "Stander ", "No Revenue " ))</f>
        <v xml:space="preserve">No Revenue </v>
      </c>
    </row>
    <row r="173" spans="1:16" x14ac:dyDescent="0.2">
      <c r="A173" t="s">
        <v>435</v>
      </c>
      <c r="B173" t="s">
        <v>436</v>
      </c>
      <c r="C173" t="s">
        <v>56</v>
      </c>
      <c r="D173" t="s">
        <v>48</v>
      </c>
      <c r="E173" s="1">
        <v>43277.535636574074</v>
      </c>
      <c r="F173" t="s">
        <v>138</v>
      </c>
      <c r="G173" t="s">
        <v>34</v>
      </c>
      <c r="H173" t="s">
        <v>20</v>
      </c>
      <c r="I173" t="s">
        <v>1796</v>
      </c>
      <c r="J173" t="s">
        <v>1796</v>
      </c>
      <c r="K173" t="s">
        <v>1796</v>
      </c>
      <c r="L173" t="s">
        <v>21</v>
      </c>
      <c r="M173">
        <v>0</v>
      </c>
      <c r="N173">
        <v>0</v>
      </c>
      <c r="O173" t="str">
        <f>_xlfn.XLOOKUP(olist_closed_deals_dataset[[#This Row],[mql_id]], leads!A:A, leads!D:D, "Unknow" )</f>
        <v>organic_search</v>
      </c>
      <c r="P173" t="str">
        <f>IF(olist_closed_deals_dataset[[#This Row],[declared_monthly_revenue]] &gt;= 10000, "High Values ", IF(olist_closed_deals_dataset[[#This Row],[declared_monthly_revenue]] &gt; 0, "Stander ", "No Revenue " ))</f>
        <v xml:space="preserve">No Revenue </v>
      </c>
    </row>
    <row r="174" spans="1:16" x14ac:dyDescent="0.2">
      <c r="A174" t="s">
        <v>437</v>
      </c>
      <c r="B174" t="s">
        <v>438</v>
      </c>
      <c r="C174" t="s">
        <v>42</v>
      </c>
      <c r="D174" t="s">
        <v>102</v>
      </c>
      <c r="E174" s="1">
        <v>43171.767245370371</v>
      </c>
      <c r="F174" t="s">
        <v>274</v>
      </c>
      <c r="G174" t="s">
        <v>27</v>
      </c>
      <c r="H174" t="s">
        <v>43</v>
      </c>
      <c r="I174" t="s">
        <v>1796</v>
      </c>
      <c r="J174" t="s">
        <v>1796</v>
      </c>
      <c r="K174" t="s">
        <v>1796</v>
      </c>
      <c r="L174" t="s">
        <v>21</v>
      </c>
      <c r="M174">
        <v>0</v>
      </c>
      <c r="N174">
        <v>0</v>
      </c>
      <c r="O174" t="str">
        <f>_xlfn.XLOOKUP(olist_closed_deals_dataset[[#This Row],[mql_id]], leads!A:A, leads!D:D, "Unknow" )</f>
        <v>direct_traffic</v>
      </c>
      <c r="P174" t="str">
        <f>IF(olist_closed_deals_dataset[[#This Row],[declared_monthly_revenue]] &gt;= 10000, "High Values ", IF(olist_closed_deals_dataset[[#This Row],[declared_monthly_revenue]] &gt; 0, "Stander ", "No Revenue " ))</f>
        <v xml:space="preserve">No Revenue </v>
      </c>
    </row>
    <row r="175" spans="1:16" x14ac:dyDescent="0.2">
      <c r="A175" t="s">
        <v>439</v>
      </c>
      <c r="B175" t="s">
        <v>440</v>
      </c>
      <c r="C175" t="s">
        <v>64</v>
      </c>
      <c r="D175" t="s">
        <v>81</v>
      </c>
      <c r="E175" s="1">
        <v>43292.624189814815</v>
      </c>
      <c r="F175" t="s">
        <v>96</v>
      </c>
      <c r="G175" t="s">
        <v>19</v>
      </c>
      <c r="H175" t="s">
        <v>1796</v>
      </c>
      <c r="I175" t="s">
        <v>1796</v>
      </c>
      <c r="J175" t="s">
        <v>1796</v>
      </c>
      <c r="K175" t="s">
        <v>1796</v>
      </c>
      <c r="L175" t="s">
        <v>44</v>
      </c>
      <c r="M175">
        <v>0</v>
      </c>
      <c r="N175">
        <v>0</v>
      </c>
      <c r="O175" t="str">
        <f>_xlfn.XLOOKUP(olist_closed_deals_dataset[[#This Row],[mql_id]], leads!A:A, leads!D:D, "Unknow" )</f>
        <v>referral</v>
      </c>
      <c r="P175" t="str">
        <f>IF(olist_closed_deals_dataset[[#This Row],[declared_monthly_revenue]] &gt;= 10000, "High Values ", IF(olist_closed_deals_dataset[[#This Row],[declared_monthly_revenue]] &gt; 0, "Stander ", "No Revenue " ))</f>
        <v xml:space="preserve">No Revenue </v>
      </c>
    </row>
    <row r="176" spans="1:16" x14ac:dyDescent="0.2">
      <c r="A176" t="s">
        <v>441</v>
      </c>
      <c r="B176" t="s">
        <v>442</v>
      </c>
      <c r="C176" t="s">
        <v>42</v>
      </c>
      <c r="D176" t="s">
        <v>32</v>
      </c>
      <c r="E176" s="1">
        <v>43194.887002314812</v>
      </c>
      <c r="F176" t="s">
        <v>61</v>
      </c>
      <c r="G176" t="s">
        <v>19</v>
      </c>
      <c r="H176" t="s">
        <v>20</v>
      </c>
      <c r="I176" t="s">
        <v>1796</v>
      </c>
      <c r="J176" t="s">
        <v>1796</v>
      </c>
      <c r="K176" t="s">
        <v>1796</v>
      </c>
      <c r="L176" t="s">
        <v>44</v>
      </c>
      <c r="M176">
        <v>0</v>
      </c>
      <c r="N176">
        <v>0</v>
      </c>
      <c r="O176" t="str">
        <f>_xlfn.XLOOKUP(olist_closed_deals_dataset[[#This Row],[mql_id]], leads!A:A, leads!D:D, "Unknow" )</f>
        <v>organic_search</v>
      </c>
      <c r="P176" t="str">
        <f>IF(olist_closed_deals_dataset[[#This Row],[declared_monthly_revenue]] &gt;= 10000, "High Values ", IF(olist_closed_deals_dataset[[#This Row],[declared_monthly_revenue]] &gt; 0, "Stander ", "No Revenue " ))</f>
        <v xml:space="preserve">No Revenue </v>
      </c>
    </row>
    <row r="177" spans="1:16" x14ac:dyDescent="0.2">
      <c r="A177" t="s">
        <v>443</v>
      </c>
      <c r="B177" t="s">
        <v>444</v>
      </c>
      <c r="C177" t="s">
        <v>64</v>
      </c>
      <c r="D177" t="s">
        <v>48</v>
      </c>
      <c r="E177" s="1">
        <v>43193.770358796297</v>
      </c>
      <c r="F177" t="s">
        <v>18</v>
      </c>
      <c r="G177" t="s">
        <v>34</v>
      </c>
      <c r="H177" t="s">
        <v>20</v>
      </c>
      <c r="I177" t="s">
        <v>1796</v>
      </c>
      <c r="J177" t="s">
        <v>1796</v>
      </c>
      <c r="K177" t="s">
        <v>1796</v>
      </c>
      <c r="L177" t="s">
        <v>21</v>
      </c>
      <c r="M177">
        <v>0</v>
      </c>
      <c r="N177">
        <v>0</v>
      </c>
      <c r="O177" t="str">
        <f>_xlfn.XLOOKUP(olist_closed_deals_dataset[[#This Row],[mql_id]], leads!A:A, leads!D:D, "Unknow" )</f>
        <v>unknown</v>
      </c>
      <c r="P177" t="str">
        <f>IF(olist_closed_deals_dataset[[#This Row],[declared_monthly_revenue]] &gt;= 10000, "High Values ", IF(olist_closed_deals_dataset[[#This Row],[declared_monthly_revenue]] &gt; 0, "Stander ", "No Revenue " ))</f>
        <v xml:space="preserve">No Revenue </v>
      </c>
    </row>
    <row r="178" spans="1:16" x14ac:dyDescent="0.2">
      <c r="A178" t="s">
        <v>445</v>
      </c>
      <c r="B178" t="s">
        <v>446</v>
      </c>
      <c r="C178" t="s">
        <v>42</v>
      </c>
      <c r="D178" t="s">
        <v>17</v>
      </c>
      <c r="E178" s="1">
        <v>43271.516782407409</v>
      </c>
      <c r="F178" t="s">
        <v>53</v>
      </c>
      <c r="G178" t="s">
        <v>19</v>
      </c>
      <c r="H178" t="s">
        <v>225</v>
      </c>
      <c r="I178" t="s">
        <v>1796</v>
      </c>
      <c r="J178" t="s">
        <v>1796</v>
      </c>
      <c r="K178" t="s">
        <v>1796</v>
      </c>
      <c r="L178" t="s">
        <v>21</v>
      </c>
      <c r="M178">
        <v>0</v>
      </c>
      <c r="N178">
        <v>0</v>
      </c>
      <c r="O178" t="str">
        <f>_xlfn.XLOOKUP(olist_closed_deals_dataset[[#This Row],[mql_id]], leads!A:A, leads!D:D, "Unknow" )</f>
        <v>organic_search</v>
      </c>
      <c r="P178" t="str">
        <f>IF(olist_closed_deals_dataset[[#This Row],[declared_monthly_revenue]] &gt;= 10000, "High Values ", IF(olist_closed_deals_dataset[[#This Row],[declared_monthly_revenue]] &gt; 0, "Stander ", "No Revenue " ))</f>
        <v xml:space="preserve">No Revenue </v>
      </c>
    </row>
    <row r="179" spans="1:16" x14ac:dyDescent="0.2">
      <c r="A179" t="s">
        <v>447</v>
      </c>
      <c r="B179" t="s">
        <v>448</v>
      </c>
      <c r="C179" t="s">
        <v>159</v>
      </c>
      <c r="D179" t="s">
        <v>71</v>
      </c>
      <c r="E179" s="1">
        <v>43242.892812500002</v>
      </c>
      <c r="F179" t="s">
        <v>61</v>
      </c>
      <c r="G179" t="s">
        <v>27</v>
      </c>
      <c r="H179" t="s">
        <v>20</v>
      </c>
      <c r="I179" t="s">
        <v>1796</v>
      </c>
      <c r="J179" t="s">
        <v>1796</v>
      </c>
      <c r="K179" t="s">
        <v>1796</v>
      </c>
      <c r="L179" t="s">
        <v>21</v>
      </c>
      <c r="M179">
        <v>0</v>
      </c>
      <c r="N179">
        <v>0</v>
      </c>
      <c r="O179" t="str">
        <f>_xlfn.XLOOKUP(olist_closed_deals_dataset[[#This Row],[mql_id]], leads!A:A, leads!D:D, "Unknow" )</f>
        <v>unknown</v>
      </c>
      <c r="P179" t="str">
        <f>IF(olist_closed_deals_dataset[[#This Row],[declared_monthly_revenue]] &gt;= 10000, "High Values ", IF(olist_closed_deals_dataset[[#This Row],[declared_monthly_revenue]] &gt; 0, "Stander ", "No Revenue " ))</f>
        <v xml:space="preserve">No Revenue </v>
      </c>
    </row>
    <row r="180" spans="1:16" x14ac:dyDescent="0.2">
      <c r="A180" t="s">
        <v>449</v>
      </c>
      <c r="B180" t="s">
        <v>450</v>
      </c>
      <c r="C180" t="s">
        <v>37</v>
      </c>
      <c r="D180" t="s">
        <v>77</v>
      </c>
      <c r="E180" s="1">
        <v>43131.565138888887</v>
      </c>
      <c r="F180" t="s">
        <v>96</v>
      </c>
      <c r="G180" t="s">
        <v>19</v>
      </c>
      <c r="H180" t="s">
        <v>1796</v>
      </c>
      <c r="I180" t="s">
        <v>1796</v>
      </c>
      <c r="J180" t="s">
        <v>1796</v>
      </c>
      <c r="K180" t="s">
        <v>1796</v>
      </c>
      <c r="L180" t="s">
        <v>44</v>
      </c>
      <c r="M180">
        <v>0</v>
      </c>
      <c r="N180">
        <v>0</v>
      </c>
      <c r="O180" t="str">
        <f>_xlfn.XLOOKUP(olist_closed_deals_dataset[[#This Row],[mql_id]], leads!A:A, leads!D:D, "Unknow" )</f>
        <v>organic_search</v>
      </c>
      <c r="P180" t="str">
        <f>IF(olist_closed_deals_dataset[[#This Row],[declared_monthly_revenue]] &gt;= 10000, "High Values ", IF(olist_closed_deals_dataset[[#This Row],[declared_monthly_revenue]] &gt; 0, "Stander ", "No Revenue " ))</f>
        <v xml:space="preserve">No Revenue </v>
      </c>
    </row>
    <row r="181" spans="1:16" x14ac:dyDescent="0.2">
      <c r="A181" t="s">
        <v>451</v>
      </c>
      <c r="B181" t="s">
        <v>452</v>
      </c>
      <c r="C181" t="s">
        <v>31</v>
      </c>
      <c r="D181" t="s">
        <v>42</v>
      </c>
      <c r="E181" s="1">
        <v>43299.850324074076</v>
      </c>
      <c r="F181" t="s">
        <v>68</v>
      </c>
      <c r="G181" t="s">
        <v>27</v>
      </c>
      <c r="H181" t="s">
        <v>20</v>
      </c>
      <c r="I181" t="b">
        <v>1</v>
      </c>
      <c r="J181" t="b">
        <v>1</v>
      </c>
      <c r="K181" t="s">
        <v>282</v>
      </c>
      <c r="L181" t="s">
        <v>44</v>
      </c>
      <c r="M181">
        <v>0</v>
      </c>
      <c r="N181">
        <v>0</v>
      </c>
      <c r="O181" t="str">
        <f>_xlfn.XLOOKUP(olist_closed_deals_dataset[[#This Row],[mql_id]], leads!A:A, leads!D:D, "Unknow" )</f>
        <v>unknown</v>
      </c>
      <c r="P181" t="str">
        <f>IF(olist_closed_deals_dataset[[#This Row],[declared_monthly_revenue]] &gt;= 10000, "High Values ", IF(olist_closed_deals_dataset[[#This Row],[declared_monthly_revenue]] &gt; 0, "Stander ", "No Revenue " ))</f>
        <v xml:space="preserve">No Revenue </v>
      </c>
    </row>
    <row r="182" spans="1:16" x14ac:dyDescent="0.2">
      <c r="A182" t="s">
        <v>453</v>
      </c>
      <c r="B182" t="s">
        <v>454</v>
      </c>
      <c r="C182" t="s">
        <v>65</v>
      </c>
      <c r="D182" t="s">
        <v>52</v>
      </c>
      <c r="E182" s="1">
        <v>43185.813634259262</v>
      </c>
      <c r="F182" t="s">
        <v>68</v>
      </c>
      <c r="G182" t="s">
        <v>57</v>
      </c>
      <c r="H182" t="s">
        <v>122</v>
      </c>
      <c r="I182" t="s">
        <v>1796</v>
      </c>
      <c r="J182" t="s">
        <v>1796</v>
      </c>
      <c r="K182" t="s">
        <v>1796</v>
      </c>
      <c r="L182" t="s">
        <v>21</v>
      </c>
      <c r="M182">
        <v>0</v>
      </c>
      <c r="N182">
        <v>0</v>
      </c>
      <c r="O182" t="str">
        <f>_xlfn.XLOOKUP(olist_closed_deals_dataset[[#This Row],[mql_id]], leads!A:A, leads!D:D, "Unknow" )</f>
        <v>paid_search</v>
      </c>
      <c r="P182" t="str">
        <f>IF(olist_closed_deals_dataset[[#This Row],[declared_monthly_revenue]] &gt;= 10000, "High Values ", IF(olist_closed_deals_dataset[[#This Row],[declared_monthly_revenue]] &gt; 0, "Stander ", "No Revenue " ))</f>
        <v xml:space="preserve">No Revenue </v>
      </c>
    </row>
    <row r="183" spans="1:16" x14ac:dyDescent="0.2">
      <c r="A183" t="s">
        <v>455</v>
      </c>
      <c r="B183" t="s">
        <v>456</v>
      </c>
      <c r="C183" t="s">
        <v>127</v>
      </c>
      <c r="D183" t="s">
        <v>71</v>
      </c>
      <c r="E183" s="1">
        <v>43241.853159722225</v>
      </c>
      <c r="F183" t="s">
        <v>26</v>
      </c>
      <c r="G183" t="s">
        <v>34</v>
      </c>
      <c r="H183" t="s">
        <v>20</v>
      </c>
      <c r="I183" t="s">
        <v>1796</v>
      </c>
      <c r="J183" t="s">
        <v>1796</v>
      </c>
      <c r="K183" t="s">
        <v>1796</v>
      </c>
      <c r="L183" t="s">
        <v>21</v>
      </c>
      <c r="M183">
        <v>0</v>
      </c>
      <c r="N183">
        <v>0</v>
      </c>
      <c r="O183" t="str">
        <f>_xlfn.XLOOKUP(olist_closed_deals_dataset[[#This Row],[mql_id]], leads!A:A, leads!D:D, "Unknow" )</f>
        <v>paid_search</v>
      </c>
      <c r="P183" t="str">
        <f>IF(olist_closed_deals_dataset[[#This Row],[declared_monthly_revenue]] &gt;= 10000, "High Values ", IF(olist_closed_deals_dataset[[#This Row],[declared_monthly_revenue]] &gt; 0, "Stander ", "No Revenue " ))</f>
        <v xml:space="preserve">No Revenue </v>
      </c>
    </row>
    <row r="184" spans="1:16" x14ac:dyDescent="0.2">
      <c r="A184" t="s">
        <v>457</v>
      </c>
      <c r="B184" t="s">
        <v>458</v>
      </c>
      <c r="C184" t="s">
        <v>71</v>
      </c>
      <c r="D184" t="s">
        <v>77</v>
      </c>
      <c r="E184" s="1">
        <v>43131.083333333336</v>
      </c>
      <c r="F184" t="s">
        <v>26</v>
      </c>
      <c r="G184" t="s">
        <v>27</v>
      </c>
      <c r="H184" t="s">
        <v>1796</v>
      </c>
      <c r="I184" t="s">
        <v>1796</v>
      </c>
      <c r="J184" t="s">
        <v>1796</v>
      </c>
      <c r="K184" t="s">
        <v>1796</v>
      </c>
      <c r="L184" t="s">
        <v>21</v>
      </c>
      <c r="M184">
        <v>0</v>
      </c>
      <c r="N184">
        <v>0</v>
      </c>
      <c r="O184" t="str">
        <f>_xlfn.XLOOKUP(olist_closed_deals_dataset[[#This Row],[mql_id]], leads!A:A, leads!D:D, "Unknow" )</f>
        <v>organic_search</v>
      </c>
      <c r="P184" t="str">
        <f>IF(olist_closed_deals_dataset[[#This Row],[declared_monthly_revenue]] &gt;= 10000, "High Values ", IF(olist_closed_deals_dataset[[#This Row],[declared_monthly_revenue]] &gt; 0, "Stander ", "No Revenue " ))</f>
        <v xml:space="preserve">No Revenue </v>
      </c>
    </row>
    <row r="185" spans="1:16" x14ac:dyDescent="0.2">
      <c r="A185" t="s">
        <v>459</v>
      </c>
      <c r="B185" t="s">
        <v>460</v>
      </c>
      <c r="C185" t="s">
        <v>16</v>
      </c>
      <c r="D185" t="s">
        <v>37</v>
      </c>
      <c r="E185" s="1">
        <v>43203.570729166669</v>
      </c>
      <c r="F185" t="s">
        <v>68</v>
      </c>
      <c r="G185" t="s">
        <v>34</v>
      </c>
      <c r="H185" t="s">
        <v>20</v>
      </c>
      <c r="I185" t="s">
        <v>1796</v>
      </c>
      <c r="J185" t="s">
        <v>1796</v>
      </c>
      <c r="K185" t="s">
        <v>1796</v>
      </c>
      <c r="L185" t="s">
        <v>21</v>
      </c>
      <c r="M185">
        <v>0</v>
      </c>
      <c r="N185">
        <v>0</v>
      </c>
      <c r="O185" t="str">
        <f>_xlfn.XLOOKUP(olist_closed_deals_dataset[[#This Row],[mql_id]], leads!A:A, leads!D:D, "Unknow" )</f>
        <v>organic_search</v>
      </c>
      <c r="P185" t="str">
        <f>IF(olist_closed_deals_dataset[[#This Row],[declared_monthly_revenue]] &gt;= 10000, "High Values ", IF(olist_closed_deals_dataset[[#This Row],[declared_monthly_revenue]] &gt; 0, "Stander ", "No Revenue " ))</f>
        <v xml:space="preserve">No Revenue </v>
      </c>
    </row>
    <row r="186" spans="1:16" x14ac:dyDescent="0.2">
      <c r="A186" t="s">
        <v>461</v>
      </c>
      <c r="B186" t="s">
        <v>462</v>
      </c>
      <c r="C186" t="s">
        <v>159</v>
      </c>
      <c r="D186" t="s">
        <v>71</v>
      </c>
      <c r="E186" s="1">
        <v>43271.772870370369</v>
      </c>
      <c r="F186" t="s">
        <v>82</v>
      </c>
      <c r="G186" t="s">
        <v>19</v>
      </c>
      <c r="H186" t="s">
        <v>122</v>
      </c>
      <c r="I186" t="s">
        <v>1796</v>
      </c>
      <c r="J186" t="s">
        <v>1796</v>
      </c>
      <c r="K186" t="s">
        <v>1796</v>
      </c>
      <c r="L186" t="s">
        <v>21</v>
      </c>
      <c r="M186">
        <v>0</v>
      </c>
      <c r="N186">
        <v>0</v>
      </c>
      <c r="O186" t="str">
        <f>_xlfn.XLOOKUP(olist_closed_deals_dataset[[#This Row],[mql_id]], leads!A:A, leads!D:D, "Unknow" )</f>
        <v>direct_traffic</v>
      </c>
      <c r="P186" t="str">
        <f>IF(olist_closed_deals_dataset[[#This Row],[declared_monthly_revenue]] &gt;= 10000, "High Values ", IF(olist_closed_deals_dataset[[#This Row],[declared_monthly_revenue]] &gt; 0, "Stander ", "No Revenue " ))</f>
        <v xml:space="preserve">No Revenue </v>
      </c>
    </row>
    <row r="187" spans="1:16" x14ac:dyDescent="0.2">
      <c r="A187" t="s">
        <v>463</v>
      </c>
      <c r="B187" t="s">
        <v>464</v>
      </c>
      <c r="C187" t="s">
        <v>42</v>
      </c>
      <c r="D187" t="s">
        <v>52</v>
      </c>
      <c r="E187" s="1">
        <v>43201.608495370368</v>
      </c>
      <c r="F187" t="s">
        <v>96</v>
      </c>
      <c r="G187" t="s">
        <v>34</v>
      </c>
      <c r="H187" t="s">
        <v>122</v>
      </c>
      <c r="I187" t="s">
        <v>1796</v>
      </c>
      <c r="J187" t="s">
        <v>1796</v>
      </c>
      <c r="K187" t="s">
        <v>1796</v>
      </c>
      <c r="L187" t="s">
        <v>44</v>
      </c>
      <c r="M187">
        <v>0</v>
      </c>
      <c r="N187">
        <v>0</v>
      </c>
      <c r="O187" t="str">
        <f>_xlfn.XLOOKUP(olist_closed_deals_dataset[[#This Row],[mql_id]], leads!A:A, leads!D:D, "Unknow" )</f>
        <v>unknown</v>
      </c>
      <c r="P187" t="str">
        <f>IF(olist_closed_deals_dataset[[#This Row],[declared_monthly_revenue]] &gt;= 10000, "High Values ", IF(olist_closed_deals_dataset[[#This Row],[declared_monthly_revenue]] &gt; 0, "Stander ", "No Revenue " ))</f>
        <v xml:space="preserve">No Revenue </v>
      </c>
    </row>
    <row r="188" spans="1:16" x14ac:dyDescent="0.2">
      <c r="A188" t="s">
        <v>465</v>
      </c>
      <c r="B188" t="s">
        <v>466</v>
      </c>
      <c r="C188" t="s">
        <v>64</v>
      </c>
      <c r="D188" t="s">
        <v>74</v>
      </c>
      <c r="E188" s="1">
        <v>43262.603564814817</v>
      </c>
      <c r="F188" t="s">
        <v>1796</v>
      </c>
      <c r="G188" t="s">
        <v>27</v>
      </c>
      <c r="H188" t="s">
        <v>1796</v>
      </c>
      <c r="I188" t="s">
        <v>1796</v>
      </c>
      <c r="J188" t="s">
        <v>1796</v>
      </c>
      <c r="K188" t="s">
        <v>1796</v>
      </c>
      <c r="L188" t="s">
        <v>21</v>
      </c>
      <c r="M188">
        <v>0</v>
      </c>
      <c r="N188">
        <v>0</v>
      </c>
      <c r="O188" t="str">
        <f>_xlfn.XLOOKUP(olist_closed_deals_dataset[[#This Row],[mql_id]], leads!A:A, leads!D:D, "Unknow" )</f>
        <v>unknown</v>
      </c>
      <c r="P188" t="str">
        <f>IF(olist_closed_deals_dataset[[#This Row],[declared_monthly_revenue]] &gt;= 10000, "High Values ", IF(olist_closed_deals_dataset[[#This Row],[declared_monthly_revenue]] &gt; 0, "Stander ", "No Revenue " ))</f>
        <v xml:space="preserve">No Revenue </v>
      </c>
    </row>
    <row r="189" spans="1:16" x14ac:dyDescent="0.2">
      <c r="A189" t="s">
        <v>467</v>
      </c>
      <c r="B189" t="s">
        <v>468</v>
      </c>
      <c r="C189" t="s">
        <v>42</v>
      </c>
      <c r="D189" t="s">
        <v>77</v>
      </c>
      <c r="E189" s="1">
        <v>43157.874409722222</v>
      </c>
      <c r="F189" t="s">
        <v>138</v>
      </c>
      <c r="G189" t="s">
        <v>34</v>
      </c>
      <c r="H189" t="s">
        <v>43</v>
      </c>
      <c r="I189" t="s">
        <v>1796</v>
      </c>
      <c r="J189" t="s">
        <v>1796</v>
      </c>
      <c r="K189" t="s">
        <v>1796</v>
      </c>
      <c r="L189" t="s">
        <v>21</v>
      </c>
      <c r="M189">
        <v>0</v>
      </c>
      <c r="N189">
        <v>0</v>
      </c>
      <c r="O189" t="str">
        <f>_xlfn.XLOOKUP(olist_closed_deals_dataset[[#This Row],[mql_id]], leads!A:A, leads!D:D, "Unknow" )</f>
        <v>social</v>
      </c>
      <c r="P189" t="str">
        <f>IF(olist_closed_deals_dataset[[#This Row],[declared_monthly_revenue]] &gt;= 10000, "High Values ", IF(olist_closed_deals_dataset[[#This Row],[declared_monthly_revenue]] &gt; 0, "Stander ", "No Revenue " ))</f>
        <v xml:space="preserve">No Revenue </v>
      </c>
    </row>
    <row r="190" spans="1:16" x14ac:dyDescent="0.2">
      <c r="A190" t="s">
        <v>469</v>
      </c>
      <c r="B190" t="s">
        <v>470</v>
      </c>
      <c r="C190" t="s">
        <v>471</v>
      </c>
      <c r="D190" t="s">
        <v>17</v>
      </c>
      <c r="E190" s="1">
        <v>43397.814976851849</v>
      </c>
      <c r="F190" t="s">
        <v>68</v>
      </c>
      <c r="G190" t="s">
        <v>27</v>
      </c>
      <c r="H190" t="s">
        <v>20</v>
      </c>
      <c r="I190" t="s">
        <v>1796</v>
      </c>
      <c r="J190" t="s">
        <v>1796</v>
      </c>
      <c r="K190" t="s">
        <v>1796</v>
      </c>
      <c r="L190" t="s">
        <v>44</v>
      </c>
      <c r="M190">
        <v>10</v>
      </c>
      <c r="N190">
        <v>50000000</v>
      </c>
      <c r="O190" t="str">
        <f>_xlfn.XLOOKUP(olist_closed_deals_dataset[[#This Row],[mql_id]], leads!A:A, leads!D:D, "Unknow" )</f>
        <v>organic_search</v>
      </c>
      <c r="P190" t="str">
        <f>IF(olist_closed_deals_dataset[[#This Row],[declared_monthly_revenue]] &gt;= 10000, "High Values ", IF(olist_closed_deals_dataset[[#This Row],[declared_monthly_revenue]] &gt; 0, "Stander ", "No Revenue " ))</f>
        <v xml:space="preserve">High Values </v>
      </c>
    </row>
    <row r="191" spans="1:16" x14ac:dyDescent="0.2">
      <c r="A191" t="s">
        <v>472</v>
      </c>
      <c r="B191" t="s">
        <v>473</v>
      </c>
      <c r="C191" t="s">
        <v>65</v>
      </c>
      <c r="D191" t="s">
        <v>32</v>
      </c>
      <c r="E191" s="1">
        <v>43175.819189814814</v>
      </c>
      <c r="F191" t="s">
        <v>103</v>
      </c>
      <c r="G191" t="s">
        <v>57</v>
      </c>
      <c r="H191" t="s">
        <v>28</v>
      </c>
      <c r="I191" t="s">
        <v>1796</v>
      </c>
      <c r="J191" t="s">
        <v>1796</v>
      </c>
      <c r="K191" t="s">
        <v>1796</v>
      </c>
      <c r="L191" t="s">
        <v>21</v>
      </c>
      <c r="M191">
        <v>0</v>
      </c>
      <c r="N191">
        <v>0</v>
      </c>
      <c r="O191" t="str">
        <f>_xlfn.XLOOKUP(olist_closed_deals_dataset[[#This Row],[mql_id]], leads!A:A, leads!D:D, "Unknow" )</f>
        <v>unknown</v>
      </c>
      <c r="P191" t="str">
        <f>IF(olist_closed_deals_dataset[[#This Row],[declared_monthly_revenue]] &gt;= 10000, "High Values ", IF(olist_closed_deals_dataset[[#This Row],[declared_monthly_revenue]] &gt; 0, "Stander ", "No Revenue " ))</f>
        <v xml:space="preserve">No Revenue </v>
      </c>
    </row>
    <row r="192" spans="1:16" x14ac:dyDescent="0.2">
      <c r="A192" t="s">
        <v>474</v>
      </c>
      <c r="B192" t="s">
        <v>475</v>
      </c>
      <c r="C192" t="s">
        <v>64</v>
      </c>
      <c r="D192" t="s">
        <v>37</v>
      </c>
      <c r="E192" s="1">
        <v>43294.843715277777</v>
      </c>
      <c r="F192" t="s">
        <v>96</v>
      </c>
      <c r="G192" t="s">
        <v>57</v>
      </c>
      <c r="H192" t="s">
        <v>20</v>
      </c>
      <c r="I192" t="s">
        <v>1796</v>
      </c>
      <c r="J192" t="s">
        <v>1796</v>
      </c>
      <c r="K192" t="s">
        <v>1796</v>
      </c>
      <c r="L192" t="s">
        <v>21</v>
      </c>
      <c r="M192">
        <v>0</v>
      </c>
      <c r="N192">
        <v>0</v>
      </c>
      <c r="O192" t="str">
        <f>_xlfn.XLOOKUP(olist_closed_deals_dataset[[#This Row],[mql_id]], leads!A:A, leads!D:D, "Unknow" )</f>
        <v>organic_search</v>
      </c>
      <c r="P192" t="str">
        <f>IF(olist_closed_deals_dataset[[#This Row],[declared_monthly_revenue]] &gt;= 10000, "High Values ", IF(olist_closed_deals_dataset[[#This Row],[declared_monthly_revenue]] &gt; 0, "Stander ", "No Revenue " ))</f>
        <v xml:space="preserve">No Revenue </v>
      </c>
    </row>
    <row r="193" spans="1:16" x14ac:dyDescent="0.2">
      <c r="A193" t="s">
        <v>476</v>
      </c>
      <c r="B193" t="s">
        <v>477</v>
      </c>
      <c r="C193" t="s">
        <v>71</v>
      </c>
      <c r="D193" t="s">
        <v>89</v>
      </c>
      <c r="E193" s="1">
        <v>43153.552847222221</v>
      </c>
      <c r="F193" t="s">
        <v>68</v>
      </c>
      <c r="G193" t="s">
        <v>34</v>
      </c>
      <c r="H193" t="s">
        <v>1796</v>
      </c>
      <c r="I193" t="s">
        <v>1796</v>
      </c>
      <c r="J193" t="s">
        <v>1796</v>
      </c>
      <c r="K193" t="s">
        <v>1796</v>
      </c>
      <c r="L193" t="s">
        <v>21</v>
      </c>
      <c r="M193">
        <v>0</v>
      </c>
      <c r="N193">
        <v>0</v>
      </c>
      <c r="O193" t="str">
        <f>_xlfn.XLOOKUP(olist_closed_deals_dataset[[#This Row],[mql_id]], leads!A:A, leads!D:D, "Unknow" )</f>
        <v>direct_traffic</v>
      </c>
      <c r="P193" t="str">
        <f>IF(olist_closed_deals_dataset[[#This Row],[declared_monthly_revenue]] &gt;= 10000, "High Values ", IF(olist_closed_deals_dataset[[#This Row],[declared_monthly_revenue]] &gt; 0, "Stander ", "No Revenue " ))</f>
        <v xml:space="preserve">No Revenue </v>
      </c>
    </row>
    <row r="194" spans="1:16" x14ac:dyDescent="0.2">
      <c r="A194" t="s">
        <v>478</v>
      </c>
      <c r="B194" t="s">
        <v>479</v>
      </c>
      <c r="C194" t="s">
        <v>127</v>
      </c>
      <c r="D194" t="s">
        <v>52</v>
      </c>
      <c r="E194" s="1">
        <v>43342.916932870372</v>
      </c>
      <c r="F194" t="s">
        <v>96</v>
      </c>
      <c r="G194" t="s">
        <v>27</v>
      </c>
      <c r="H194" t="s">
        <v>20</v>
      </c>
      <c r="I194" t="b">
        <v>1</v>
      </c>
      <c r="J194" t="b">
        <v>1</v>
      </c>
      <c r="K194" t="s">
        <v>282</v>
      </c>
      <c r="L194" t="s">
        <v>44</v>
      </c>
      <c r="M194">
        <v>40</v>
      </c>
      <c r="N194">
        <v>100000</v>
      </c>
      <c r="O194" t="str">
        <f>_xlfn.XLOOKUP(olist_closed_deals_dataset[[#This Row],[mql_id]], leads!A:A, leads!D:D, "Unknow" )</f>
        <v>paid_search</v>
      </c>
      <c r="P194" t="str">
        <f>IF(olist_closed_deals_dataset[[#This Row],[declared_monthly_revenue]] &gt;= 10000, "High Values ", IF(olist_closed_deals_dataset[[#This Row],[declared_monthly_revenue]] &gt; 0, "Stander ", "No Revenue " ))</f>
        <v xml:space="preserve">High Values </v>
      </c>
    </row>
    <row r="195" spans="1:16" x14ac:dyDescent="0.2">
      <c r="A195" t="s">
        <v>480</v>
      </c>
      <c r="B195" t="s">
        <v>481</v>
      </c>
      <c r="C195" t="s">
        <v>64</v>
      </c>
      <c r="D195" t="s">
        <v>25</v>
      </c>
      <c r="E195" s="1">
        <v>43265.785717592589</v>
      </c>
      <c r="F195" t="s">
        <v>131</v>
      </c>
      <c r="G195" t="s">
        <v>27</v>
      </c>
      <c r="H195" t="s">
        <v>281</v>
      </c>
      <c r="I195" t="s">
        <v>1796</v>
      </c>
      <c r="J195" t="s">
        <v>1796</v>
      </c>
      <c r="K195" t="s">
        <v>1796</v>
      </c>
      <c r="L195" t="s">
        <v>44</v>
      </c>
      <c r="M195">
        <v>0</v>
      </c>
      <c r="N195">
        <v>0</v>
      </c>
      <c r="O195" t="str">
        <f>_xlfn.XLOOKUP(olist_closed_deals_dataset[[#This Row],[mql_id]], leads!A:A, leads!D:D, "Unknow" )</f>
        <v>paid_search</v>
      </c>
      <c r="P195" t="str">
        <f>IF(olist_closed_deals_dataset[[#This Row],[declared_monthly_revenue]] &gt;= 10000, "High Values ", IF(olist_closed_deals_dataset[[#This Row],[declared_monthly_revenue]] &gt; 0, "Stander ", "No Revenue " ))</f>
        <v xml:space="preserve">No Revenue </v>
      </c>
    </row>
    <row r="196" spans="1:16" x14ac:dyDescent="0.2">
      <c r="A196" t="s">
        <v>482</v>
      </c>
      <c r="B196" t="s">
        <v>483</v>
      </c>
      <c r="C196" t="s">
        <v>64</v>
      </c>
      <c r="D196" t="s">
        <v>81</v>
      </c>
      <c r="E196" s="1">
        <v>43284.518553240741</v>
      </c>
      <c r="F196" t="s">
        <v>103</v>
      </c>
      <c r="G196" t="s">
        <v>19</v>
      </c>
      <c r="H196" t="s">
        <v>20</v>
      </c>
      <c r="I196" t="s">
        <v>1796</v>
      </c>
      <c r="J196" t="s">
        <v>1796</v>
      </c>
      <c r="K196" t="s">
        <v>1796</v>
      </c>
      <c r="L196" t="s">
        <v>21</v>
      </c>
      <c r="M196">
        <v>0</v>
      </c>
      <c r="N196">
        <v>0</v>
      </c>
      <c r="O196" t="str">
        <f>_xlfn.XLOOKUP(olist_closed_deals_dataset[[#This Row],[mql_id]], leads!A:A, leads!D:D, "Unknow" )</f>
        <v>unknown</v>
      </c>
      <c r="P196" t="str">
        <f>IF(olist_closed_deals_dataset[[#This Row],[declared_monthly_revenue]] &gt;= 10000, "High Values ", IF(olist_closed_deals_dataset[[#This Row],[declared_monthly_revenue]] &gt; 0, "Stander ", "No Revenue " ))</f>
        <v xml:space="preserve">No Revenue </v>
      </c>
    </row>
    <row r="197" spans="1:16" x14ac:dyDescent="0.2">
      <c r="A197" t="s">
        <v>484</v>
      </c>
      <c r="B197" t="s">
        <v>485</v>
      </c>
      <c r="C197" t="s">
        <v>60</v>
      </c>
      <c r="D197" t="s">
        <v>52</v>
      </c>
      <c r="E197" s="1">
        <v>43252.698229166665</v>
      </c>
      <c r="F197" t="s">
        <v>61</v>
      </c>
      <c r="G197" t="s">
        <v>57</v>
      </c>
      <c r="H197" t="s">
        <v>20</v>
      </c>
      <c r="I197" t="s">
        <v>1796</v>
      </c>
      <c r="J197" t="s">
        <v>1796</v>
      </c>
      <c r="K197" t="s">
        <v>1796</v>
      </c>
      <c r="L197" t="s">
        <v>21</v>
      </c>
      <c r="M197">
        <v>0</v>
      </c>
      <c r="N197">
        <v>0</v>
      </c>
      <c r="O197" t="str">
        <f>_xlfn.XLOOKUP(olist_closed_deals_dataset[[#This Row],[mql_id]], leads!A:A, leads!D:D, "Unknow" )</f>
        <v>unknown</v>
      </c>
      <c r="P197" t="str">
        <f>IF(olist_closed_deals_dataset[[#This Row],[declared_monthly_revenue]] &gt;= 10000, "High Values ", IF(olist_closed_deals_dataset[[#This Row],[declared_monthly_revenue]] &gt; 0, "Stander ", "No Revenue " ))</f>
        <v xml:space="preserve">No Revenue </v>
      </c>
    </row>
    <row r="198" spans="1:16" x14ac:dyDescent="0.2">
      <c r="A198" t="s">
        <v>486</v>
      </c>
      <c r="B198" t="s">
        <v>487</v>
      </c>
      <c r="C198" t="s">
        <v>71</v>
      </c>
      <c r="D198" t="s">
        <v>77</v>
      </c>
      <c r="E198" s="1">
        <v>43157.674884259257</v>
      </c>
      <c r="F198" t="s">
        <v>96</v>
      </c>
      <c r="G198" t="s">
        <v>19</v>
      </c>
      <c r="H198" t="s">
        <v>1796</v>
      </c>
      <c r="I198" t="s">
        <v>1796</v>
      </c>
      <c r="J198" t="s">
        <v>1796</v>
      </c>
      <c r="K198" t="s">
        <v>1796</v>
      </c>
      <c r="L198" t="s">
        <v>44</v>
      </c>
      <c r="M198">
        <v>0</v>
      </c>
      <c r="N198">
        <v>0</v>
      </c>
      <c r="O198" t="str">
        <f>_xlfn.XLOOKUP(olist_closed_deals_dataset[[#This Row],[mql_id]], leads!A:A, leads!D:D, "Unknow" )</f>
        <v>other_publicities</v>
      </c>
      <c r="P198" t="str">
        <f>IF(olist_closed_deals_dataset[[#This Row],[declared_monthly_revenue]] &gt;= 10000, "High Values ", IF(olist_closed_deals_dataset[[#This Row],[declared_monthly_revenue]] &gt; 0, "Stander ", "No Revenue " ))</f>
        <v xml:space="preserve">No Revenue </v>
      </c>
    </row>
    <row r="199" spans="1:16" x14ac:dyDescent="0.2">
      <c r="A199" t="s">
        <v>488</v>
      </c>
      <c r="B199" t="s">
        <v>489</v>
      </c>
      <c r="C199" t="s">
        <v>24</v>
      </c>
      <c r="D199" t="s">
        <v>74</v>
      </c>
      <c r="E199" s="1">
        <v>43231.125</v>
      </c>
      <c r="F199" t="s">
        <v>26</v>
      </c>
      <c r="G199" t="s">
        <v>19</v>
      </c>
      <c r="H199" t="s">
        <v>20</v>
      </c>
      <c r="I199" t="s">
        <v>1796</v>
      </c>
      <c r="J199" t="s">
        <v>1796</v>
      </c>
      <c r="K199" t="s">
        <v>1796</v>
      </c>
      <c r="L199" t="s">
        <v>21</v>
      </c>
      <c r="M199">
        <v>0</v>
      </c>
      <c r="N199">
        <v>0</v>
      </c>
      <c r="O199" t="str">
        <f>_xlfn.XLOOKUP(olist_closed_deals_dataset[[#This Row],[mql_id]], leads!A:A, leads!D:D, "Unknow" )</f>
        <v>organic_search</v>
      </c>
      <c r="P199" t="str">
        <f>IF(olist_closed_deals_dataset[[#This Row],[declared_monthly_revenue]] &gt;= 10000, "High Values ", IF(olist_closed_deals_dataset[[#This Row],[declared_monthly_revenue]] &gt; 0, "Stander ", "No Revenue " ))</f>
        <v xml:space="preserve">No Revenue </v>
      </c>
    </row>
    <row r="200" spans="1:16" x14ac:dyDescent="0.2">
      <c r="A200" t="s">
        <v>490</v>
      </c>
      <c r="B200" t="s">
        <v>491</v>
      </c>
      <c r="C200" t="s">
        <v>47</v>
      </c>
      <c r="D200" t="s">
        <v>77</v>
      </c>
      <c r="E200" s="1">
        <v>43235.794236111113</v>
      </c>
      <c r="F200" t="s">
        <v>138</v>
      </c>
      <c r="G200" t="s">
        <v>27</v>
      </c>
      <c r="H200" t="s">
        <v>1796</v>
      </c>
      <c r="I200" t="s">
        <v>1796</v>
      </c>
      <c r="J200" t="s">
        <v>1796</v>
      </c>
      <c r="K200" t="s">
        <v>1796</v>
      </c>
      <c r="L200" t="s">
        <v>21</v>
      </c>
      <c r="M200">
        <v>0</v>
      </c>
      <c r="N200">
        <v>0</v>
      </c>
      <c r="O200" t="str">
        <f>_xlfn.XLOOKUP(olist_closed_deals_dataset[[#This Row],[mql_id]], leads!A:A, leads!D:D, "Unknow" )</f>
        <v>unknown</v>
      </c>
      <c r="P200" t="str">
        <f>IF(olist_closed_deals_dataset[[#This Row],[declared_monthly_revenue]] &gt;= 10000, "High Values ", IF(olist_closed_deals_dataset[[#This Row],[declared_monthly_revenue]] &gt; 0, "Stander ", "No Revenue " ))</f>
        <v xml:space="preserve">No Revenue </v>
      </c>
    </row>
    <row r="201" spans="1:16" x14ac:dyDescent="0.2">
      <c r="A201" t="s">
        <v>492</v>
      </c>
      <c r="B201" t="s">
        <v>493</v>
      </c>
      <c r="C201" t="s">
        <v>16</v>
      </c>
      <c r="D201" t="s">
        <v>74</v>
      </c>
      <c r="E201" s="1">
        <v>43195.795324074075</v>
      </c>
      <c r="F201" t="s">
        <v>494</v>
      </c>
      <c r="G201" t="s">
        <v>19</v>
      </c>
      <c r="H201" t="s">
        <v>20</v>
      </c>
      <c r="I201" t="s">
        <v>1796</v>
      </c>
      <c r="J201" t="s">
        <v>1796</v>
      </c>
      <c r="K201" t="s">
        <v>1796</v>
      </c>
      <c r="L201" t="s">
        <v>21</v>
      </c>
      <c r="M201">
        <v>0</v>
      </c>
      <c r="N201">
        <v>0</v>
      </c>
      <c r="O201" t="str">
        <f>_xlfn.XLOOKUP(olist_closed_deals_dataset[[#This Row],[mql_id]], leads!A:A, leads!D:D, "Unknow" )</f>
        <v>direct_traffic</v>
      </c>
      <c r="P201" t="str">
        <f>IF(olist_closed_deals_dataset[[#This Row],[declared_monthly_revenue]] &gt;= 10000, "High Values ", IF(olist_closed_deals_dataset[[#This Row],[declared_monthly_revenue]] &gt; 0, "Stander ", "No Revenue " ))</f>
        <v xml:space="preserve">No Revenue </v>
      </c>
    </row>
    <row r="202" spans="1:16" x14ac:dyDescent="0.2">
      <c r="A202" t="s">
        <v>495</v>
      </c>
      <c r="B202" t="s">
        <v>496</v>
      </c>
      <c r="C202" t="s">
        <v>37</v>
      </c>
      <c r="D202" t="s">
        <v>95</v>
      </c>
      <c r="E202" s="1">
        <v>43112.768020833333</v>
      </c>
      <c r="F202" t="s">
        <v>221</v>
      </c>
      <c r="G202" t="s">
        <v>39</v>
      </c>
      <c r="H202" t="s">
        <v>1796</v>
      </c>
      <c r="I202" t="s">
        <v>1796</v>
      </c>
      <c r="J202" t="s">
        <v>1796</v>
      </c>
      <c r="K202" t="s">
        <v>1796</v>
      </c>
      <c r="L202" t="s">
        <v>21</v>
      </c>
      <c r="M202">
        <v>0</v>
      </c>
      <c r="N202">
        <v>0</v>
      </c>
      <c r="O202" t="str">
        <f>_xlfn.XLOOKUP(olist_closed_deals_dataset[[#This Row],[mql_id]], leads!A:A, leads!D:D, "Unknow" )</f>
        <v>organic_search</v>
      </c>
      <c r="P202" t="str">
        <f>IF(olist_closed_deals_dataset[[#This Row],[declared_monthly_revenue]] &gt;= 10000, "High Values ", IF(olist_closed_deals_dataset[[#This Row],[declared_monthly_revenue]] &gt; 0, "Stander ", "No Revenue " ))</f>
        <v xml:space="preserve">No Revenue </v>
      </c>
    </row>
    <row r="203" spans="1:16" x14ac:dyDescent="0.2">
      <c r="A203" t="s">
        <v>497</v>
      </c>
      <c r="B203" t="s">
        <v>498</v>
      </c>
      <c r="C203" t="s">
        <v>24</v>
      </c>
      <c r="D203" t="s">
        <v>16</v>
      </c>
      <c r="E203" s="1">
        <v>43280.845023148147</v>
      </c>
      <c r="F203" t="s">
        <v>61</v>
      </c>
      <c r="G203" t="s">
        <v>112</v>
      </c>
      <c r="H203" t="s">
        <v>28</v>
      </c>
      <c r="I203" t="s">
        <v>1796</v>
      </c>
      <c r="J203" t="s">
        <v>1796</v>
      </c>
      <c r="K203" t="s">
        <v>1796</v>
      </c>
      <c r="L203" t="s">
        <v>21</v>
      </c>
      <c r="M203">
        <v>0</v>
      </c>
      <c r="N203">
        <v>0</v>
      </c>
      <c r="O203" t="str">
        <f>_xlfn.XLOOKUP(olist_closed_deals_dataset[[#This Row],[mql_id]], leads!A:A, leads!D:D, "Unknow" )</f>
        <v>social</v>
      </c>
      <c r="P203" t="str">
        <f>IF(olist_closed_deals_dataset[[#This Row],[declared_monthly_revenue]] &gt;= 10000, "High Values ", IF(olist_closed_deals_dataset[[#This Row],[declared_monthly_revenue]] &gt; 0, "Stander ", "No Revenue " ))</f>
        <v xml:space="preserve">No Revenue </v>
      </c>
    </row>
    <row r="204" spans="1:16" x14ac:dyDescent="0.2">
      <c r="A204" t="s">
        <v>499</v>
      </c>
      <c r="B204" t="s">
        <v>500</v>
      </c>
      <c r="C204" t="s">
        <v>42</v>
      </c>
      <c r="D204" t="s">
        <v>17</v>
      </c>
      <c r="E204" s="1">
        <v>43237.908078703702</v>
      </c>
      <c r="F204" t="s">
        <v>204</v>
      </c>
      <c r="G204" t="s">
        <v>27</v>
      </c>
      <c r="H204" t="s">
        <v>28</v>
      </c>
      <c r="I204" t="s">
        <v>1796</v>
      </c>
      <c r="J204" t="s">
        <v>1796</v>
      </c>
      <c r="K204" t="s">
        <v>1796</v>
      </c>
      <c r="L204" t="s">
        <v>44</v>
      </c>
      <c r="M204">
        <v>0</v>
      </c>
      <c r="N204">
        <v>0</v>
      </c>
      <c r="O204" t="str">
        <f>_xlfn.XLOOKUP(olist_closed_deals_dataset[[#This Row],[mql_id]], leads!A:A, leads!D:D, "Unknow" )</f>
        <v>unknown</v>
      </c>
      <c r="P204" t="str">
        <f>IF(olist_closed_deals_dataset[[#This Row],[declared_monthly_revenue]] &gt;= 10000, "High Values ", IF(olist_closed_deals_dataset[[#This Row],[declared_monthly_revenue]] &gt; 0, "Stander ", "No Revenue " ))</f>
        <v xml:space="preserve">No Revenue </v>
      </c>
    </row>
    <row r="205" spans="1:16" x14ac:dyDescent="0.2">
      <c r="A205" t="s">
        <v>501</v>
      </c>
      <c r="B205" t="s">
        <v>502</v>
      </c>
      <c r="C205" t="s">
        <v>159</v>
      </c>
      <c r="D205" t="s">
        <v>56</v>
      </c>
      <c r="E205" s="1">
        <v>43322.699062500003</v>
      </c>
      <c r="F205" t="s">
        <v>138</v>
      </c>
      <c r="G205" t="s">
        <v>112</v>
      </c>
      <c r="H205" t="s">
        <v>20</v>
      </c>
      <c r="I205" t="b">
        <v>1</v>
      </c>
      <c r="J205" t="b">
        <v>1</v>
      </c>
      <c r="K205" t="s">
        <v>282</v>
      </c>
      <c r="L205" t="s">
        <v>21</v>
      </c>
      <c r="M205">
        <v>0</v>
      </c>
      <c r="N205">
        <v>0</v>
      </c>
      <c r="O205" t="str">
        <f>_xlfn.XLOOKUP(olist_closed_deals_dataset[[#This Row],[mql_id]], leads!A:A, leads!D:D, "Unknow" )</f>
        <v>paid_search</v>
      </c>
      <c r="P205" t="str">
        <f>IF(olist_closed_deals_dataset[[#This Row],[declared_monthly_revenue]] &gt;= 10000, "High Values ", IF(olist_closed_deals_dataset[[#This Row],[declared_monthly_revenue]] &gt; 0, "Stander ", "No Revenue " ))</f>
        <v xml:space="preserve">No Revenue </v>
      </c>
    </row>
    <row r="206" spans="1:16" x14ac:dyDescent="0.2">
      <c r="A206" t="s">
        <v>503</v>
      </c>
      <c r="B206" t="s">
        <v>504</v>
      </c>
      <c r="C206" t="s">
        <v>31</v>
      </c>
      <c r="D206" t="s">
        <v>52</v>
      </c>
      <c r="E206" s="1">
        <v>43276.779340277775</v>
      </c>
      <c r="F206" t="s">
        <v>68</v>
      </c>
      <c r="G206" t="s">
        <v>34</v>
      </c>
      <c r="H206" t="s">
        <v>43</v>
      </c>
      <c r="I206" t="s">
        <v>1796</v>
      </c>
      <c r="J206" t="s">
        <v>1796</v>
      </c>
      <c r="K206" t="s">
        <v>1796</v>
      </c>
      <c r="L206" t="s">
        <v>21</v>
      </c>
      <c r="M206">
        <v>0</v>
      </c>
      <c r="N206">
        <v>0</v>
      </c>
      <c r="O206" t="str">
        <f>_xlfn.XLOOKUP(olist_closed_deals_dataset[[#This Row],[mql_id]], leads!A:A, leads!D:D, "Unknow" )</f>
        <v>paid_search</v>
      </c>
      <c r="P206" t="str">
        <f>IF(olist_closed_deals_dataset[[#This Row],[declared_monthly_revenue]] &gt;= 10000, "High Values ", IF(olist_closed_deals_dataset[[#This Row],[declared_monthly_revenue]] &gt; 0, "Stander ", "No Revenue " ))</f>
        <v xml:space="preserve">No Revenue </v>
      </c>
    </row>
    <row r="207" spans="1:16" x14ac:dyDescent="0.2">
      <c r="A207" t="s">
        <v>505</v>
      </c>
      <c r="B207" t="s">
        <v>506</v>
      </c>
      <c r="C207" t="s">
        <v>16</v>
      </c>
      <c r="D207" t="s">
        <v>74</v>
      </c>
      <c r="E207" s="1">
        <v>43207.61923611111</v>
      </c>
      <c r="F207" t="s">
        <v>96</v>
      </c>
      <c r="G207" t="s">
        <v>39</v>
      </c>
      <c r="H207" t="s">
        <v>20</v>
      </c>
      <c r="I207" t="s">
        <v>1796</v>
      </c>
      <c r="J207" t="s">
        <v>1796</v>
      </c>
      <c r="K207" t="s">
        <v>1796</v>
      </c>
      <c r="L207" t="s">
        <v>21</v>
      </c>
      <c r="M207">
        <v>0</v>
      </c>
      <c r="N207">
        <v>0</v>
      </c>
      <c r="O207" t="str">
        <f>_xlfn.XLOOKUP(olist_closed_deals_dataset[[#This Row],[mql_id]], leads!A:A, leads!D:D, "Unknow" )</f>
        <v>social</v>
      </c>
      <c r="P207" t="str">
        <f>IF(olist_closed_deals_dataset[[#This Row],[declared_monthly_revenue]] &gt;= 10000, "High Values ", IF(olist_closed_deals_dataset[[#This Row],[declared_monthly_revenue]] &gt; 0, "Stander ", "No Revenue " ))</f>
        <v xml:space="preserve">No Revenue </v>
      </c>
    </row>
    <row r="208" spans="1:16" x14ac:dyDescent="0.2">
      <c r="A208" t="s">
        <v>507</v>
      </c>
      <c r="B208" t="s">
        <v>508</v>
      </c>
      <c r="C208" t="s">
        <v>509</v>
      </c>
      <c r="D208" t="s">
        <v>81</v>
      </c>
      <c r="E208" s="1">
        <v>43333.880208333336</v>
      </c>
      <c r="F208" t="s">
        <v>49</v>
      </c>
      <c r="G208" t="s">
        <v>19</v>
      </c>
      <c r="H208" t="s">
        <v>122</v>
      </c>
      <c r="I208" t="b">
        <v>1</v>
      </c>
      <c r="J208" t="b">
        <v>1</v>
      </c>
      <c r="K208" t="s">
        <v>199</v>
      </c>
      <c r="L208" t="s">
        <v>21</v>
      </c>
      <c r="M208">
        <v>500</v>
      </c>
      <c r="N208">
        <v>30000</v>
      </c>
      <c r="O208" t="str">
        <f>_xlfn.XLOOKUP(olist_closed_deals_dataset[[#This Row],[mql_id]], leads!A:A, leads!D:D, "Unknow" )</f>
        <v>paid_search</v>
      </c>
      <c r="P208" t="str">
        <f>IF(olist_closed_deals_dataset[[#This Row],[declared_monthly_revenue]] &gt;= 10000, "High Values ", IF(olist_closed_deals_dataset[[#This Row],[declared_monthly_revenue]] &gt; 0, "Stander ", "No Revenue " ))</f>
        <v xml:space="preserve">High Values </v>
      </c>
    </row>
    <row r="209" spans="1:16" x14ac:dyDescent="0.2">
      <c r="A209" t="s">
        <v>510</v>
      </c>
      <c r="B209" t="s">
        <v>511</v>
      </c>
      <c r="C209" t="s">
        <v>181</v>
      </c>
      <c r="D209" t="s">
        <v>17</v>
      </c>
      <c r="E209" s="1">
        <v>43311.854525462964</v>
      </c>
      <c r="F209" t="s">
        <v>26</v>
      </c>
      <c r="G209" t="s">
        <v>34</v>
      </c>
      <c r="H209" t="s">
        <v>225</v>
      </c>
      <c r="I209" t="b">
        <v>1</v>
      </c>
      <c r="J209" t="b">
        <v>1</v>
      </c>
      <c r="K209" t="s">
        <v>352</v>
      </c>
      <c r="L209" t="s">
        <v>21</v>
      </c>
      <c r="M209">
        <v>0</v>
      </c>
      <c r="N209">
        <v>0</v>
      </c>
      <c r="O209" t="str">
        <f>_xlfn.XLOOKUP(olist_closed_deals_dataset[[#This Row],[mql_id]], leads!A:A, leads!D:D, "Unknow" )</f>
        <v>organic_search</v>
      </c>
      <c r="P209" t="str">
        <f>IF(olist_closed_deals_dataset[[#This Row],[declared_monthly_revenue]] &gt;= 10000, "High Values ", IF(olist_closed_deals_dataset[[#This Row],[declared_monthly_revenue]] &gt; 0, "Stander ", "No Revenue " ))</f>
        <v xml:space="preserve">No Revenue </v>
      </c>
    </row>
    <row r="210" spans="1:16" x14ac:dyDescent="0.2">
      <c r="A210" t="s">
        <v>512</v>
      </c>
      <c r="B210" t="s">
        <v>513</v>
      </c>
      <c r="C210" t="s">
        <v>37</v>
      </c>
      <c r="D210" t="s">
        <v>17</v>
      </c>
      <c r="E210" s="1">
        <v>43138.86078703704</v>
      </c>
      <c r="F210" t="s">
        <v>68</v>
      </c>
      <c r="G210" t="s">
        <v>34</v>
      </c>
      <c r="H210" t="s">
        <v>1796</v>
      </c>
      <c r="I210" t="s">
        <v>1796</v>
      </c>
      <c r="J210" t="s">
        <v>1796</v>
      </c>
      <c r="K210" t="s">
        <v>1796</v>
      </c>
      <c r="L210" t="s">
        <v>44</v>
      </c>
      <c r="M210">
        <v>0</v>
      </c>
      <c r="N210">
        <v>0</v>
      </c>
      <c r="O210" t="str">
        <f>_xlfn.XLOOKUP(olist_closed_deals_dataset[[#This Row],[mql_id]], leads!A:A, leads!D:D, "Unknow" )</f>
        <v>organic_search</v>
      </c>
      <c r="P210" t="str">
        <f>IF(olist_closed_deals_dataset[[#This Row],[declared_monthly_revenue]] &gt;= 10000, "High Values ", IF(olist_closed_deals_dataset[[#This Row],[declared_monthly_revenue]] &gt; 0, "Stander ", "No Revenue " ))</f>
        <v xml:space="preserve">No Revenue </v>
      </c>
    </row>
    <row r="211" spans="1:16" x14ac:dyDescent="0.2">
      <c r="A211" t="s">
        <v>514</v>
      </c>
      <c r="B211" t="s">
        <v>515</v>
      </c>
      <c r="C211" t="s">
        <v>37</v>
      </c>
      <c r="D211" t="s">
        <v>32</v>
      </c>
      <c r="E211" s="1">
        <v>43157.673472222225</v>
      </c>
      <c r="F211" t="s">
        <v>49</v>
      </c>
      <c r="G211" t="s">
        <v>57</v>
      </c>
      <c r="H211" t="s">
        <v>28</v>
      </c>
      <c r="I211" t="s">
        <v>1796</v>
      </c>
      <c r="J211" t="s">
        <v>1796</v>
      </c>
      <c r="K211" t="s">
        <v>1796</v>
      </c>
      <c r="L211" t="s">
        <v>44</v>
      </c>
      <c r="M211">
        <v>0</v>
      </c>
      <c r="N211">
        <v>0</v>
      </c>
      <c r="O211" t="str">
        <f>_xlfn.XLOOKUP(olist_closed_deals_dataset[[#This Row],[mql_id]], leads!A:A, leads!D:D, "Unknow" )</f>
        <v>organic_search</v>
      </c>
      <c r="P211" t="str">
        <f>IF(olist_closed_deals_dataset[[#This Row],[declared_monthly_revenue]] &gt;= 10000, "High Values ", IF(olist_closed_deals_dataset[[#This Row],[declared_monthly_revenue]] &gt; 0, "Stander ", "No Revenue " ))</f>
        <v xml:space="preserve">No Revenue </v>
      </c>
    </row>
    <row r="212" spans="1:16" x14ac:dyDescent="0.2">
      <c r="A212" t="s">
        <v>516</v>
      </c>
      <c r="B212" t="s">
        <v>517</v>
      </c>
      <c r="C212" t="s">
        <v>24</v>
      </c>
      <c r="D212" t="s">
        <v>37</v>
      </c>
      <c r="E212" s="1">
        <v>43217.588425925926</v>
      </c>
      <c r="F212" t="s">
        <v>138</v>
      </c>
      <c r="G212" t="s">
        <v>57</v>
      </c>
      <c r="H212" t="s">
        <v>20</v>
      </c>
      <c r="I212" t="s">
        <v>1796</v>
      </c>
      <c r="J212" t="s">
        <v>1796</v>
      </c>
      <c r="K212" t="s">
        <v>1796</v>
      </c>
      <c r="L212" t="s">
        <v>21</v>
      </c>
      <c r="M212">
        <v>0</v>
      </c>
      <c r="N212">
        <v>0</v>
      </c>
      <c r="O212" t="str">
        <f>_xlfn.XLOOKUP(olist_closed_deals_dataset[[#This Row],[mql_id]], leads!A:A, leads!D:D, "Unknow" )</f>
        <v>email</v>
      </c>
      <c r="P212" t="str">
        <f>IF(olist_closed_deals_dataset[[#This Row],[declared_monthly_revenue]] &gt;= 10000, "High Values ", IF(olist_closed_deals_dataset[[#This Row],[declared_monthly_revenue]] &gt; 0, "Stander ", "No Revenue " ))</f>
        <v xml:space="preserve">No Revenue </v>
      </c>
    </row>
    <row r="213" spans="1:16" x14ac:dyDescent="0.2">
      <c r="A213" t="s">
        <v>518</v>
      </c>
      <c r="B213" t="s">
        <v>519</v>
      </c>
      <c r="C213" t="s">
        <v>141</v>
      </c>
      <c r="D213" t="s">
        <v>25</v>
      </c>
      <c r="E213" s="1">
        <v>43320.682303240741</v>
      </c>
      <c r="F213" t="s">
        <v>138</v>
      </c>
      <c r="G213" t="s">
        <v>19</v>
      </c>
      <c r="H213" t="s">
        <v>20</v>
      </c>
      <c r="I213" t="s">
        <v>1796</v>
      </c>
      <c r="J213" t="s">
        <v>1796</v>
      </c>
      <c r="K213" t="s">
        <v>1796</v>
      </c>
      <c r="L213" t="s">
        <v>21</v>
      </c>
      <c r="M213">
        <v>0</v>
      </c>
      <c r="N213">
        <v>0</v>
      </c>
      <c r="O213" t="str">
        <f>_xlfn.XLOOKUP(olist_closed_deals_dataset[[#This Row],[mql_id]], leads!A:A, leads!D:D, "Unknow" )</f>
        <v>organic_search</v>
      </c>
      <c r="P213" t="str">
        <f>IF(olist_closed_deals_dataset[[#This Row],[declared_monthly_revenue]] &gt;= 10000, "High Values ", IF(olist_closed_deals_dataset[[#This Row],[declared_monthly_revenue]] &gt; 0, "Stander ", "No Revenue " ))</f>
        <v xml:space="preserve">No Revenue </v>
      </c>
    </row>
    <row r="214" spans="1:16" x14ac:dyDescent="0.2">
      <c r="A214" t="s">
        <v>520</v>
      </c>
      <c r="B214" t="s">
        <v>521</v>
      </c>
      <c r="C214" t="s">
        <v>56</v>
      </c>
      <c r="D214" t="s">
        <v>74</v>
      </c>
      <c r="E214" s="1">
        <v>43269.577523148146</v>
      </c>
      <c r="F214" t="s">
        <v>92</v>
      </c>
      <c r="G214" t="s">
        <v>57</v>
      </c>
      <c r="H214" t="s">
        <v>28</v>
      </c>
      <c r="I214" t="s">
        <v>1796</v>
      </c>
      <c r="J214" t="s">
        <v>1796</v>
      </c>
      <c r="K214" t="s">
        <v>1796</v>
      </c>
      <c r="L214" t="s">
        <v>21</v>
      </c>
      <c r="M214">
        <v>0</v>
      </c>
      <c r="N214">
        <v>0</v>
      </c>
      <c r="O214" t="str">
        <f>_xlfn.XLOOKUP(olist_closed_deals_dataset[[#This Row],[mql_id]], leads!A:A, leads!D:D, "Unknow" )</f>
        <v>organic_search</v>
      </c>
      <c r="P214" t="str">
        <f>IF(olist_closed_deals_dataset[[#This Row],[declared_monthly_revenue]] &gt;= 10000, "High Values ", IF(olist_closed_deals_dataset[[#This Row],[declared_monthly_revenue]] &gt; 0, "Stander ", "No Revenue " ))</f>
        <v xml:space="preserve">No Revenue </v>
      </c>
    </row>
    <row r="215" spans="1:16" x14ac:dyDescent="0.2">
      <c r="A215" t="s">
        <v>522</v>
      </c>
      <c r="B215" t="s">
        <v>523</v>
      </c>
      <c r="C215" t="s">
        <v>81</v>
      </c>
      <c r="D215" t="s">
        <v>52</v>
      </c>
      <c r="E215" s="1">
        <v>43181.889374999999</v>
      </c>
      <c r="F215" t="s">
        <v>68</v>
      </c>
      <c r="G215" t="s">
        <v>27</v>
      </c>
      <c r="H215" t="s">
        <v>122</v>
      </c>
      <c r="I215" t="s">
        <v>1796</v>
      </c>
      <c r="J215" t="s">
        <v>1796</v>
      </c>
      <c r="K215" t="s">
        <v>1796</v>
      </c>
      <c r="L215" t="s">
        <v>21</v>
      </c>
      <c r="M215">
        <v>0</v>
      </c>
      <c r="N215">
        <v>0</v>
      </c>
      <c r="O215" t="str">
        <f>_xlfn.XLOOKUP(olist_closed_deals_dataset[[#This Row],[mql_id]], leads!A:A, leads!D:D, "Unknow" )</f>
        <v>paid_search</v>
      </c>
      <c r="P215" t="str">
        <f>IF(olist_closed_deals_dataset[[#This Row],[declared_monthly_revenue]] &gt;= 10000, "High Values ", IF(olist_closed_deals_dataset[[#This Row],[declared_monthly_revenue]] &gt; 0, "Stander ", "No Revenue " ))</f>
        <v xml:space="preserve">No Revenue </v>
      </c>
    </row>
    <row r="216" spans="1:16" x14ac:dyDescent="0.2">
      <c r="A216" t="s">
        <v>524</v>
      </c>
      <c r="B216" t="s">
        <v>525</v>
      </c>
      <c r="C216" t="s">
        <v>37</v>
      </c>
      <c r="D216" t="s">
        <v>52</v>
      </c>
      <c r="E216" s="1">
        <v>43166.922592592593</v>
      </c>
      <c r="F216" t="s">
        <v>26</v>
      </c>
      <c r="G216" t="s">
        <v>34</v>
      </c>
      <c r="H216" t="s">
        <v>20</v>
      </c>
      <c r="I216" t="s">
        <v>1796</v>
      </c>
      <c r="J216" t="s">
        <v>1796</v>
      </c>
      <c r="K216" t="s">
        <v>1796</v>
      </c>
      <c r="L216" t="s">
        <v>21</v>
      </c>
      <c r="M216">
        <v>0</v>
      </c>
      <c r="N216">
        <v>0</v>
      </c>
      <c r="O216" t="str">
        <f>_xlfn.XLOOKUP(olist_closed_deals_dataset[[#This Row],[mql_id]], leads!A:A, leads!D:D, "Unknow" )</f>
        <v>unknown</v>
      </c>
      <c r="P216" t="str">
        <f>IF(olist_closed_deals_dataset[[#This Row],[declared_monthly_revenue]] &gt;= 10000, "High Values ", IF(olist_closed_deals_dataset[[#This Row],[declared_monthly_revenue]] &gt; 0, "Stander ", "No Revenue " ))</f>
        <v xml:space="preserve">No Revenue </v>
      </c>
    </row>
    <row r="217" spans="1:16" x14ac:dyDescent="0.2">
      <c r="A217" t="s">
        <v>526</v>
      </c>
      <c r="B217" t="s">
        <v>527</v>
      </c>
      <c r="C217" t="s">
        <v>64</v>
      </c>
      <c r="D217" t="s">
        <v>71</v>
      </c>
      <c r="E217" s="1">
        <v>43201.847094907411</v>
      </c>
      <c r="F217" t="s">
        <v>26</v>
      </c>
      <c r="G217" t="s">
        <v>57</v>
      </c>
      <c r="H217" t="s">
        <v>20</v>
      </c>
      <c r="I217" t="s">
        <v>1796</v>
      </c>
      <c r="J217" t="s">
        <v>1796</v>
      </c>
      <c r="K217" t="s">
        <v>1796</v>
      </c>
      <c r="L217" t="s">
        <v>21</v>
      </c>
      <c r="M217">
        <v>0</v>
      </c>
      <c r="N217">
        <v>0</v>
      </c>
      <c r="O217" t="str">
        <f>_xlfn.XLOOKUP(olist_closed_deals_dataset[[#This Row],[mql_id]], leads!A:A, leads!D:D, "Unknow" )</f>
        <v>organic_search</v>
      </c>
      <c r="P217" t="str">
        <f>IF(olist_closed_deals_dataset[[#This Row],[declared_monthly_revenue]] &gt;= 10000, "High Values ", IF(olist_closed_deals_dataset[[#This Row],[declared_monthly_revenue]] &gt; 0, "Stander ", "No Revenue " ))</f>
        <v xml:space="preserve">No Revenue </v>
      </c>
    </row>
    <row r="218" spans="1:16" x14ac:dyDescent="0.2">
      <c r="A218" t="s">
        <v>528</v>
      </c>
      <c r="B218" t="s">
        <v>529</v>
      </c>
      <c r="C218" t="s">
        <v>42</v>
      </c>
      <c r="D218" t="s">
        <v>102</v>
      </c>
      <c r="E218" s="1">
        <v>43158.729421296295</v>
      </c>
      <c r="F218" t="s">
        <v>111</v>
      </c>
      <c r="G218" t="s">
        <v>19</v>
      </c>
      <c r="H218" t="s">
        <v>28</v>
      </c>
      <c r="I218" t="s">
        <v>1796</v>
      </c>
      <c r="J218" t="s">
        <v>1796</v>
      </c>
      <c r="K218" t="s">
        <v>1796</v>
      </c>
      <c r="L218" t="s">
        <v>21</v>
      </c>
      <c r="M218">
        <v>0</v>
      </c>
      <c r="N218">
        <v>0</v>
      </c>
      <c r="O218" t="str">
        <f>_xlfn.XLOOKUP(olist_closed_deals_dataset[[#This Row],[mql_id]], leads!A:A, leads!D:D, "Unknow" )</f>
        <v>paid_search</v>
      </c>
      <c r="P218" t="str">
        <f>IF(olist_closed_deals_dataset[[#This Row],[declared_monthly_revenue]] &gt;= 10000, "High Values ", IF(olist_closed_deals_dataset[[#This Row],[declared_monthly_revenue]] &gt; 0, "Stander ", "No Revenue " ))</f>
        <v xml:space="preserve">No Revenue </v>
      </c>
    </row>
    <row r="219" spans="1:16" x14ac:dyDescent="0.2">
      <c r="A219" t="s">
        <v>530</v>
      </c>
      <c r="B219" t="s">
        <v>531</v>
      </c>
      <c r="C219" t="s">
        <v>16</v>
      </c>
      <c r="D219" t="s">
        <v>25</v>
      </c>
      <c r="E219" s="1">
        <v>43178.790821759256</v>
      </c>
      <c r="F219" t="s">
        <v>61</v>
      </c>
      <c r="G219" t="s">
        <v>34</v>
      </c>
      <c r="H219" t="s">
        <v>1796</v>
      </c>
      <c r="I219" t="s">
        <v>1796</v>
      </c>
      <c r="J219" t="s">
        <v>1796</v>
      </c>
      <c r="K219" t="s">
        <v>1796</v>
      </c>
      <c r="L219" t="s">
        <v>21</v>
      </c>
      <c r="M219">
        <v>0</v>
      </c>
      <c r="N219">
        <v>0</v>
      </c>
      <c r="O219" t="str">
        <f>_xlfn.XLOOKUP(olist_closed_deals_dataset[[#This Row],[mql_id]], leads!A:A, leads!D:D, "Unknow" )</f>
        <v>organic_search</v>
      </c>
      <c r="P219" t="str">
        <f>IF(olist_closed_deals_dataset[[#This Row],[declared_monthly_revenue]] &gt;= 10000, "High Values ", IF(olist_closed_deals_dataset[[#This Row],[declared_monthly_revenue]] &gt; 0, "Stander ", "No Revenue " ))</f>
        <v xml:space="preserve">No Revenue </v>
      </c>
    </row>
    <row r="220" spans="1:16" x14ac:dyDescent="0.2">
      <c r="A220" t="s">
        <v>532</v>
      </c>
      <c r="B220" t="s">
        <v>533</v>
      </c>
      <c r="C220" t="s">
        <v>60</v>
      </c>
      <c r="D220" t="s">
        <v>71</v>
      </c>
      <c r="E220" s="1">
        <v>43231.59920138889</v>
      </c>
      <c r="F220" t="s">
        <v>26</v>
      </c>
      <c r="G220" t="s">
        <v>57</v>
      </c>
      <c r="H220" t="s">
        <v>20</v>
      </c>
      <c r="I220" t="s">
        <v>1796</v>
      </c>
      <c r="J220" t="s">
        <v>1796</v>
      </c>
      <c r="K220" t="s">
        <v>1796</v>
      </c>
      <c r="L220" t="s">
        <v>21</v>
      </c>
      <c r="M220">
        <v>0</v>
      </c>
      <c r="N220">
        <v>0</v>
      </c>
      <c r="O220" t="str">
        <f>_xlfn.XLOOKUP(olist_closed_deals_dataset[[#This Row],[mql_id]], leads!A:A, leads!D:D, "Unknow" )</f>
        <v>organic_search</v>
      </c>
      <c r="P220" t="str">
        <f>IF(olist_closed_deals_dataset[[#This Row],[declared_monthly_revenue]] &gt;= 10000, "High Values ", IF(olist_closed_deals_dataset[[#This Row],[declared_monthly_revenue]] &gt; 0, "Stander ", "No Revenue " ))</f>
        <v xml:space="preserve">No Revenue </v>
      </c>
    </row>
    <row r="221" spans="1:16" x14ac:dyDescent="0.2">
      <c r="A221" t="s">
        <v>534</v>
      </c>
      <c r="B221" t="s">
        <v>535</v>
      </c>
      <c r="C221" t="s">
        <v>81</v>
      </c>
      <c r="D221" t="s">
        <v>71</v>
      </c>
      <c r="E221" s="1">
        <v>43200.763888888891</v>
      </c>
      <c r="F221" t="s">
        <v>61</v>
      </c>
      <c r="G221" t="s">
        <v>99</v>
      </c>
      <c r="H221" t="s">
        <v>20</v>
      </c>
      <c r="I221" t="s">
        <v>1796</v>
      </c>
      <c r="J221" t="s">
        <v>1796</v>
      </c>
      <c r="K221" t="s">
        <v>1796</v>
      </c>
      <c r="L221" t="s">
        <v>21</v>
      </c>
      <c r="M221">
        <v>0</v>
      </c>
      <c r="N221">
        <v>0</v>
      </c>
      <c r="O221" t="str">
        <f>_xlfn.XLOOKUP(olist_closed_deals_dataset[[#This Row],[mql_id]], leads!A:A, leads!D:D, "Unknow" )</f>
        <v>organic_search</v>
      </c>
      <c r="P221" t="str">
        <f>IF(olist_closed_deals_dataset[[#This Row],[declared_monthly_revenue]] &gt;= 10000, "High Values ", IF(olist_closed_deals_dataset[[#This Row],[declared_monthly_revenue]] &gt; 0, "Stander ", "No Revenue " ))</f>
        <v xml:space="preserve">No Revenue </v>
      </c>
    </row>
    <row r="222" spans="1:16" x14ac:dyDescent="0.2">
      <c r="A222" t="s">
        <v>536</v>
      </c>
      <c r="B222" t="s">
        <v>537</v>
      </c>
      <c r="C222" t="s">
        <v>37</v>
      </c>
      <c r="D222" t="s">
        <v>71</v>
      </c>
      <c r="E222" s="1">
        <v>43171.889456018522</v>
      </c>
      <c r="F222" t="s">
        <v>49</v>
      </c>
      <c r="G222" t="s">
        <v>19</v>
      </c>
      <c r="H222" t="s">
        <v>20</v>
      </c>
      <c r="I222" t="s">
        <v>1796</v>
      </c>
      <c r="J222" t="s">
        <v>1796</v>
      </c>
      <c r="K222" t="s">
        <v>1796</v>
      </c>
      <c r="L222" t="s">
        <v>21</v>
      </c>
      <c r="M222">
        <v>0</v>
      </c>
      <c r="N222">
        <v>0</v>
      </c>
      <c r="O222" t="str">
        <f>_xlfn.XLOOKUP(olist_closed_deals_dataset[[#This Row],[mql_id]], leads!A:A, leads!D:D, "Unknow" )</f>
        <v>paid_search</v>
      </c>
      <c r="P222" t="str">
        <f>IF(olist_closed_deals_dataset[[#This Row],[declared_monthly_revenue]] &gt;= 10000, "High Values ", IF(olist_closed_deals_dataset[[#This Row],[declared_monthly_revenue]] &gt; 0, "Stander ", "No Revenue " ))</f>
        <v xml:space="preserve">No Revenue </v>
      </c>
    </row>
    <row r="223" spans="1:16" x14ac:dyDescent="0.2">
      <c r="A223" t="s">
        <v>538</v>
      </c>
      <c r="B223" t="s">
        <v>539</v>
      </c>
      <c r="C223" t="s">
        <v>64</v>
      </c>
      <c r="D223" t="s">
        <v>81</v>
      </c>
      <c r="E223" s="1">
        <v>43376.52008101852</v>
      </c>
      <c r="F223" t="s">
        <v>61</v>
      </c>
      <c r="G223" t="s">
        <v>39</v>
      </c>
      <c r="H223" t="s">
        <v>28</v>
      </c>
      <c r="I223" t="s">
        <v>1796</v>
      </c>
      <c r="J223" t="s">
        <v>1796</v>
      </c>
      <c r="K223" t="s">
        <v>142</v>
      </c>
      <c r="L223" t="s">
        <v>44</v>
      </c>
      <c r="M223">
        <v>4</v>
      </c>
      <c r="N223">
        <v>0</v>
      </c>
      <c r="O223" t="str">
        <f>_xlfn.XLOOKUP(olist_closed_deals_dataset[[#This Row],[mql_id]], leads!A:A, leads!D:D, "Unknow" )</f>
        <v>paid_search</v>
      </c>
      <c r="P223" t="str">
        <f>IF(olist_closed_deals_dataset[[#This Row],[declared_monthly_revenue]] &gt;= 10000, "High Values ", IF(olist_closed_deals_dataset[[#This Row],[declared_monthly_revenue]] &gt; 0, "Stander ", "No Revenue " ))</f>
        <v xml:space="preserve">No Revenue </v>
      </c>
    </row>
    <row r="224" spans="1:16" x14ac:dyDescent="0.2">
      <c r="A224" t="s">
        <v>540</v>
      </c>
      <c r="B224" t="s">
        <v>541</v>
      </c>
      <c r="C224" t="s">
        <v>47</v>
      </c>
      <c r="D224" t="s">
        <v>95</v>
      </c>
      <c r="E224" s="1">
        <v>43112.083333333336</v>
      </c>
      <c r="F224" t="s">
        <v>96</v>
      </c>
      <c r="G224" t="s">
        <v>19</v>
      </c>
      <c r="H224" t="s">
        <v>1796</v>
      </c>
      <c r="I224" t="s">
        <v>1796</v>
      </c>
      <c r="J224" t="s">
        <v>1796</v>
      </c>
      <c r="K224" t="s">
        <v>1796</v>
      </c>
      <c r="L224" t="s">
        <v>44</v>
      </c>
      <c r="M224">
        <v>0</v>
      </c>
      <c r="N224">
        <v>0</v>
      </c>
      <c r="O224" t="str">
        <f>_xlfn.XLOOKUP(olist_closed_deals_dataset[[#This Row],[mql_id]], leads!A:A, leads!D:D, "Unknow" )</f>
        <v>social</v>
      </c>
      <c r="P224" t="str">
        <f>IF(olist_closed_deals_dataset[[#This Row],[declared_monthly_revenue]] &gt;= 10000, "High Values ", IF(olist_closed_deals_dataset[[#This Row],[declared_monthly_revenue]] &gt; 0, "Stander ", "No Revenue " ))</f>
        <v xml:space="preserve">No Revenue </v>
      </c>
    </row>
    <row r="225" spans="1:16" x14ac:dyDescent="0.2">
      <c r="A225" t="s">
        <v>542</v>
      </c>
      <c r="B225" t="s">
        <v>543</v>
      </c>
      <c r="C225" t="s">
        <v>24</v>
      </c>
      <c r="D225" t="s">
        <v>52</v>
      </c>
      <c r="E225" s="1">
        <v>43255.58</v>
      </c>
      <c r="F225" t="s">
        <v>38</v>
      </c>
      <c r="G225" t="s">
        <v>27</v>
      </c>
      <c r="H225" t="s">
        <v>20</v>
      </c>
      <c r="I225" t="s">
        <v>1796</v>
      </c>
      <c r="J225" t="s">
        <v>1796</v>
      </c>
      <c r="K225" t="s">
        <v>1796</v>
      </c>
      <c r="L225" t="s">
        <v>44</v>
      </c>
      <c r="M225">
        <v>0</v>
      </c>
      <c r="N225">
        <v>0</v>
      </c>
      <c r="O225" t="str">
        <f>_xlfn.XLOOKUP(olist_closed_deals_dataset[[#This Row],[mql_id]], leads!A:A, leads!D:D, "Unknow" )</f>
        <v>referral</v>
      </c>
      <c r="P225" t="str">
        <f>IF(olist_closed_deals_dataset[[#This Row],[declared_monthly_revenue]] &gt;= 10000, "High Values ", IF(olist_closed_deals_dataset[[#This Row],[declared_monthly_revenue]] &gt; 0, "Stander ", "No Revenue " ))</f>
        <v xml:space="preserve">No Revenue </v>
      </c>
    </row>
    <row r="226" spans="1:16" x14ac:dyDescent="0.2">
      <c r="A226" t="s">
        <v>544</v>
      </c>
      <c r="B226" t="s">
        <v>545</v>
      </c>
      <c r="C226" t="s">
        <v>42</v>
      </c>
      <c r="D226" t="s">
        <v>181</v>
      </c>
      <c r="E226" s="1">
        <v>43356.125</v>
      </c>
      <c r="F226" t="s">
        <v>68</v>
      </c>
      <c r="G226" t="s">
        <v>27</v>
      </c>
      <c r="H226" t="s">
        <v>43</v>
      </c>
      <c r="I226" t="b">
        <v>1</v>
      </c>
      <c r="J226" t="b">
        <v>0</v>
      </c>
      <c r="K226" t="s">
        <v>352</v>
      </c>
      <c r="L226" t="s">
        <v>44</v>
      </c>
      <c r="M226">
        <v>100</v>
      </c>
      <c r="N226">
        <v>0</v>
      </c>
      <c r="O226" t="str">
        <f>_xlfn.XLOOKUP(olist_closed_deals_dataset[[#This Row],[mql_id]], leads!A:A, leads!D:D, "Unknow" )</f>
        <v>social</v>
      </c>
      <c r="P226" t="str">
        <f>IF(olist_closed_deals_dataset[[#This Row],[declared_monthly_revenue]] &gt;= 10000, "High Values ", IF(olist_closed_deals_dataset[[#This Row],[declared_monthly_revenue]] &gt; 0, "Stander ", "No Revenue " ))</f>
        <v xml:space="preserve">No Revenue </v>
      </c>
    </row>
    <row r="227" spans="1:16" x14ac:dyDescent="0.2">
      <c r="A227" t="s">
        <v>546</v>
      </c>
      <c r="B227" t="s">
        <v>547</v>
      </c>
      <c r="C227" t="s">
        <v>81</v>
      </c>
      <c r="D227" t="s">
        <v>102</v>
      </c>
      <c r="E227" s="1">
        <v>43131.679710648146</v>
      </c>
      <c r="F227" t="s">
        <v>108</v>
      </c>
      <c r="G227" t="s">
        <v>99</v>
      </c>
      <c r="H227" t="s">
        <v>1796</v>
      </c>
      <c r="I227" t="s">
        <v>1796</v>
      </c>
      <c r="J227" t="s">
        <v>1796</v>
      </c>
      <c r="K227" t="s">
        <v>1796</v>
      </c>
      <c r="L227" t="s">
        <v>21</v>
      </c>
      <c r="M227">
        <v>0</v>
      </c>
      <c r="N227">
        <v>0</v>
      </c>
      <c r="O227" t="str">
        <f>_xlfn.XLOOKUP(olist_closed_deals_dataset[[#This Row],[mql_id]], leads!A:A, leads!D:D, "Unknow" )</f>
        <v>paid_search</v>
      </c>
      <c r="P227" t="str">
        <f>IF(olist_closed_deals_dataset[[#This Row],[declared_monthly_revenue]] &gt;= 10000, "High Values ", IF(olist_closed_deals_dataset[[#This Row],[declared_monthly_revenue]] &gt; 0, "Stander ", "No Revenue " ))</f>
        <v xml:space="preserve">No Revenue </v>
      </c>
    </row>
    <row r="228" spans="1:16" x14ac:dyDescent="0.2">
      <c r="A228" t="s">
        <v>548</v>
      </c>
      <c r="B228" t="s">
        <v>549</v>
      </c>
      <c r="C228" t="s">
        <v>81</v>
      </c>
      <c r="D228" t="s">
        <v>95</v>
      </c>
      <c r="E228" s="1">
        <v>43133.547349537039</v>
      </c>
      <c r="F228" t="s">
        <v>49</v>
      </c>
      <c r="G228" t="s">
        <v>34</v>
      </c>
      <c r="H228" t="s">
        <v>1796</v>
      </c>
      <c r="I228" t="s">
        <v>1796</v>
      </c>
      <c r="J228" t="s">
        <v>1796</v>
      </c>
      <c r="K228" t="s">
        <v>1796</v>
      </c>
      <c r="L228" t="s">
        <v>44</v>
      </c>
      <c r="M228">
        <v>0</v>
      </c>
      <c r="N228">
        <v>0</v>
      </c>
      <c r="O228" t="str">
        <f>_xlfn.XLOOKUP(olist_closed_deals_dataset[[#This Row],[mql_id]], leads!A:A, leads!D:D, "Unknow" )</f>
        <v>direct_traffic</v>
      </c>
      <c r="P228" t="str">
        <f>IF(olist_closed_deals_dataset[[#This Row],[declared_monthly_revenue]] &gt;= 10000, "High Values ", IF(olist_closed_deals_dataset[[#This Row],[declared_monthly_revenue]] &gt; 0, "Stander ", "No Revenue " ))</f>
        <v xml:space="preserve">No Revenue </v>
      </c>
    </row>
    <row r="229" spans="1:16" x14ac:dyDescent="0.2">
      <c r="A229" t="s">
        <v>550</v>
      </c>
      <c r="B229" t="s">
        <v>551</v>
      </c>
      <c r="C229" t="s">
        <v>64</v>
      </c>
      <c r="D229" t="s">
        <v>48</v>
      </c>
      <c r="E229" s="1">
        <v>43264.692847222221</v>
      </c>
      <c r="F229" t="s">
        <v>68</v>
      </c>
      <c r="G229" t="s">
        <v>27</v>
      </c>
      <c r="H229" t="s">
        <v>20</v>
      </c>
      <c r="I229" t="s">
        <v>1796</v>
      </c>
      <c r="J229" t="s">
        <v>1796</v>
      </c>
      <c r="K229" t="s">
        <v>1796</v>
      </c>
      <c r="L229" t="s">
        <v>21</v>
      </c>
      <c r="M229">
        <v>0</v>
      </c>
      <c r="N229">
        <v>0</v>
      </c>
      <c r="O229" t="str">
        <f>_xlfn.XLOOKUP(olist_closed_deals_dataset[[#This Row],[mql_id]], leads!A:A, leads!D:D, "Unknow" )</f>
        <v>unknown</v>
      </c>
      <c r="P229" t="str">
        <f>IF(olist_closed_deals_dataset[[#This Row],[declared_monthly_revenue]] &gt;= 10000, "High Values ", IF(olist_closed_deals_dataset[[#This Row],[declared_monthly_revenue]] &gt; 0, "Stander ", "No Revenue " ))</f>
        <v xml:space="preserve">No Revenue </v>
      </c>
    </row>
    <row r="230" spans="1:16" x14ac:dyDescent="0.2">
      <c r="A230" t="s">
        <v>552</v>
      </c>
      <c r="B230" t="s">
        <v>553</v>
      </c>
      <c r="C230" t="s">
        <v>56</v>
      </c>
      <c r="D230" t="s">
        <v>71</v>
      </c>
      <c r="E230" s="1">
        <v>43236.742013888892</v>
      </c>
      <c r="F230" t="s">
        <v>49</v>
      </c>
      <c r="G230" t="s">
        <v>39</v>
      </c>
      <c r="H230" t="s">
        <v>20</v>
      </c>
      <c r="I230" t="s">
        <v>1796</v>
      </c>
      <c r="J230" t="s">
        <v>1796</v>
      </c>
      <c r="K230" t="s">
        <v>1796</v>
      </c>
      <c r="L230" t="s">
        <v>21</v>
      </c>
      <c r="M230">
        <v>0</v>
      </c>
      <c r="N230">
        <v>0</v>
      </c>
      <c r="O230" t="str">
        <f>_xlfn.XLOOKUP(olist_closed_deals_dataset[[#This Row],[mql_id]], leads!A:A, leads!D:D, "Unknow" )</f>
        <v>paid_search</v>
      </c>
      <c r="P230" t="str">
        <f>IF(olist_closed_deals_dataset[[#This Row],[declared_monthly_revenue]] &gt;= 10000, "High Values ", IF(olist_closed_deals_dataset[[#This Row],[declared_monthly_revenue]] &gt; 0, "Stander ", "No Revenue " ))</f>
        <v xml:space="preserve">No Revenue </v>
      </c>
    </row>
    <row r="231" spans="1:16" x14ac:dyDescent="0.2">
      <c r="A231" t="s">
        <v>554</v>
      </c>
      <c r="B231" t="s">
        <v>555</v>
      </c>
      <c r="C231" t="s">
        <v>31</v>
      </c>
      <c r="D231" t="s">
        <v>52</v>
      </c>
      <c r="E231" s="1">
        <v>43245.692326388889</v>
      </c>
      <c r="F231" t="s">
        <v>92</v>
      </c>
      <c r="G231" t="s">
        <v>39</v>
      </c>
      <c r="H231" t="s">
        <v>28</v>
      </c>
      <c r="I231" t="s">
        <v>1796</v>
      </c>
      <c r="J231" t="s">
        <v>1796</v>
      </c>
      <c r="K231" t="s">
        <v>1796</v>
      </c>
      <c r="L231" t="s">
        <v>44</v>
      </c>
      <c r="M231">
        <v>0</v>
      </c>
      <c r="N231">
        <v>0</v>
      </c>
      <c r="O231" t="str">
        <f>_xlfn.XLOOKUP(olist_closed_deals_dataset[[#This Row],[mql_id]], leads!A:A, leads!D:D, "Unknow" )</f>
        <v>paid_search</v>
      </c>
      <c r="P231" t="str">
        <f>IF(olist_closed_deals_dataset[[#This Row],[declared_monthly_revenue]] &gt;= 10000, "High Values ", IF(olist_closed_deals_dataset[[#This Row],[declared_monthly_revenue]] &gt; 0, "Stander ", "No Revenue " ))</f>
        <v xml:space="preserve">No Revenue </v>
      </c>
    </row>
    <row r="232" spans="1:16" x14ac:dyDescent="0.2">
      <c r="A232" t="s">
        <v>556</v>
      </c>
      <c r="B232" t="s">
        <v>557</v>
      </c>
      <c r="C232" t="s">
        <v>71</v>
      </c>
      <c r="D232" t="s">
        <v>25</v>
      </c>
      <c r="E232" s="1">
        <v>43256.907893518517</v>
      </c>
      <c r="F232" t="s">
        <v>204</v>
      </c>
      <c r="G232" t="s">
        <v>19</v>
      </c>
      <c r="H232" t="s">
        <v>1796</v>
      </c>
      <c r="I232" t="s">
        <v>1796</v>
      </c>
      <c r="J232" t="s">
        <v>1796</v>
      </c>
      <c r="K232" t="s">
        <v>1796</v>
      </c>
      <c r="L232" t="s">
        <v>44</v>
      </c>
      <c r="M232">
        <v>0</v>
      </c>
      <c r="N232">
        <v>0</v>
      </c>
      <c r="O232" t="str">
        <f>_xlfn.XLOOKUP(olist_closed_deals_dataset[[#This Row],[mql_id]], leads!A:A, leads!D:D, "Unknow" )</f>
        <v>unknown</v>
      </c>
      <c r="P232" t="str">
        <f>IF(olist_closed_deals_dataset[[#This Row],[declared_monthly_revenue]] &gt;= 10000, "High Values ", IF(olist_closed_deals_dataset[[#This Row],[declared_monthly_revenue]] &gt; 0, "Stander ", "No Revenue " ))</f>
        <v xml:space="preserve">No Revenue </v>
      </c>
    </row>
    <row r="233" spans="1:16" x14ac:dyDescent="0.2">
      <c r="A233" t="s">
        <v>558</v>
      </c>
      <c r="B233" t="s">
        <v>559</v>
      </c>
      <c r="C233" t="s">
        <v>60</v>
      </c>
      <c r="D233" t="s">
        <v>95</v>
      </c>
      <c r="E233" s="1">
        <v>43262.525127314817</v>
      </c>
      <c r="F233" t="s">
        <v>38</v>
      </c>
      <c r="G233" t="s">
        <v>27</v>
      </c>
      <c r="H233" t="s">
        <v>20</v>
      </c>
      <c r="I233" t="s">
        <v>1796</v>
      </c>
      <c r="J233" t="s">
        <v>1796</v>
      </c>
      <c r="K233" t="s">
        <v>1796</v>
      </c>
      <c r="L233" t="s">
        <v>44</v>
      </c>
      <c r="M233">
        <v>0</v>
      </c>
      <c r="N233">
        <v>0</v>
      </c>
      <c r="O233" t="str">
        <f>_xlfn.XLOOKUP(olist_closed_deals_dataset[[#This Row],[mql_id]], leads!A:A, leads!D:D, "Unknow" )</f>
        <v>organic_search</v>
      </c>
      <c r="P233" t="str">
        <f>IF(olist_closed_deals_dataset[[#This Row],[declared_monthly_revenue]] &gt;= 10000, "High Values ", IF(olist_closed_deals_dataset[[#This Row],[declared_monthly_revenue]] &gt; 0, "Stander ", "No Revenue " ))</f>
        <v xml:space="preserve">No Revenue </v>
      </c>
    </row>
    <row r="234" spans="1:16" x14ac:dyDescent="0.2">
      <c r="A234" t="s">
        <v>560</v>
      </c>
      <c r="B234" t="s">
        <v>561</v>
      </c>
      <c r="C234" t="s">
        <v>42</v>
      </c>
      <c r="D234" t="s">
        <v>17</v>
      </c>
      <c r="E234" s="1">
        <v>43136.775451388887</v>
      </c>
      <c r="F234" t="s">
        <v>111</v>
      </c>
      <c r="G234" t="s">
        <v>39</v>
      </c>
      <c r="H234" t="s">
        <v>1796</v>
      </c>
      <c r="I234" t="s">
        <v>1796</v>
      </c>
      <c r="J234" t="s">
        <v>1796</v>
      </c>
      <c r="K234" t="s">
        <v>1796</v>
      </c>
      <c r="L234" t="s">
        <v>21</v>
      </c>
      <c r="M234">
        <v>0</v>
      </c>
      <c r="N234">
        <v>0</v>
      </c>
      <c r="O234" t="str">
        <f>_xlfn.XLOOKUP(olist_closed_deals_dataset[[#This Row],[mql_id]], leads!A:A, leads!D:D, "Unknow" )</f>
        <v>unknown</v>
      </c>
      <c r="P234" t="str">
        <f>IF(olist_closed_deals_dataset[[#This Row],[declared_monthly_revenue]] &gt;= 10000, "High Values ", IF(olist_closed_deals_dataset[[#This Row],[declared_monthly_revenue]] &gt; 0, "Stander ", "No Revenue " ))</f>
        <v xml:space="preserve">No Revenue </v>
      </c>
    </row>
    <row r="235" spans="1:16" x14ac:dyDescent="0.2">
      <c r="A235" t="s">
        <v>562</v>
      </c>
      <c r="B235" t="s">
        <v>563</v>
      </c>
      <c r="C235" t="s">
        <v>71</v>
      </c>
      <c r="D235" t="s">
        <v>102</v>
      </c>
      <c r="E235" s="1">
        <v>43146.764907407407</v>
      </c>
      <c r="F235" t="s">
        <v>26</v>
      </c>
      <c r="G235" t="s">
        <v>57</v>
      </c>
      <c r="H235" t="s">
        <v>20</v>
      </c>
      <c r="I235" t="s">
        <v>1796</v>
      </c>
      <c r="J235" t="s">
        <v>1796</v>
      </c>
      <c r="K235" t="s">
        <v>1796</v>
      </c>
      <c r="L235" t="s">
        <v>21</v>
      </c>
      <c r="M235">
        <v>0</v>
      </c>
      <c r="N235">
        <v>0</v>
      </c>
      <c r="O235" t="str">
        <f>_xlfn.XLOOKUP(olist_closed_deals_dataset[[#This Row],[mql_id]], leads!A:A, leads!D:D, "Unknow" )</f>
        <v>paid_search</v>
      </c>
      <c r="P235" t="str">
        <f>IF(olist_closed_deals_dataset[[#This Row],[declared_monthly_revenue]] &gt;= 10000, "High Values ", IF(olist_closed_deals_dataset[[#This Row],[declared_monthly_revenue]] &gt; 0, "Stander ", "No Revenue " ))</f>
        <v xml:space="preserve">No Revenue </v>
      </c>
    </row>
    <row r="236" spans="1:16" x14ac:dyDescent="0.2">
      <c r="A236" t="s">
        <v>564</v>
      </c>
      <c r="B236" t="s">
        <v>565</v>
      </c>
      <c r="C236" t="s">
        <v>64</v>
      </c>
      <c r="D236" t="s">
        <v>17</v>
      </c>
      <c r="E236" s="1">
        <v>43187.673518518517</v>
      </c>
      <c r="F236" t="s">
        <v>78</v>
      </c>
      <c r="G236" t="s">
        <v>19</v>
      </c>
      <c r="H236" t="s">
        <v>20</v>
      </c>
      <c r="I236" t="s">
        <v>1796</v>
      </c>
      <c r="J236" t="s">
        <v>1796</v>
      </c>
      <c r="K236" t="s">
        <v>1796</v>
      </c>
      <c r="L236" t="s">
        <v>21</v>
      </c>
      <c r="M236">
        <v>0</v>
      </c>
      <c r="N236">
        <v>0</v>
      </c>
      <c r="O236" t="str">
        <f>_xlfn.XLOOKUP(olist_closed_deals_dataset[[#This Row],[mql_id]], leads!A:A, leads!D:D, "Unknow" )</f>
        <v>unknown</v>
      </c>
      <c r="P236" t="str">
        <f>IF(olist_closed_deals_dataset[[#This Row],[declared_monthly_revenue]] &gt;= 10000, "High Values ", IF(olist_closed_deals_dataset[[#This Row],[declared_monthly_revenue]] &gt; 0, "Stander ", "No Revenue " ))</f>
        <v xml:space="preserve">No Revenue </v>
      </c>
    </row>
    <row r="237" spans="1:16" x14ac:dyDescent="0.2">
      <c r="A237" t="s">
        <v>566</v>
      </c>
      <c r="B237" t="s">
        <v>567</v>
      </c>
      <c r="C237" t="s">
        <v>37</v>
      </c>
      <c r="D237" t="s">
        <v>48</v>
      </c>
      <c r="E237" s="1">
        <v>43123.528657407405</v>
      </c>
      <c r="F237" t="s">
        <v>96</v>
      </c>
      <c r="G237" t="s">
        <v>19</v>
      </c>
      <c r="H237" t="s">
        <v>1796</v>
      </c>
      <c r="I237" t="s">
        <v>1796</v>
      </c>
      <c r="J237" t="s">
        <v>1796</v>
      </c>
      <c r="K237" t="s">
        <v>1796</v>
      </c>
      <c r="L237" t="s">
        <v>21</v>
      </c>
      <c r="M237">
        <v>0</v>
      </c>
      <c r="N237">
        <v>0</v>
      </c>
      <c r="O237" t="str">
        <f>_xlfn.XLOOKUP(olist_closed_deals_dataset[[#This Row],[mql_id]], leads!A:A, leads!D:D, "Unknow" )</f>
        <v>other</v>
      </c>
      <c r="P237" t="str">
        <f>IF(olist_closed_deals_dataset[[#This Row],[declared_monthly_revenue]] &gt;= 10000, "High Values ", IF(olist_closed_deals_dataset[[#This Row],[declared_monthly_revenue]] &gt; 0, "Stander ", "No Revenue " ))</f>
        <v xml:space="preserve">No Revenue </v>
      </c>
    </row>
    <row r="238" spans="1:16" x14ac:dyDescent="0.2">
      <c r="A238" t="s">
        <v>568</v>
      </c>
      <c r="B238" t="s">
        <v>569</v>
      </c>
      <c r="C238" t="s">
        <v>141</v>
      </c>
      <c r="D238" t="s">
        <v>181</v>
      </c>
      <c r="E238" s="1">
        <v>43374.519293981481</v>
      </c>
      <c r="F238" t="s">
        <v>49</v>
      </c>
      <c r="G238" t="s">
        <v>39</v>
      </c>
      <c r="H238" t="s">
        <v>43</v>
      </c>
      <c r="I238" t="b">
        <v>1</v>
      </c>
      <c r="J238" t="b">
        <v>1</v>
      </c>
      <c r="K238" t="s">
        <v>282</v>
      </c>
      <c r="L238" t="s">
        <v>21</v>
      </c>
      <c r="M238">
        <v>200</v>
      </c>
      <c r="N238">
        <v>210000</v>
      </c>
      <c r="O238" t="str">
        <f>_xlfn.XLOOKUP(olist_closed_deals_dataset[[#This Row],[mql_id]], leads!A:A, leads!D:D, "Unknow" )</f>
        <v>paid_search</v>
      </c>
      <c r="P238" t="str">
        <f>IF(olist_closed_deals_dataset[[#This Row],[declared_monthly_revenue]] &gt;= 10000, "High Values ", IF(olist_closed_deals_dataset[[#This Row],[declared_monthly_revenue]] &gt; 0, "Stander ", "No Revenue " ))</f>
        <v xml:space="preserve">High Values </v>
      </c>
    </row>
    <row r="239" spans="1:16" x14ac:dyDescent="0.2">
      <c r="A239" t="s">
        <v>570</v>
      </c>
      <c r="B239" t="s">
        <v>571</v>
      </c>
      <c r="C239" t="s">
        <v>141</v>
      </c>
      <c r="D239" t="s">
        <v>56</v>
      </c>
      <c r="E239" s="1">
        <v>43405.650185185186</v>
      </c>
      <c r="F239" t="s">
        <v>572</v>
      </c>
      <c r="G239" t="s">
        <v>19</v>
      </c>
      <c r="H239" t="s">
        <v>28</v>
      </c>
      <c r="I239" t="b">
        <v>1</v>
      </c>
      <c r="J239" t="b">
        <v>1</v>
      </c>
      <c r="K239" t="s">
        <v>199</v>
      </c>
      <c r="L239" t="s">
        <v>21</v>
      </c>
      <c r="M239">
        <v>20</v>
      </c>
      <c r="N239">
        <v>15000</v>
      </c>
      <c r="O239" t="str">
        <f>_xlfn.XLOOKUP(olist_closed_deals_dataset[[#This Row],[mql_id]], leads!A:A, leads!D:D, "Unknow" )</f>
        <v>organic_search</v>
      </c>
      <c r="P239" t="str">
        <f>IF(olist_closed_deals_dataset[[#This Row],[declared_monthly_revenue]] &gt;= 10000, "High Values ", IF(olist_closed_deals_dataset[[#This Row],[declared_monthly_revenue]] &gt; 0, "Stander ", "No Revenue " ))</f>
        <v xml:space="preserve">High Values </v>
      </c>
    </row>
    <row r="240" spans="1:16" x14ac:dyDescent="0.2">
      <c r="A240" t="s">
        <v>573</v>
      </c>
      <c r="B240" t="s">
        <v>574</v>
      </c>
      <c r="C240" t="s">
        <v>81</v>
      </c>
      <c r="D240" t="s">
        <v>32</v>
      </c>
      <c r="E240" s="1">
        <v>43111.72</v>
      </c>
      <c r="F240" t="s">
        <v>82</v>
      </c>
      <c r="G240" t="s">
        <v>19</v>
      </c>
      <c r="H240" t="s">
        <v>1796</v>
      </c>
      <c r="I240" t="s">
        <v>1796</v>
      </c>
      <c r="J240" t="s">
        <v>1796</v>
      </c>
      <c r="K240" t="s">
        <v>1796</v>
      </c>
      <c r="L240" t="s">
        <v>21</v>
      </c>
      <c r="M240">
        <v>0</v>
      </c>
      <c r="N240">
        <v>0</v>
      </c>
      <c r="O240" t="str">
        <f>_xlfn.XLOOKUP(olist_closed_deals_dataset[[#This Row],[mql_id]], leads!A:A, leads!D:D, "Unknow" )</f>
        <v>organic_search</v>
      </c>
      <c r="P240" t="str">
        <f>IF(olist_closed_deals_dataset[[#This Row],[declared_monthly_revenue]] &gt;= 10000, "High Values ", IF(olist_closed_deals_dataset[[#This Row],[declared_monthly_revenue]] &gt; 0, "Stander ", "No Revenue " ))</f>
        <v xml:space="preserve">No Revenue </v>
      </c>
    </row>
    <row r="241" spans="1:16" x14ac:dyDescent="0.2">
      <c r="A241" t="s">
        <v>575</v>
      </c>
      <c r="B241" t="s">
        <v>576</v>
      </c>
      <c r="C241" t="s">
        <v>16</v>
      </c>
      <c r="D241" t="s">
        <v>74</v>
      </c>
      <c r="E241" s="1">
        <v>43217.586180555554</v>
      </c>
      <c r="F241" t="s">
        <v>111</v>
      </c>
      <c r="G241" t="s">
        <v>19</v>
      </c>
      <c r="H241" t="s">
        <v>20</v>
      </c>
      <c r="I241" t="s">
        <v>1796</v>
      </c>
      <c r="J241" t="s">
        <v>1796</v>
      </c>
      <c r="K241" t="s">
        <v>1796</v>
      </c>
      <c r="L241" t="s">
        <v>1796</v>
      </c>
      <c r="M241">
        <v>0</v>
      </c>
      <c r="N241">
        <v>0</v>
      </c>
      <c r="O241" t="str">
        <f>_xlfn.XLOOKUP(olist_closed_deals_dataset[[#This Row],[mql_id]], leads!A:A, leads!D:D, "Unknow" )</f>
        <v>paid_search</v>
      </c>
      <c r="P241" t="str">
        <f>IF(olist_closed_deals_dataset[[#This Row],[declared_monthly_revenue]] &gt;= 10000, "High Values ", IF(olist_closed_deals_dataset[[#This Row],[declared_monthly_revenue]] &gt; 0, "Stander ", "No Revenue " ))</f>
        <v xml:space="preserve">No Revenue </v>
      </c>
    </row>
    <row r="242" spans="1:16" x14ac:dyDescent="0.2">
      <c r="A242" t="s">
        <v>577</v>
      </c>
      <c r="B242" t="s">
        <v>578</v>
      </c>
      <c r="C242" t="s">
        <v>56</v>
      </c>
      <c r="D242" t="s">
        <v>81</v>
      </c>
      <c r="E242" s="1">
        <v>43230.840370370373</v>
      </c>
      <c r="F242" t="s">
        <v>61</v>
      </c>
      <c r="G242" t="s">
        <v>57</v>
      </c>
      <c r="H242" t="s">
        <v>20</v>
      </c>
      <c r="I242" t="s">
        <v>1796</v>
      </c>
      <c r="J242" t="s">
        <v>1796</v>
      </c>
      <c r="K242" t="s">
        <v>1796</v>
      </c>
      <c r="L242" t="s">
        <v>21</v>
      </c>
      <c r="M242">
        <v>0</v>
      </c>
      <c r="N242">
        <v>0</v>
      </c>
      <c r="O242" t="str">
        <f>_xlfn.XLOOKUP(olist_closed_deals_dataset[[#This Row],[mql_id]], leads!A:A, leads!D:D, "Unknow" )</f>
        <v>direct_traffic</v>
      </c>
      <c r="P242" t="str">
        <f>IF(olist_closed_deals_dataset[[#This Row],[declared_monthly_revenue]] &gt;= 10000, "High Values ", IF(olist_closed_deals_dataset[[#This Row],[declared_monthly_revenue]] &gt; 0, "Stander ", "No Revenue " ))</f>
        <v xml:space="preserve">No Revenue </v>
      </c>
    </row>
    <row r="243" spans="1:16" x14ac:dyDescent="0.2">
      <c r="A243" t="s">
        <v>579</v>
      </c>
      <c r="B243" t="s">
        <v>580</v>
      </c>
      <c r="C243" t="s">
        <v>42</v>
      </c>
      <c r="D243" t="s">
        <v>32</v>
      </c>
      <c r="E243" s="1">
        <v>43245.892488425925</v>
      </c>
      <c r="F243" t="s">
        <v>138</v>
      </c>
      <c r="G243" t="s">
        <v>19</v>
      </c>
      <c r="H243" t="s">
        <v>43</v>
      </c>
      <c r="I243" t="s">
        <v>1796</v>
      </c>
      <c r="J243" t="s">
        <v>1796</v>
      </c>
      <c r="K243" t="s">
        <v>1796</v>
      </c>
      <c r="L243" t="s">
        <v>21</v>
      </c>
      <c r="M243">
        <v>0</v>
      </c>
      <c r="N243">
        <v>0</v>
      </c>
      <c r="O243" t="str">
        <f>_xlfn.XLOOKUP(olist_closed_deals_dataset[[#This Row],[mql_id]], leads!A:A, leads!D:D, "Unknow" )</f>
        <v>social</v>
      </c>
      <c r="P243" t="str">
        <f>IF(olist_closed_deals_dataset[[#This Row],[declared_monthly_revenue]] &gt;= 10000, "High Values ", IF(olist_closed_deals_dataset[[#This Row],[declared_monthly_revenue]] &gt; 0, "Stander ", "No Revenue " ))</f>
        <v xml:space="preserve">No Revenue </v>
      </c>
    </row>
    <row r="244" spans="1:16" x14ac:dyDescent="0.2">
      <c r="A244" t="s">
        <v>581</v>
      </c>
      <c r="B244" t="s">
        <v>582</v>
      </c>
      <c r="C244" t="s">
        <v>56</v>
      </c>
      <c r="D244" t="s">
        <v>81</v>
      </c>
      <c r="E244" s="1">
        <v>43250.9374537037</v>
      </c>
      <c r="F244" t="s">
        <v>61</v>
      </c>
      <c r="G244" t="s">
        <v>57</v>
      </c>
      <c r="H244" t="s">
        <v>20</v>
      </c>
      <c r="I244" t="s">
        <v>1796</v>
      </c>
      <c r="J244" t="s">
        <v>1796</v>
      </c>
      <c r="K244" t="s">
        <v>1796</v>
      </c>
      <c r="L244" t="s">
        <v>21</v>
      </c>
      <c r="M244">
        <v>0</v>
      </c>
      <c r="N244">
        <v>0</v>
      </c>
      <c r="O244" t="str">
        <f>_xlfn.XLOOKUP(olist_closed_deals_dataset[[#This Row],[mql_id]], leads!A:A, leads!D:D, "Unknow" )</f>
        <v>organic_search</v>
      </c>
      <c r="P244" t="str">
        <f>IF(olist_closed_deals_dataset[[#This Row],[declared_monthly_revenue]] &gt;= 10000, "High Values ", IF(olist_closed_deals_dataset[[#This Row],[declared_monthly_revenue]] &gt; 0, "Stander ", "No Revenue " ))</f>
        <v xml:space="preserve">No Revenue </v>
      </c>
    </row>
    <row r="245" spans="1:16" x14ac:dyDescent="0.2">
      <c r="A245" t="s">
        <v>583</v>
      </c>
      <c r="B245" t="s">
        <v>584</v>
      </c>
      <c r="C245" t="s">
        <v>47</v>
      </c>
      <c r="D245" t="s">
        <v>89</v>
      </c>
      <c r="E245" s="1">
        <v>43139.793981481482</v>
      </c>
      <c r="F245" t="s">
        <v>111</v>
      </c>
      <c r="G245" t="s">
        <v>27</v>
      </c>
      <c r="H245" t="s">
        <v>1796</v>
      </c>
      <c r="I245" t="s">
        <v>1796</v>
      </c>
      <c r="J245" t="s">
        <v>1796</v>
      </c>
      <c r="K245" t="s">
        <v>1796</v>
      </c>
      <c r="L245" t="s">
        <v>21</v>
      </c>
      <c r="M245">
        <v>0</v>
      </c>
      <c r="N245">
        <v>0</v>
      </c>
      <c r="O245" t="str">
        <f>_xlfn.XLOOKUP(olist_closed_deals_dataset[[#This Row],[mql_id]], leads!A:A, leads!D:D, "Unknow" )</f>
        <v>social</v>
      </c>
      <c r="P245" t="str">
        <f>IF(olist_closed_deals_dataset[[#This Row],[declared_monthly_revenue]] &gt;= 10000, "High Values ", IF(olist_closed_deals_dataset[[#This Row],[declared_monthly_revenue]] &gt; 0, "Stander ", "No Revenue " ))</f>
        <v xml:space="preserve">No Revenue </v>
      </c>
    </row>
    <row r="246" spans="1:16" x14ac:dyDescent="0.2">
      <c r="A246" t="s">
        <v>585</v>
      </c>
      <c r="B246" t="s">
        <v>586</v>
      </c>
      <c r="C246" t="s">
        <v>31</v>
      </c>
      <c r="D246" t="s">
        <v>25</v>
      </c>
      <c r="E246" s="1">
        <v>43312.834398148145</v>
      </c>
      <c r="F246" t="s">
        <v>138</v>
      </c>
      <c r="G246" t="s">
        <v>39</v>
      </c>
      <c r="H246" t="s">
        <v>20</v>
      </c>
      <c r="I246" t="s">
        <v>1796</v>
      </c>
      <c r="J246" t="s">
        <v>1796</v>
      </c>
      <c r="K246" t="s">
        <v>1796</v>
      </c>
      <c r="L246" t="s">
        <v>21</v>
      </c>
      <c r="M246">
        <v>0</v>
      </c>
      <c r="N246">
        <v>0</v>
      </c>
      <c r="O246" t="str">
        <f>_xlfn.XLOOKUP(olist_closed_deals_dataset[[#This Row],[mql_id]], leads!A:A, leads!D:D, "Unknow" )</f>
        <v>unknown</v>
      </c>
      <c r="P246" t="str">
        <f>IF(olist_closed_deals_dataset[[#This Row],[declared_monthly_revenue]] &gt;= 10000, "High Values ", IF(olist_closed_deals_dataset[[#This Row],[declared_monthly_revenue]] &gt; 0, "Stander ", "No Revenue " ))</f>
        <v xml:space="preserve">No Revenue </v>
      </c>
    </row>
    <row r="247" spans="1:16" x14ac:dyDescent="0.2">
      <c r="A247" t="s">
        <v>587</v>
      </c>
      <c r="B247" t="s">
        <v>588</v>
      </c>
      <c r="C247" t="s">
        <v>42</v>
      </c>
      <c r="D247" t="s">
        <v>95</v>
      </c>
      <c r="E247" s="1">
        <v>43187.795648148145</v>
      </c>
      <c r="F247" t="s">
        <v>138</v>
      </c>
      <c r="G247" t="s">
        <v>27</v>
      </c>
      <c r="H247" t="s">
        <v>28</v>
      </c>
      <c r="I247" t="s">
        <v>1796</v>
      </c>
      <c r="J247" t="s">
        <v>1796</v>
      </c>
      <c r="K247" t="s">
        <v>1796</v>
      </c>
      <c r="L247" t="s">
        <v>21</v>
      </c>
      <c r="M247">
        <v>0</v>
      </c>
      <c r="N247">
        <v>0</v>
      </c>
      <c r="O247" t="str">
        <f>_xlfn.XLOOKUP(olist_closed_deals_dataset[[#This Row],[mql_id]], leads!A:A, leads!D:D, "Unknow" )</f>
        <v>paid_search</v>
      </c>
      <c r="P247" t="str">
        <f>IF(olist_closed_deals_dataset[[#This Row],[declared_monthly_revenue]] &gt;= 10000, "High Values ", IF(olist_closed_deals_dataset[[#This Row],[declared_monthly_revenue]] &gt; 0, "Stander ", "No Revenue " ))</f>
        <v xml:space="preserve">No Revenue </v>
      </c>
    </row>
    <row r="248" spans="1:16" x14ac:dyDescent="0.2">
      <c r="A248" t="s">
        <v>589</v>
      </c>
      <c r="B248" t="s">
        <v>590</v>
      </c>
      <c r="C248" t="s">
        <v>16</v>
      </c>
      <c r="D248" t="s">
        <v>81</v>
      </c>
      <c r="E248" s="1">
        <v>43234.809733796297</v>
      </c>
      <c r="F248" t="s">
        <v>53</v>
      </c>
      <c r="G248" t="s">
        <v>57</v>
      </c>
      <c r="H248" t="s">
        <v>20</v>
      </c>
      <c r="I248" t="s">
        <v>1796</v>
      </c>
      <c r="J248" t="s">
        <v>1796</v>
      </c>
      <c r="K248" t="s">
        <v>1796</v>
      </c>
      <c r="L248" t="s">
        <v>21</v>
      </c>
      <c r="M248">
        <v>0</v>
      </c>
      <c r="N248">
        <v>0</v>
      </c>
      <c r="O248" t="str">
        <f>_xlfn.XLOOKUP(olist_closed_deals_dataset[[#This Row],[mql_id]], leads!A:A, leads!D:D, "Unknow" )</f>
        <v>paid_search</v>
      </c>
      <c r="P248" t="str">
        <f>IF(olist_closed_deals_dataset[[#This Row],[declared_monthly_revenue]] &gt;= 10000, "High Values ", IF(olist_closed_deals_dataset[[#This Row],[declared_monthly_revenue]] &gt; 0, "Stander ", "No Revenue " ))</f>
        <v xml:space="preserve">No Revenue </v>
      </c>
    </row>
    <row r="249" spans="1:16" x14ac:dyDescent="0.2">
      <c r="A249" t="s">
        <v>591</v>
      </c>
      <c r="B249" t="s">
        <v>592</v>
      </c>
      <c r="C249" t="s">
        <v>42</v>
      </c>
      <c r="D249" t="s">
        <v>17</v>
      </c>
      <c r="E249" s="1">
        <v>43185.839189814818</v>
      </c>
      <c r="F249" t="s">
        <v>186</v>
      </c>
      <c r="G249" t="s">
        <v>39</v>
      </c>
      <c r="H249" t="s">
        <v>28</v>
      </c>
      <c r="I249" t="s">
        <v>1796</v>
      </c>
      <c r="J249" t="s">
        <v>1796</v>
      </c>
      <c r="K249" t="s">
        <v>1796</v>
      </c>
      <c r="L249" t="s">
        <v>44</v>
      </c>
      <c r="M249">
        <v>0</v>
      </c>
      <c r="N249">
        <v>0</v>
      </c>
      <c r="O249" t="str">
        <f>_xlfn.XLOOKUP(olist_closed_deals_dataset[[#This Row],[mql_id]], leads!A:A, leads!D:D, "Unknow" )</f>
        <v>paid_search</v>
      </c>
      <c r="P249" t="str">
        <f>IF(olist_closed_deals_dataset[[#This Row],[declared_monthly_revenue]] &gt;= 10000, "High Values ", IF(olist_closed_deals_dataset[[#This Row],[declared_monthly_revenue]] &gt; 0, "Stander ", "No Revenue " ))</f>
        <v xml:space="preserve">No Revenue </v>
      </c>
    </row>
    <row r="250" spans="1:16" x14ac:dyDescent="0.2">
      <c r="A250" t="s">
        <v>593</v>
      </c>
      <c r="B250" t="s">
        <v>594</v>
      </c>
      <c r="C250" t="s">
        <v>595</v>
      </c>
      <c r="D250" t="s">
        <v>32</v>
      </c>
      <c r="E250" s="1">
        <v>43220.866053240738</v>
      </c>
      <c r="F250" t="s">
        <v>68</v>
      </c>
      <c r="G250" t="s">
        <v>19</v>
      </c>
      <c r="H250" t="s">
        <v>20</v>
      </c>
      <c r="I250" t="s">
        <v>1796</v>
      </c>
      <c r="J250" t="s">
        <v>1796</v>
      </c>
      <c r="K250" t="s">
        <v>1796</v>
      </c>
      <c r="L250" t="s">
        <v>21</v>
      </c>
      <c r="M250">
        <v>0</v>
      </c>
      <c r="N250">
        <v>0</v>
      </c>
      <c r="O250" t="str">
        <f>_xlfn.XLOOKUP(olist_closed_deals_dataset[[#This Row],[mql_id]], leads!A:A, leads!D:D, "Unknow" )</f>
        <v>unknown</v>
      </c>
      <c r="P250" t="str">
        <f>IF(olist_closed_deals_dataset[[#This Row],[declared_monthly_revenue]] &gt;= 10000, "High Values ", IF(olist_closed_deals_dataset[[#This Row],[declared_monthly_revenue]] &gt; 0, "Stander ", "No Revenue " ))</f>
        <v xml:space="preserve">No Revenue </v>
      </c>
    </row>
    <row r="251" spans="1:16" x14ac:dyDescent="0.2">
      <c r="A251" t="s">
        <v>596</v>
      </c>
      <c r="B251" t="s">
        <v>597</v>
      </c>
      <c r="C251" t="s">
        <v>42</v>
      </c>
      <c r="D251" t="s">
        <v>17</v>
      </c>
      <c r="E251" s="1">
        <v>43270.829456018517</v>
      </c>
      <c r="F251" t="s">
        <v>61</v>
      </c>
      <c r="G251" t="s">
        <v>19</v>
      </c>
      <c r="H251" t="s">
        <v>1796</v>
      </c>
      <c r="I251" t="s">
        <v>1796</v>
      </c>
      <c r="J251" t="s">
        <v>1796</v>
      </c>
      <c r="K251" t="s">
        <v>1796</v>
      </c>
      <c r="L251" t="s">
        <v>44</v>
      </c>
      <c r="M251">
        <v>0</v>
      </c>
      <c r="N251">
        <v>0</v>
      </c>
      <c r="O251" t="str">
        <f>_xlfn.XLOOKUP(olist_closed_deals_dataset[[#This Row],[mql_id]], leads!A:A, leads!D:D, "Unknow" )</f>
        <v>social</v>
      </c>
      <c r="P251" t="str">
        <f>IF(olist_closed_deals_dataset[[#This Row],[declared_monthly_revenue]] &gt;= 10000, "High Values ", IF(olist_closed_deals_dataset[[#This Row],[declared_monthly_revenue]] &gt; 0, "Stander ", "No Revenue " ))</f>
        <v xml:space="preserve">No Revenue </v>
      </c>
    </row>
    <row r="252" spans="1:16" x14ac:dyDescent="0.2">
      <c r="A252" t="s">
        <v>598</v>
      </c>
      <c r="B252" t="s">
        <v>599</v>
      </c>
      <c r="C252" t="s">
        <v>71</v>
      </c>
      <c r="D252" t="s">
        <v>17</v>
      </c>
      <c r="E252" s="1">
        <v>43133.475960648146</v>
      </c>
      <c r="F252" t="s">
        <v>96</v>
      </c>
      <c r="G252" t="s">
        <v>19</v>
      </c>
      <c r="H252" t="s">
        <v>1796</v>
      </c>
      <c r="I252" t="s">
        <v>1796</v>
      </c>
      <c r="J252" t="s">
        <v>1796</v>
      </c>
      <c r="K252" t="s">
        <v>1796</v>
      </c>
      <c r="L252" t="s">
        <v>21</v>
      </c>
      <c r="M252">
        <v>0</v>
      </c>
      <c r="N252">
        <v>0</v>
      </c>
      <c r="O252" t="str">
        <f>_xlfn.XLOOKUP(olist_closed_deals_dataset[[#This Row],[mql_id]], leads!A:A, leads!D:D, "Unknow" )</f>
        <v>paid_search</v>
      </c>
      <c r="P252" t="str">
        <f>IF(olist_closed_deals_dataset[[#This Row],[declared_monthly_revenue]] &gt;= 10000, "High Values ", IF(olist_closed_deals_dataset[[#This Row],[declared_monthly_revenue]] &gt; 0, "Stander ", "No Revenue " ))</f>
        <v xml:space="preserve">No Revenue </v>
      </c>
    </row>
    <row r="253" spans="1:16" x14ac:dyDescent="0.2">
      <c r="A253" t="s">
        <v>600</v>
      </c>
      <c r="B253" t="s">
        <v>601</v>
      </c>
      <c r="C253" t="s">
        <v>60</v>
      </c>
      <c r="D253" t="s">
        <v>74</v>
      </c>
      <c r="E253" s="1">
        <v>43215.769930555558</v>
      </c>
      <c r="F253" t="s">
        <v>96</v>
      </c>
      <c r="G253" t="s">
        <v>19</v>
      </c>
      <c r="H253" t="s">
        <v>20</v>
      </c>
      <c r="I253" t="s">
        <v>1796</v>
      </c>
      <c r="J253" t="s">
        <v>1796</v>
      </c>
      <c r="K253" t="s">
        <v>1796</v>
      </c>
      <c r="L253" t="s">
        <v>21</v>
      </c>
      <c r="M253">
        <v>0</v>
      </c>
      <c r="N253">
        <v>0</v>
      </c>
      <c r="O253" t="str">
        <f>_xlfn.XLOOKUP(olist_closed_deals_dataset[[#This Row],[mql_id]], leads!A:A, leads!D:D, "Unknow" )</f>
        <v>paid_search</v>
      </c>
      <c r="P253" t="str">
        <f>IF(olist_closed_deals_dataset[[#This Row],[declared_monthly_revenue]] &gt;= 10000, "High Values ", IF(olist_closed_deals_dataset[[#This Row],[declared_monthly_revenue]] &gt; 0, "Stander ", "No Revenue " ))</f>
        <v xml:space="preserve">No Revenue </v>
      </c>
    </row>
    <row r="254" spans="1:16" x14ac:dyDescent="0.2">
      <c r="A254" t="s">
        <v>602</v>
      </c>
      <c r="B254" t="s">
        <v>603</v>
      </c>
      <c r="C254" t="s">
        <v>81</v>
      </c>
      <c r="D254" t="s">
        <v>95</v>
      </c>
      <c r="E254" s="1">
        <v>43115.718055555553</v>
      </c>
      <c r="F254" t="s">
        <v>96</v>
      </c>
      <c r="G254" t="s">
        <v>19</v>
      </c>
      <c r="H254" t="s">
        <v>1796</v>
      </c>
      <c r="I254" t="s">
        <v>1796</v>
      </c>
      <c r="J254" t="s">
        <v>1796</v>
      </c>
      <c r="K254" t="s">
        <v>1796</v>
      </c>
      <c r="L254" t="s">
        <v>44</v>
      </c>
      <c r="M254">
        <v>0</v>
      </c>
      <c r="N254">
        <v>0</v>
      </c>
      <c r="O254" t="str">
        <f>_xlfn.XLOOKUP(olist_closed_deals_dataset[[#This Row],[mql_id]], leads!A:A, leads!D:D, "Unknow" )</f>
        <v>paid_search</v>
      </c>
      <c r="P254" t="str">
        <f>IF(olist_closed_deals_dataset[[#This Row],[declared_monthly_revenue]] &gt;= 10000, "High Values ", IF(olist_closed_deals_dataset[[#This Row],[declared_monthly_revenue]] &gt; 0, "Stander ", "No Revenue " ))</f>
        <v xml:space="preserve">No Revenue </v>
      </c>
    </row>
    <row r="255" spans="1:16" x14ac:dyDescent="0.2">
      <c r="A255" t="s">
        <v>604</v>
      </c>
      <c r="B255" t="s">
        <v>605</v>
      </c>
      <c r="C255" t="s">
        <v>42</v>
      </c>
      <c r="D255" t="s">
        <v>74</v>
      </c>
      <c r="E255" s="1">
        <v>43332.552499999998</v>
      </c>
      <c r="F255" t="s">
        <v>68</v>
      </c>
      <c r="G255" t="s">
        <v>57</v>
      </c>
      <c r="H255" t="s">
        <v>122</v>
      </c>
      <c r="I255" t="s">
        <v>1796</v>
      </c>
      <c r="J255" t="s">
        <v>1796</v>
      </c>
      <c r="K255" t="s">
        <v>1796</v>
      </c>
      <c r="L255" t="s">
        <v>21</v>
      </c>
      <c r="M255">
        <v>0</v>
      </c>
      <c r="N255">
        <v>0</v>
      </c>
      <c r="O255" t="str">
        <f>_xlfn.XLOOKUP(olist_closed_deals_dataset[[#This Row],[mql_id]], leads!A:A, leads!D:D, "Unknow" )</f>
        <v>organic_search</v>
      </c>
      <c r="P255" t="str">
        <f>IF(olist_closed_deals_dataset[[#This Row],[declared_monthly_revenue]] &gt;= 10000, "High Values ", IF(olist_closed_deals_dataset[[#This Row],[declared_monthly_revenue]] &gt; 0, "Stander ", "No Revenue " ))</f>
        <v xml:space="preserve">No Revenue </v>
      </c>
    </row>
    <row r="256" spans="1:16" x14ac:dyDescent="0.2">
      <c r="A256" t="s">
        <v>606</v>
      </c>
      <c r="B256" t="s">
        <v>607</v>
      </c>
      <c r="C256" t="s">
        <v>16</v>
      </c>
      <c r="D256" t="s">
        <v>89</v>
      </c>
      <c r="E256" s="1">
        <v>43166.600590277776</v>
      </c>
      <c r="F256" t="s">
        <v>68</v>
      </c>
      <c r="G256" t="s">
        <v>19</v>
      </c>
      <c r="H256" t="s">
        <v>20</v>
      </c>
      <c r="I256" t="s">
        <v>1796</v>
      </c>
      <c r="J256" t="s">
        <v>1796</v>
      </c>
      <c r="K256" t="s">
        <v>1796</v>
      </c>
      <c r="L256" t="s">
        <v>44</v>
      </c>
      <c r="M256">
        <v>0</v>
      </c>
      <c r="N256">
        <v>0</v>
      </c>
      <c r="O256" t="str">
        <f>_xlfn.XLOOKUP(olist_closed_deals_dataset[[#This Row],[mql_id]], leads!A:A, leads!D:D, "Unknow" )</f>
        <v>paid_search</v>
      </c>
      <c r="P256" t="str">
        <f>IF(olist_closed_deals_dataset[[#This Row],[declared_monthly_revenue]] &gt;= 10000, "High Values ", IF(olist_closed_deals_dataset[[#This Row],[declared_monthly_revenue]] &gt; 0, "Stander ", "No Revenue " ))</f>
        <v xml:space="preserve">No Revenue </v>
      </c>
    </row>
    <row r="257" spans="1:16" x14ac:dyDescent="0.2">
      <c r="A257" t="s">
        <v>608</v>
      </c>
      <c r="B257" t="s">
        <v>609</v>
      </c>
      <c r="C257" t="s">
        <v>47</v>
      </c>
      <c r="D257" t="s">
        <v>77</v>
      </c>
      <c r="E257" s="1">
        <v>43129.863680555558</v>
      </c>
      <c r="F257" t="s">
        <v>78</v>
      </c>
      <c r="G257" t="s">
        <v>27</v>
      </c>
      <c r="H257" t="s">
        <v>1796</v>
      </c>
      <c r="I257" t="s">
        <v>1796</v>
      </c>
      <c r="J257" t="s">
        <v>1796</v>
      </c>
      <c r="K257" t="s">
        <v>1796</v>
      </c>
      <c r="L257" t="s">
        <v>44</v>
      </c>
      <c r="M257">
        <v>0</v>
      </c>
      <c r="N257">
        <v>0</v>
      </c>
      <c r="O257" t="str">
        <f>_xlfn.XLOOKUP(olist_closed_deals_dataset[[#This Row],[mql_id]], leads!A:A, leads!D:D, "Unknow" )</f>
        <v>organic_search</v>
      </c>
      <c r="P257" t="str">
        <f>IF(olist_closed_deals_dataset[[#This Row],[declared_monthly_revenue]] &gt;= 10000, "High Values ", IF(olist_closed_deals_dataset[[#This Row],[declared_monthly_revenue]] &gt; 0, "Stander ", "No Revenue " ))</f>
        <v xml:space="preserve">No Revenue </v>
      </c>
    </row>
    <row r="258" spans="1:16" x14ac:dyDescent="0.2">
      <c r="A258" t="s">
        <v>610</v>
      </c>
      <c r="B258" t="s">
        <v>611</v>
      </c>
      <c r="C258" t="s">
        <v>47</v>
      </c>
      <c r="D258" t="s">
        <v>17</v>
      </c>
      <c r="E258" s="1">
        <v>43130.754583333335</v>
      </c>
      <c r="F258" t="s">
        <v>138</v>
      </c>
      <c r="G258" t="s">
        <v>19</v>
      </c>
      <c r="H258" t="s">
        <v>1796</v>
      </c>
      <c r="I258" t="s">
        <v>1796</v>
      </c>
      <c r="J258" t="s">
        <v>1796</v>
      </c>
      <c r="K258" t="s">
        <v>1796</v>
      </c>
      <c r="L258" t="s">
        <v>21</v>
      </c>
      <c r="M258">
        <v>0</v>
      </c>
      <c r="N258">
        <v>0</v>
      </c>
      <c r="O258" t="str">
        <f>_xlfn.XLOOKUP(olist_closed_deals_dataset[[#This Row],[mql_id]], leads!A:A, leads!D:D, "Unknow" )</f>
        <v>unknown</v>
      </c>
      <c r="P258" t="str">
        <f>IF(olist_closed_deals_dataset[[#This Row],[declared_monthly_revenue]] &gt;= 10000, "High Values ", IF(olist_closed_deals_dataset[[#This Row],[declared_monthly_revenue]] &gt; 0, "Stander ", "No Revenue " ))</f>
        <v xml:space="preserve">No Revenue </v>
      </c>
    </row>
    <row r="259" spans="1:16" x14ac:dyDescent="0.2">
      <c r="A259" t="s">
        <v>612</v>
      </c>
      <c r="B259" t="s">
        <v>613</v>
      </c>
      <c r="C259" t="s">
        <v>64</v>
      </c>
      <c r="D259" t="s">
        <v>25</v>
      </c>
      <c r="E259" s="1">
        <v>43217.528148148151</v>
      </c>
      <c r="F259" t="s">
        <v>18</v>
      </c>
      <c r="G259" t="s">
        <v>34</v>
      </c>
      <c r="H259" t="s">
        <v>28</v>
      </c>
      <c r="I259" t="s">
        <v>1796</v>
      </c>
      <c r="J259" t="s">
        <v>1796</v>
      </c>
      <c r="K259" t="s">
        <v>1796</v>
      </c>
      <c r="L259" t="s">
        <v>21</v>
      </c>
      <c r="M259">
        <v>0</v>
      </c>
      <c r="N259">
        <v>0</v>
      </c>
      <c r="O259" t="str">
        <f>_xlfn.XLOOKUP(olist_closed_deals_dataset[[#This Row],[mql_id]], leads!A:A, leads!D:D, "Unknow" )</f>
        <v>organic_search</v>
      </c>
      <c r="P259" t="str">
        <f>IF(olist_closed_deals_dataset[[#This Row],[declared_monthly_revenue]] &gt;= 10000, "High Values ", IF(olist_closed_deals_dataset[[#This Row],[declared_monthly_revenue]] &gt; 0, "Stander ", "No Revenue " ))</f>
        <v xml:space="preserve">No Revenue </v>
      </c>
    </row>
    <row r="260" spans="1:16" x14ac:dyDescent="0.2">
      <c r="A260" t="s">
        <v>614</v>
      </c>
      <c r="B260" t="s">
        <v>615</v>
      </c>
      <c r="C260" t="s">
        <v>81</v>
      </c>
      <c r="D260" t="s">
        <v>52</v>
      </c>
      <c r="E260" s="1">
        <v>43210.812060185184</v>
      </c>
      <c r="F260" t="s">
        <v>26</v>
      </c>
      <c r="G260" t="s">
        <v>27</v>
      </c>
      <c r="H260" t="s">
        <v>28</v>
      </c>
      <c r="I260" t="s">
        <v>1796</v>
      </c>
      <c r="J260" t="s">
        <v>1796</v>
      </c>
      <c r="K260" t="s">
        <v>1796</v>
      </c>
      <c r="L260" t="s">
        <v>21</v>
      </c>
      <c r="M260">
        <v>0</v>
      </c>
      <c r="N260">
        <v>0</v>
      </c>
      <c r="O260" t="str">
        <f>_xlfn.XLOOKUP(olist_closed_deals_dataset[[#This Row],[mql_id]], leads!A:A, leads!D:D, "Unknow" )</f>
        <v>organic_search</v>
      </c>
      <c r="P260" t="str">
        <f>IF(olist_closed_deals_dataset[[#This Row],[declared_monthly_revenue]] &gt;= 10000, "High Values ", IF(olist_closed_deals_dataset[[#This Row],[declared_monthly_revenue]] &gt; 0, "Stander ", "No Revenue " ))</f>
        <v xml:space="preserve">No Revenue </v>
      </c>
    </row>
    <row r="261" spans="1:16" x14ac:dyDescent="0.2">
      <c r="A261" t="s">
        <v>616</v>
      </c>
      <c r="B261" t="s">
        <v>617</v>
      </c>
      <c r="C261" t="s">
        <v>42</v>
      </c>
      <c r="D261" t="s">
        <v>48</v>
      </c>
      <c r="E261" s="1">
        <v>43119.083333333336</v>
      </c>
      <c r="F261" t="s">
        <v>26</v>
      </c>
      <c r="G261" t="s">
        <v>57</v>
      </c>
      <c r="H261" t="s">
        <v>1796</v>
      </c>
      <c r="I261" t="s">
        <v>1796</v>
      </c>
      <c r="J261" t="s">
        <v>1796</v>
      </c>
      <c r="K261" t="s">
        <v>1796</v>
      </c>
      <c r="L261" t="s">
        <v>21</v>
      </c>
      <c r="M261">
        <v>0</v>
      </c>
      <c r="N261">
        <v>0</v>
      </c>
      <c r="O261" t="str">
        <f>_xlfn.XLOOKUP(olist_closed_deals_dataset[[#This Row],[mql_id]], leads!A:A, leads!D:D, "Unknow" )</f>
        <v>direct_traffic</v>
      </c>
      <c r="P261" t="str">
        <f>IF(olist_closed_deals_dataset[[#This Row],[declared_monthly_revenue]] &gt;= 10000, "High Values ", IF(olist_closed_deals_dataset[[#This Row],[declared_monthly_revenue]] &gt; 0, "Stander ", "No Revenue " ))</f>
        <v xml:space="preserve">No Revenue </v>
      </c>
    </row>
    <row r="262" spans="1:16" x14ac:dyDescent="0.2">
      <c r="A262" t="s">
        <v>618</v>
      </c>
      <c r="B262" t="s">
        <v>619</v>
      </c>
      <c r="C262" t="s">
        <v>71</v>
      </c>
      <c r="D262" t="s">
        <v>95</v>
      </c>
      <c r="E262" s="1">
        <v>43112.576018518521</v>
      </c>
      <c r="F262" t="s">
        <v>49</v>
      </c>
      <c r="G262" t="s">
        <v>39</v>
      </c>
      <c r="H262" t="s">
        <v>1796</v>
      </c>
      <c r="I262" t="s">
        <v>1796</v>
      </c>
      <c r="J262" t="s">
        <v>1796</v>
      </c>
      <c r="K262" t="s">
        <v>1796</v>
      </c>
      <c r="L262" t="s">
        <v>44</v>
      </c>
      <c r="M262">
        <v>0</v>
      </c>
      <c r="N262">
        <v>0</v>
      </c>
      <c r="O262" t="str">
        <f>_xlfn.XLOOKUP(olist_closed_deals_dataset[[#This Row],[mql_id]], leads!A:A, leads!D:D, "Unknow" )</f>
        <v>direct_traffic</v>
      </c>
      <c r="P262" t="str">
        <f>IF(olist_closed_deals_dataset[[#This Row],[declared_monthly_revenue]] &gt;= 10000, "High Values ", IF(olist_closed_deals_dataset[[#This Row],[declared_monthly_revenue]] &gt; 0, "Stander ", "No Revenue " ))</f>
        <v xml:space="preserve">No Revenue </v>
      </c>
    </row>
    <row r="263" spans="1:16" x14ac:dyDescent="0.2">
      <c r="A263" t="s">
        <v>620</v>
      </c>
      <c r="B263" t="s">
        <v>621</v>
      </c>
      <c r="C263" t="s">
        <v>47</v>
      </c>
      <c r="D263" t="s">
        <v>95</v>
      </c>
      <c r="E263" s="1">
        <v>43118.083333333336</v>
      </c>
      <c r="F263" t="s">
        <v>49</v>
      </c>
      <c r="G263" t="s">
        <v>19</v>
      </c>
      <c r="H263" t="s">
        <v>1796</v>
      </c>
      <c r="I263" t="s">
        <v>1796</v>
      </c>
      <c r="J263" t="s">
        <v>1796</v>
      </c>
      <c r="K263" t="s">
        <v>1796</v>
      </c>
      <c r="L263" t="s">
        <v>21</v>
      </c>
      <c r="M263">
        <v>0</v>
      </c>
      <c r="N263">
        <v>0</v>
      </c>
      <c r="O263" t="str">
        <f>_xlfn.XLOOKUP(olist_closed_deals_dataset[[#This Row],[mql_id]], leads!A:A, leads!D:D, "Unknow" )</f>
        <v>unknown</v>
      </c>
      <c r="P263" t="str">
        <f>IF(olist_closed_deals_dataset[[#This Row],[declared_monthly_revenue]] &gt;= 10000, "High Values ", IF(olist_closed_deals_dataset[[#This Row],[declared_monthly_revenue]] &gt; 0, "Stander ", "No Revenue " ))</f>
        <v xml:space="preserve">No Revenue </v>
      </c>
    </row>
    <row r="264" spans="1:16" x14ac:dyDescent="0.2">
      <c r="A264" t="s">
        <v>622</v>
      </c>
      <c r="B264" t="s">
        <v>623</v>
      </c>
      <c r="C264" t="s">
        <v>42</v>
      </c>
      <c r="D264" t="s">
        <v>17</v>
      </c>
      <c r="E264" s="1">
        <v>43194.871724537035</v>
      </c>
      <c r="F264" t="s">
        <v>221</v>
      </c>
      <c r="G264" t="s">
        <v>39</v>
      </c>
      <c r="H264" t="s">
        <v>43</v>
      </c>
      <c r="I264" t="s">
        <v>1796</v>
      </c>
      <c r="J264" t="s">
        <v>1796</v>
      </c>
      <c r="K264" t="s">
        <v>1796</v>
      </c>
      <c r="L264" t="s">
        <v>21</v>
      </c>
      <c r="M264">
        <v>0</v>
      </c>
      <c r="N264">
        <v>0</v>
      </c>
      <c r="O264" t="str">
        <f>_xlfn.XLOOKUP(olist_closed_deals_dataset[[#This Row],[mql_id]], leads!A:A, leads!D:D, "Unknow" )</f>
        <v>organic_search</v>
      </c>
      <c r="P264" t="str">
        <f>IF(olist_closed_deals_dataset[[#This Row],[declared_monthly_revenue]] &gt;= 10000, "High Values ", IF(olist_closed_deals_dataset[[#This Row],[declared_monthly_revenue]] &gt; 0, "Stander ", "No Revenue " ))</f>
        <v xml:space="preserve">No Revenue </v>
      </c>
    </row>
    <row r="265" spans="1:16" x14ac:dyDescent="0.2">
      <c r="A265" t="s">
        <v>624</v>
      </c>
      <c r="B265" t="s">
        <v>625</v>
      </c>
      <c r="C265" t="s">
        <v>42</v>
      </c>
      <c r="D265" t="s">
        <v>71</v>
      </c>
      <c r="E265" s="1">
        <v>43277.71769675926</v>
      </c>
      <c r="F265" t="s">
        <v>49</v>
      </c>
      <c r="G265" t="s">
        <v>27</v>
      </c>
      <c r="H265" t="s">
        <v>43</v>
      </c>
      <c r="I265" t="s">
        <v>1796</v>
      </c>
      <c r="J265" t="s">
        <v>1796</v>
      </c>
      <c r="K265" t="s">
        <v>1796</v>
      </c>
      <c r="L265" t="s">
        <v>21</v>
      </c>
      <c r="M265">
        <v>0</v>
      </c>
      <c r="N265">
        <v>0</v>
      </c>
      <c r="O265" t="str">
        <f>_xlfn.XLOOKUP(olist_closed_deals_dataset[[#This Row],[mql_id]], leads!A:A, leads!D:D, "Unknow" )</f>
        <v>organic_search</v>
      </c>
      <c r="P265" t="str">
        <f>IF(olist_closed_deals_dataset[[#This Row],[declared_monthly_revenue]] &gt;= 10000, "High Values ", IF(olist_closed_deals_dataset[[#This Row],[declared_monthly_revenue]] &gt; 0, "Stander ", "No Revenue " ))</f>
        <v xml:space="preserve">No Revenue </v>
      </c>
    </row>
    <row r="266" spans="1:16" x14ac:dyDescent="0.2">
      <c r="A266" t="s">
        <v>626</v>
      </c>
      <c r="B266" t="s">
        <v>627</v>
      </c>
      <c r="C266" t="s">
        <v>42</v>
      </c>
      <c r="D266" t="s">
        <v>25</v>
      </c>
      <c r="E266" s="1">
        <v>43186.125</v>
      </c>
      <c r="F266" t="s">
        <v>53</v>
      </c>
      <c r="G266" t="s">
        <v>19</v>
      </c>
      <c r="H266" t="s">
        <v>43</v>
      </c>
      <c r="I266" t="s">
        <v>1796</v>
      </c>
      <c r="J266" t="s">
        <v>1796</v>
      </c>
      <c r="K266" t="s">
        <v>1796</v>
      </c>
      <c r="L266" t="s">
        <v>21</v>
      </c>
      <c r="M266">
        <v>0</v>
      </c>
      <c r="N266">
        <v>0</v>
      </c>
      <c r="O266" t="str">
        <f>_xlfn.XLOOKUP(olist_closed_deals_dataset[[#This Row],[mql_id]], leads!A:A, leads!D:D, "Unknow" )</f>
        <v>unknown</v>
      </c>
      <c r="P266" t="str">
        <f>IF(olist_closed_deals_dataset[[#This Row],[declared_monthly_revenue]] &gt;= 10000, "High Values ", IF(olist_closed_deals_dataset[[#This Row],[declared_monthly_revenue]] &gt; 0, "Stander ", "No Revenue " ))</f>
        <v xml:space="preserve">No Revenue </v>
      </c>
    </row>
    <row r="267" spans="1:16" x14ac:dyDescent="0.2">
      <c r="A267" t="s">
        <v>628</v>
      </c>
      <c r="B267" t="s">
        <v>629</v>
      </c>
      <c r="C267" t="s">
        <v>64</v>
      </c>
      <c r="D267" t="s">
        <v>48</v>
      </c>
      <c r="E267" s="1">
        <v>43220.562557870369</v>
      </c>
      <c r="F267" t="s">
        <v>494</v>
      </c>
      <c r="G267" t="s">
        <v>19</v>
      </c>
      <c r="H267" t="s">
        <v>28</v>
      </c>
      <c r="I267" t="s">
        <v>1796</v>
      </c>
      <c r="J267" t="s">
        <v>1796</v>
      </c>
      <c r="K267" t="s">
        <v>1796</v>
      </c>
      <c r="L267" t="s">
        <v>1796</v>
      </c>
      <c r="M267">
        <v>0</v>
      </c>
      <c r="N267">
        <v>0</v>
      </c>
      <c r="O267" t="str">
        <f>_xlfn.XLOOKUP(olist_closed_deals_dataset[[#This Row],[mql_id]], leads!A:A, leads!D:D, "Unknow" )</f>
        <v>display</v>
      </c>
      <c r="P267" t="str">
        <f>IF(olist_closed_deals_dataset[[#This Row],[declared_monthly_revenue]] &gt;= 10000, "High Values ", IF(olist_closed_deals_dataset[[#This Row],[declared_monthly_revenue]] &gt; 0, "Stander ", "No Revenue " ))</f>
        <v xml:space="preserve">No Revenue </v>
      </c>
    </row>
    <row r="268" spans="1:16" x14ac:dyDescent="0.2">
      <c r="A268" t="s">
        <v>630</v>
      </c>
      <c r="B268" t="s">
        <v>631</v>
      </c>
      <c r="C268" t="s">
        <v>181</v>
      </c>
      <c r="D268" t="s">
        <v>25</v>
      </c>
      <c r="E268" s="1">
        <v>43307.710428240738</v>
      </c>
      <c r="F268" t="s">
        <v>221</v>
      </c>
      <c r="G268" t="s">
        <v>34</v>
      </c>
      <c r="H268" t="s">
        <v>28</v>
      </c>
      <c r="I268" t="s">
        <v>1796</v>
      </c>
      <c r="J268" t="s">
        <v>1796</v>
      </c>
      <c r="K268" t="s">
        <v>1796</v>
      </c>
      <c r="L268" t="s">
        <v>21</v>
      </c>
      <c r="M268">
        <v>0</v>
      </c>
      <c r="N268">
        <v>0</v>
      </c>
      <c r="O268" t="str">
        <f>_xlfn.XLOOKUP(olist_closed_deals_dataset[[#This Row],[mql_id]], leads!A:A, leads!D:D, "Unknow" )</f>
        <v>unknown</v>
      </c>
      <c r="P268" t="str">
        <f>IF(olist_closed_deals_dataset[[#This Row],[declared_monthly_revenue]] &gt;= 10000, "High Values ", IF(olist_closed_deals_dataset[[#This Row],[declared_monthly_revenue]] &gt; 0, "Stander ", "No Revenue " ))</f>
        <v xml:space="preserve">No Revenue </v>
      </c>
    </row>
    <row r="269" spans="1:16" x14ac:dyDescent="0.2">
      <c r="A269" t="s">
        <v>632</v>
      </c>
      <c r="B269" t="s">
        <v>633</v>
      </c>
      <c r="C269" t="s">
        <v>31</v>
      </c>
      <c r="D269" t="s">
        <v>17</v>
      </c>
      <c r="E269" s="1">
        <v>43234.820810185185</v>
      </c>
      <c r="F269" t="s">
        <v>68</v>
      </c>
      <c r="G269" t="s">
        <v>34</v>
      </c>
      <c r="H269" t="s">
        <v>20</v>
      </c>
      <c r="I269" t="s">
        <v>1796</v>
      </c>
      <c r="J269" t="s">
        <v>1796</v>
      </c>
      <c r="K269" t="s">
        <v>1796</v>
      </c>
      <c r="L269" t="s">
        <v>21</v>
      </c>
      <c r="M269">
        <v>0</v>
      </c>
      <c r="N269">
        <v>0</v>
      </c>
      <c r="O269" t="str">
        <f>_xlfn.XLOOKUP(olist_closed_deals_dataset[[#This Row],[mql_id]], leads!A:A, leads!D:D, "Unknow" )</f>
        <v>organic_search</v>
      </c>
      <c r="P269" t="str">
        <f>IF(olist_closed_deals_dataset[[#This Row],[declared_monthly_revenue]] &gt;= 10000, "High Values ", IF(olist_closed_deals_dataset[[#This Row],[declared_monthly_revenue]] &gt; 0, "Stander ", "No Revenue " ))</f>
        <v xml:space="preserve">No Revenue </v>
      </c>
    </row>
    <row r="270" spans="1:16" x14ac:dyDescent="0.2">
      <c r="A270" t="s">
        <v>634</v>
      </c>
      <c r="B270" t="s">
        <v>635</v>
      </c>
      <c r="C270" t="s">
        <v>47</v>
      </c>
      <c r="D270" t="s">
        <v>48</v>
      </c>
      <c r="E270" s="1">
        <v>43122.738611111112</v>
      </c>
      <c r="F270" t="s">
        <v>85</v>
      </c>
      <c r="G270" t="s">
        <v>27</v>
      </c>
      <c r="H270" t="s">
        <v>1796</v>
      </c>
      <c r="I270" t="s">
        <v>1796</v>
      </c>
      <c r="J270" t="s">
        <v>1796</v>
      </c>
      <c r="K270" t="s">
        <v>1796</v>
      </c>
      <c r="L270" t="s">
        <v>21</v>
      </c>
      <c r="M270">
        <v>0</v>
      </c>
      <c r="N270">
        <v>0</v>
      </c>
      <c r="O270" t="str">
        <f>_xlfn.XLOOKUP(olist_closed_deals_dataset[[#This Row],[mql_id]], leads!A:A, leads!D:D, "Unknow" )</f>
        <v>paid_search</v>
      </c>
      <c r="P270" t="str">
        <f>IF(olist_closed_deals_dataset[[#This Row],[declared_monthly_revenue]] &gt;= 10000, "High Values ", IF(olist_closed_deals_dataset[[#This Row],[declared_monthly_revenue]] &gt; 0, "Stander ", "No Revenue " ))</f>
        <v xml:space="preserve">No Revenue </v>
      </c>
    </row>
    <row r="271" spans="1:16" x14ac:dyDescent="0.2">
      <c r="A271" t="s">
        <v>636</v>
      </c>
      <c r="B271" t="s">
        <v>637</v>
      </c>
      <c r="C271" t="s">
        <v>42</v>
      </c>
      <c r="D271" t="s">
        <v>17</v>
      </c>
      <c r="E271" s="1">
        <v>43238.545300925929</v>
      </c>
      <c r="F271" t="s">
        <v>53</v>
      </c>
      <c r="G271" t="s">
        <v>99</v>
      </c>
      <c r="H271" t="s">
        <v>20</v>
      </c>
      <c r="I271" t="s">
        <v>1796</v>
      </c>
      <c r="J271" t="s">
        <v>1796</v>
      </c>
      <c r="K271" t="s">
        <v>1796</v>
      </c>
      <c r="L271" t="s">
        <v>21</v>
      </c>
      <c r="M271">
        <v>0</v>
      </c>
      <c r="N271">
        <v>0</v>
      </c>
      <c r="O271" t="str">
        <f>_xlfn.XLOOKUP(olist_closed_deals_dataset[[#This Row],[mql_id]], leads!A:A, leads!D:D, "Unknow" )</f>
        <v>paid_search</v>
      </c>
      <c r="P271" t="str">
        <f>IF(olist_closed_deals_dataset[[#This Row],[declared_monthly_revenue]] &gt;= 10000, "High Values ", IF(olist_closed_deals_dataset[[#This Row],[declared_monthly_revenue]] &gt; 0, "Stander ", "No Revenue " ))</f>
        <v xml:space="preserve">No Revenue </v>
      </c>
    </row>
    <row r="272" spans="1:16" x14ac:dyDescent="0.2">
      <c r="A272" t="s">
        <v>638</v>
      </c>
      <c r="B272" t="s">
        <v>639</v>
      </c>
      <c r="C272" t="s">
        <v>64</v>
      </c>
      <c r="D272" t="s">
        <v>17</v>
      </c>
      <c r="E272" s="1">
        <v>43243.875671296293</v>
      </c>
      <c r="F272" t="s">
        <v>204</v>
      </c>
      <c r="G272" t="s">
        <v>19</v>
      </c>
      <c r="H272" t="s">
        <v>28</v>
      </c>
      <c r="I272" t="s">
        <v>1796</v>
      </c>
      <c r="J272" t="s">
        <v>1796</v>
      </c>
      <c r="K272" t="s">
        <v>1796</v>
      </c>
      <c r="L272" t="s">
        <v>21</v>
      </c>
      <c r="M272">
        <v>0</v>
      </c>
      <c r="N272">
        <v>0</v>
      </c>
      <c r="O272" t="str">
        <f>_xlfn.XLOOKUP(olist_closed_deals_dataset[[#This Row],[mql_id]], leads!A:A, leads!D:D, "Unknow" )</f>
        <v>display</v>
      </c>
      <c r="P272" t="str">
        <f>IF(olist_closed_deals_dataset[[#This Row],[declared_monthly_revenue]] &gt;= 10000, "High Values ", IF(olist_closed_deals_dataset[[#This Row],[declared_monthly_revenue]] &gt; 0, "Stander ", "No Revenue " ))</f>
        <v xml:space="preserve">No Revenue </v>
      </c>
    </row>
    <row r="273" spans="1:16" x14ac:dyDescent="0.2">
      <c r="A273" t="s">
        <v>640</v>
      </c>
      <c r="B273" t="s">
        <v>641</v>
      </c>
      <c r="C273" t="s">
        <v>595</v>
      </c>
      <c r="D273" t="s">
        <v>102</v>
      </c>
      <c r="E273" s="1">
        <v>43172.661041666666</v>
      </c>
      <c r="F273" t="s">
        <v>96</v>
      </c>
      <c r="G273" t="s">
        <v>19</v>
      </c>
      <c r="H273" t="s">
        <v>20</v>
      </c>
      <c r="I273" t="s">
        <v>1796</v>
      </c>
      <c r="J273" t="s">
        <v>1796</v>
      </c>
      <c r="K273" t="s">
        <v>1796</v>
      </c>
      <c r="L273" t="s">
        <v>44</v>
      </c>
      <c r="M273">
        <v>0</v>
      </c>
      <c r="N273">
        <v>0</v>
      </c>
      <c r="O273" t="str">
        <f>_xlfn.XLOOKUP(olist_closed_deals_dataset[[#This Row],[mql_id]], leads!A:A, leads!D:D, "Unknow" )</f>
        <v>paid_search</v>
      </c>
      <c r="P273" t="str">
        <f>IF(olist_closed_deals_dataset[[#This Row],[declared_monthly_revenue]] &gt;= 10000, "High Values ", IF(olist_closed_deals_dataset[[#This Row],[declared_monthly_revenue]] &gt; 0, "Stander ", "No Revenue " ))</f>
        <v xml:space="preserve">No Revenue </v>
      </c>
    </row>
    <row r="274" spans="1:16" x14ac:dyDescent="0.2">
      <c r="A274" t="s">
        <v>642</v>
      </c>
      <c r="B274" t="s">
        <v>643</v>
      </c>
      <c r="C274" t="s">
        <v>81</v>
      </c>
      <c r="D274" t="s">
        <v>95</v>
      </c>
      <c r="E274" s="1">
        <v>43209.592407407406</v>
      </c>
      <c r="F274" t="s">
        <v>85</v>
      </c>
      <c r="G274" t="s">
        <v>19</v>
      </c>
      <c r="H274" t="s">
        <v>20</v>
      </c>
      <c r="I274" t="s">
        <v>1796</v>
      </c>
      <c r="J274" t="s">
        <v>1796</v>
      </c>
      <c r="K274" t="s">
        <v>1796</v>
      </c>
      <c r="L274" t="s">
        <v>44</v>
      </c>
      <c r="M274">
        <v>0</v>
      </c>
      <c r="N274">
        <v>0</v>
      </c>
      <c r="O274" t="str">
        <f>_xlfn.XLOOKUP(olist_closed_deals_dataset[[#This Row],[mql_id]], leads!A:A, leads!D:D, "Unknow" )</f>
        <v>social</v>
      </c>
      <c r="P274" t="str">
        <f>IF(olist_closed_deals_dataset[[#This Row],[declared_monthly_revenue]] &gt;= 10000, "High Values ", IF(olist_closed_deals_dataset[[#This Row],[declared_monthly_revenue]] &gt; 0, "Stander ", "No Revenue " ))</f>
        <v xml:space="preserve">No Revenue </v>
      </c>
    </row>
    <row r="275" spans="1:16" x14ac:dyDescent="0.2">
      <c r="A275" t="s">
        <v>644</v>
      </c>
      <c r="B275" t="s">
        <v>645</v>
      </c>
      <c r="C275" t="s">
        <v>65</v>
      </c>
      <c r="D275" t="s">
        <v>17</v>
      </c>
      <c r="E275" s="1">
        <v>43159.802256944444</v>
      </c>
      <c r="F275" t="s">
        <v>138</v>
      </c>
      <c r="G275" t="s">
        <v>19</v>
      </c>
      <c r="H275" t="s">
        <v>20</v>
      </c>
      <c r="I275" t="s">
        <v>1796</v>
      </c>
      <c r="J275" t="s">
        <v>1796</v>
      </c>
      <c r="K275" t="s">
        <v>1796</v>
      </c>
      <c r="L275" t="s">
        <v>21</v>
      </c>
      <c r="M275">
        <v>0</v>
      </c>
      <c r="N275">
        <v>0</v>
      </c>
      <c r="O275" t="str">
        <f>_xlfn.XLOOKUP(olist_closed_deals_dataset[[#This Row],[mql_id]], leads!A:A, leads!D:D, "Unknow" )</f>
        <v>organic_search</v>
      </c>
      <c r="P275" t="str">
        <f>IF(olist_closed_deals_dataset[[#This Row],[declared_monthly_revenue]] &gt;= 10000, "High Values ", IF(olist_closed_deals_dataset[[#This Row],[declared_monthly_revenue]] &gt; 0, "Stander ", "No Revenue " ))</f>
        <v xml:space="preserve">No Revenue </v>
      </c>
    </row>
    <row r="276" spans="1:16" x14ac:dyDescent="0.2">
      <c r="A276" t="s">
        <v>646</v>
      </c>
      <c r="B276" t="s">
        <v>647</v>
      </c>
      <c r="C276" t="s">
        <v>31</v>
      </c>
      <c r="D276" t="s">
        <v>74</v>
      </c>
      <c r="E276" s="1">
        <v>43314.730740740742</v>
      </c>
      <c r="F276" t="s">
        <v>131</v>
      </c>
      <c r="G276" t="s">
        <v>34</v>
      </c>
      <c r="H276" t="s">
        <v>225</v>
      </c>
      <c r="I276" t="b">
        <v>1</v>
      </c>
      <c r="J276" t="b">
        <v>1</v>
      </c>
      <c r="K276" t="s">
        <v>352</v>
      </c>
      <c r="L276" t="s">
        <v>21</v>
      </c>
      <c r="M276">
        <v>0</v>
      </c>
      <c r="N276">
        <v>0</v>
      </c>
      <c r="O276" t="str">
        <f>_xlfn.XLOOKUP(olist_closed_deals_dataset[[#This Row],[mql_id]], leads!A:A, leads!D:D, "Unknow" )</f>
        <v>unknown</v>
      </c>
      <c r="P276" t="str">
        <f>IF(olist_closed_deals_dataset[[#This Row],[declared_monthly_revenue]] &gt;= 10000, "High Values ", IF(olist_closed_deals_dataset[[#This Row],[declared_monthly_revenue]] &gt; 0, "Stander ", "No Revenue " ))</f>
        <v xml:space="preserve">No Revenue </v>
      </c>
    </row>
    <row r="277" spans="1:16" x14ac:dyDescent="0.2">
      <c r="A277" t="s">
        <v>648</v>
      </c>
      <c r="B277" t="s">
        <v>649</v>
      </c>
      <c r="C277" t="s">
        <v>64</v>
      </c>
      <c r="D277" t="s">
        <v>25</v>
      </c>
      <c r="E277" s="1">
        <v>43208.84652777778</v>
      </c>
      <c r="F277" t="s">
        <v>204</v>
      </c>
      <c r="G277" t="s">
        <v>57</v>
      </c>
      <c r="H277" t="s">
        <v>20</v>
      </c>
      <c r="I277" t="s">
        <v>1796</v>
      </c>
      <c r="J277" t="s">
        <v>1796</v>
      </c>
      <c r="K277" t="s">
        <v>1796</v>
      </c>
      <c r="L277" t="s">
        <v>44</v>
      </c>
      <c r="M277">
        <v>0</v>
      </c>
      <c r="N277">
        <v>0</v>
      </c>
      <c r="O277" t="str">
        <f>_xlfn.XLOOKUP(olist_closed_deals_dataset[[#This Row],[mql_id]], leads!A:A, leads!D:D, "Unknow" )</f>
        <v>organic_search</v>
      </c>
      <c r="P277" t="str">
        <f>IF(olist_closed_deals_dataset[[#This Row],[declared_monthly_revenue]] &gt;= 10000, "High Values ", IF(olist_closed_deals_dataset[[#This Row],[declared_monthly_revenue]] &gt; 0, "Stander ", "No Revenue " ))</f>
        <v xml:space="preserve">No Revenue </v>
      </c>
    </row>
    <row r="278" spans="1:16" x14ac:dyDescent="0.2">
      <c r="A278" t="s">
        <v>650</v>
      </c>
      <c r="B278" t="s">
        <v>651</v>
      </c>
      <c r="C278" t="s">
        <v>16</v>
      </c>
      <c r="D278" t="s">
        <v>48</v>
      </c>
      <c r="E278" s="1">
        <v>43196.593993055554</v>
      </c>
      <c r="F278" t="s">
        <v>92</v>
      </c>
      <c r="G278" t="s">
        <v>99</v>
      </c>
      <c r="H278" t="s">
        <v>1796</v>
      </c>
      <c r="I278" t="s">
        <v>1796</v>
      </c>
      <c r="J278" t="s">
        <v>1796</v>
      </c>
      <c r="K278" t="s">
        <v>1796</v>
      </c>
      <c r="L278" t="s">
        <v>21</v>
      </c>
      <c r="M278">
        <v>0</v>
      </c>
      <c r="N278">
        <v>0</v>
      </c>
      <c r="O278" t="str">
        <f>_xlfn.XLOOKUP(olist_closed_deals_dataset[[#This Row],[mql_id]], leads!A:A, leads!D:D, "Unknow" )</f>
        <v>organic_search</v>
      </c>
      <c r="P278" t="str">
        <f>IF(olist_closed_deals_dataset[[#This Row],[declared_monthly_revenue]] &gt;= 10000, "High Values ", IF(olist_closed_deals_dataset[[#This Row],[declared_monthly_revenue]] &gt; 0, "Stander ", "No Revenue " ))</f>
        <v xml:space="preserve">No Revenue </v>
      </c>
    </row>
    <row r="279" spans="1:16" x14ac:dyDescent="0.2">
      <c r="A279" t="s">
        <v>652</v>
      </c>
      <c r="B279" t="s">
        <v>653</v>
      </c>
      <c r="C279" t="s">
        <v>16</v>
      </c>
      <c r="D279" t="s">
        <v>17</v>
      </c>
      <c r="E279" s="1">
        <v>43204.125</v>
      </c>
      <c r="F279" t="s">
        <v>61</v>
      </c>
      <c r="G279" t="s">
        <v>27</v>
      </c>
      <c r="H279" t="s">
        <v>20</v>
      </c>
      <c r="I279" t="s">
        <v>1796</v>
      </c>
      <c r="J279" t="s">
        <v>1796</v>
      </c>
      <c r="K279" t="s">
        <v>1796</v>
      </c>
      <c r="L279" t="s">
        <v>44</v>
      </c>
      <c r="M279">
        <v>0</v>
      </c>
      <c r="N279">
        <v>0</v>
      </c>
      <c r="O279" t="str">
        <f>_xlfn.XLOOKUP(olist_closed_deals_dataset[[#This Row],[mql_id]], leads!A:A, leads!D:D, "Unknow" )</f>
        <v>direct_traffic</v>
      </c>
      <c r="P279" t="str">
        <f>IF(olist_closed_deals_dataset[[#This Row],[declared_monthly_revenue]] &gt;= 10000, "High Values ", IF(olist_closed_deals_dataset[[#This Row],[declared_monthly_revenue]] &gt; 0, "Stander ", "No Revenue " ))</f>
        <v xml:space="preserve">No Revenue </v>
      </c>
    </row>
    <row r="280" spans="1:16" x14ac:dyDescent="0.2">
      <c r="A280" t="s">
        <v>654</v>
      </c>
      <c r="B280" t="s">
        <v>655</v>
      </c>
      <c r="C280" t="s">
        <v>31</v>
      </c>
      <c r="D280" t="s">
        <v>64</v>
      </c>
      <c r="E280" s="1">
        <v>43326.58121527778</v>
      </c>
      <c r="F280" t="s">
        <v>572</v>
      </c>
      <c r="G280" t="s">
        <v>19</v>
      </c>
      <c r="H280" t="s">
        <v>20</v>
      </c>
      <c r="I280" t="b">
        <v>1</v>
      </c>
      <c r="J280" t="b">
        <v>1</v>
      </c>
      <c r="K280" t="s">
        <v>199</v>
      </c>
      <c r="L280" t="s">
        <v>21</v>
      </c>
      <c r="M280">
        <v>400</v>
      </c>
      <c r="N280">
        <v>0</v>
      </c>
      <c r="O280" t="str">
        <f>_xlfn.XLOOKUP(olist_closed_deals_dataset[[#This Row],[mql_id]], leads!A:A, leads!D:D, "Unknow" )</f>
        <v>organic_search</v>
      </c>
      <c r="P280" t="str">
        <f>IF(olist_closed_deals_dataset[[#This Row],[declared_monthly_revenue]] &gt;= 10000, "High Values ", IF(olist_closed_deals_dataset[[#This Row],[declared_monthly_revenue]] &gt; 0, "Stander ", "No Revenue " ))</f>
        <v xml:space="preserve">No Revenue </v>
      </c>
    </row>
    <row r="281" spans="1:16" x14ac:dyDescent="0.2">
      <c r="A281" t="s">
        <v>656</v>
      </c>
      <c r="B281" t="s">
        <v>657</v>
      </c>
      <c r="C281" t="s">
        <v>60</v>
      </c>
      <c r="D281" t="s">
        <v>52</v>
      </c>
      <c r="E281" s="1">
        <v>43243.581400462965</v>
      </c>
      <c r="F281" t="s">
        <v>49</v>
      </c>
      <c r="G281" t="s">
        <v>112</v>
      </c>
      <c r="H281" t="s">
        <v>20</v>
      </c>
      <c r="I281" t="s">
        <v>1796</v>
      </c>
      <c r="J281" t="s">
        <v>1796</v>
      </c>
      <c r="K281" t="s">
        <v>1796</v>
      </c>
      <c r="L281" t="s">
        <v>21</v>
      </c>
      <c r="M281">
        <v>0</v>
      </c>
      <c r="N281">
        <v>0</v>
      </c>
      <c r="O281" t="str">
        <f>_xlfn.XLOOKUP(olist_closed_deals_dataset[[#This Row],[mql_id]], leads!A:A, leads!D:D, "Unknow" )</f>
        <v>unknown</v>
      </c>
      <c r="P281" t="str">
        <f>IF(olist_closed_deals_dataset[[#This Row],[declared_monthly_revenue]] &gt;= 10000, "High Values ", IF(olist_closed_deals_dataset[[#This Row],[declared_monthly_revenue]] &gt; 0, "Stander ", "No Revenue " ))</f>
        <v xml:space="preserve">No Revenue </v>
      </c>
    </row>
    <row r="282" spans="1:16" x14ac:dyDescent="0.2">
      <c r="A282" t="s">
        <v>658</v>
      </c>
      <c r="B282" t="s">
        <v>659</v>
      </c>
      <c r="C282" t="s">
        <v>24</v>
      </c>
      <c r="D282" t="s">
        <v>52</v>
      </c>
      <c r="E282" s="1">
        <v>43187.948437500003</v>
      </c>
      <c r="F282" t="s">
        <v>61</v>
      </c>
      <c r="G282" t="s">
        <v>19</v>
      </c>
      <c r="H282" t="s">
        <v>20</v>
      </c>
      <c r="I282" t="s">
        <v>1796</v>
      </c>
      <c r="J282" t="s">
        <v>1796</v>
      </c>
      <c r="K282" t="s">
        <v>1796</v>
      </c>
      <c r="L282" t="s">
        <v>21</v>
      </c>
      <c r="M282">
        <v>0</v>
      </c>
      <c r="N282">
        <v>0</v>
      </c>
      <c r="O282" t="str">
        <f>_xlfn.XLOOKUP(olist_closed_deals_dataset[[#This Row],[mql_id]], leads!A:A, leads!D:D, "Unknow" )</f>
        <v>unknown</v>
      </c>
      <c r="P282" t="str">
        <f>IF(olist_closed_deals_dataset[[#This Row],[declared_monthly_revenue]] &gt;= 10000, "High Values ", IF(olist_closed_deals_dataset[[#This Row],[declared_monthly_revenue]] &gt; 0, "Stander ", "No Revenue " ))</f>
        <v xml:space="preserve">No Revenue </v>
      </c>
    </row>
    <row r="283" spans="1:16" x14ac:dyDescent="0.2">
      <c r="A283" t="s">
        <v>660</v>
      </c>
      <c r="B283" t="s">
        <v>661</v>
      </c>
      <c r="C283" t="s">
        <v>42</v>
      </c>
      <c r="D283" t="s">
        <v>52</v>
      </c>
      <c r="E283" s="1">
        <v>43196.905289351853</v>
      </c>
      <c r="F283" t="s">
        <v>415</v>
      </c>
      <c r="G283" t="s">
        <v>19</v>
      </c>
      <c r="H283" t="s">
        <v>28</v>
      </c>
      <c r="I283" t="s">
        <v>1796</v>
      </c>
      <c r="J283" t="s">
        <v>1796</v>
      </c>
      <c r="K283" t="s">
        <v>1796</v>
      </c>
      <c r="L283" t="s">
        <v>21</v>
      </c>
      <c r="M283">
        <v>0</v>
      </c>
      <c r="N283">
        <v>0</v>
      </c>
      <c r="O283" t="str">
        <f>_xlfn.XLOOKUP(olist_closed_deals_dataset[[#This Row],[mql_id]], leads!A:A, leads!D:D, "Unknow" )</f>
        <v>organic_search</v>
      </c>
      <c r="P283" t="str">
        <f>IF(olist_closed_deals_dataset[[#This Row],[declared_monthly_revenue]] &gt;= 10000, "High Values ", IF(olist_closed_deals_dataset[[#This Row],[declared_monthly_revenue]] &gt; 0, "Stander ", "No Revenue " ))</f>
        <v xml:space="preserve">No Revenue </v>
      </c>
    </row>
    <row r="284" spans="1:16" x14ac:dyDescent="0.2">
      <c r="A284" t="s">
        <v>662</v>
      </c>
      <c r="B284" t="s">
        <v>663</v>
      </c>
      <c r="C284" t="s">
        <v>64</v>
      </c>
      <c r="D284" t="s">
        <v>37</v>
      </c>
      <c r="E284" s="1">
        <v>43245.753229166665</v>
      </c>
      <c r="F284" t="s">
        <v>204</v>
      </c>
      <c r="G284" t="s">
        <v>57</v>
      </c>
      <c r="H284" t="s">
        <v>20</v>
      </c>
      <c r="I284" t="s">
        <v>1796</v>
      </c>
      <c r="J284" t="s">
        <v>1796</v>
      </c>
      <c r="K284" t="s">
        <v>1796</v>
      </c>
      <c r="L284" t="s">
        <v>21</v>
      </c>
      <c r="M284">
        <v>0</v>
      </c>
      <c r="N284">
        <v>0</v>
      </c>
      <c r="O284" t="str">
        <f>_xlfn.XLOOKUP(olist_closed_deals_dataset[[#This Row],[mql_id]], leads!A:A, leads!D:D, "Unknow" )</f>
        <v>unknown</v>
      </c>
      <c r="P284" t="str">
        <f>IF(olist_closed_deals_dataset[[#This Row],[declared_monthly_revenue]] &gt;= 10000, "High Values ", IF(olist_closed_deals_dataset[[#This Row],[declared_monthly_revenue]] &gt; 0, "Stander ", "No Revenue " ))</f>
        <v xml:space="preserve">No Revenue </v>
      </c>
    </row>
    <row r="285" spans="1:16" x14ac:dyDescent="0.2">
      <c r="A285" t="s">
        <v>664</v>
      </c>
      <c r="B285" t="s">
        <v>665</v>
      </c>
      <c r="C285" t="s">
        <v>56</v>
      </c>
      <c r="D285" t="s">
        <v>16</v>
      </c>
      <c r="E285" s="1">
        <v>43231.53261574074</v>
      </c>
      <c r="F285" t="s">
        <v>103</v>
      </c>
      <c r="G285" t="s">
        <v>34</v>
      </c>
      <c r="H285" t="s">
        <v>20</v>
      </c>
      <c r="I285" t="s">
        <v>1796</v>
      </c>
      <c r="J285" t="s">
        <v>1796</v>
      </c>
      <c r="K285" t="s">
        <v>1796</v>
      </c>
      <c r="L285" t="s">
        <v>21</v>
      </c>
      <c r="M285">
        <v>0</v>
      </c>
      <c r="N285">
        <v>0</v>
      </c>
      <c r="O285" t="str">
        <f>_xlfn.XLOOKUP(olist_closed_deals_dataset[[#This Row],[mql_id]], leads!A:A, leads!D:D, "Unknow" )</f>
        <v>paid_search</v>
      </c>
      <c r="P285" t="str">
        <f>IF(olist_closed_deals_dataset[[#This Row],[declared_monthly_revenue]] &gt;= 10000, "High Values ", IF(olist_closed_deals_dataset[[#This Row],[declared_monthly_revenue]] &gt; 0, "Stander ", "No Revenue " ))</f>
        <v xml:space="preserve">No Revenue </v>
      </c>
    </row>
    <row r="286" spans="1:16" x14ac:dyDescent="0.2">
      <c r="A286" t="s">
        <v>666</v>
      </c>
      <c r="B286" t="s">
        <v>667</v>
      </c>
      <c r="C286" t="s">
        <v>56</v>
      </c>
      <c r="D286" t="s">
        <v>65</v>
      </c>
      <c r="E286" s="1">
        <v>43214.596909722219</v>
      </c>
      <c r="F286" t="s">
        <v>96</v>
      </c>
      <c r="G286" t="s">
        <v>39</v>
      </c>
      <c r="H286" t="s">
        <v>20</v>
      </c>
      <c r="I286" t="s">
        <v>1796</v>
      </c>
      <c r="J286" t="s">
        <v>1796</v>
      </c>
      <c r="K286" t="s">
        <v>1796</v>
      </c>
      <c r="L286" t="s">
        <v>44</v>
      </c>
      <c r="M286">
        <v>0</v>
      </c>
      <c r="N286">
        <v>0</v>
      </c>
      <c r="O286" t="str">
        <f>_xlfn.XLOOKUP(olist_closed_deals_dataset[[#This Row],[mql_id]], leads!A:A, leads!D:D, "Unknow" )</f>
        <v>unknown</v>
      </c>
      <c r="P286" t="str">
        <f>IF(olist_closed_deals_dataset[[#This Row],[declared_monthly_revenue]] &gt;= 10000, "High Values ", IF(olist_closed_deals_dataset[[#This Row],[declared_monthly_revenue]] &gt; 0, "Stander ", "No Revenue " ))</f>
        <v xml:space="preserve">No Revenue </v>
      </c>
    </row>
    <row r="287" spans="1:16" x14ac:dyDescent="0.2">
      <c r="A287" t="s">
        <v>668</v>
      </c>
      <c r="B287" t="s">
        <v>669</v>
      </c>
      <c r="C287" t="s">
        <v>42</v>
      </c>
      <c r="D287" t="s">
        <v>16</v>
      </c>
      <c r="E287" s="1">
        <v>43231.806516203702</v>
      </c>
      <c r="F287" t="s">
        <v>26</v>
      </c>
      <c r="G287" t="s">
        <v>19</v>
      </c>
      <c r="H287" t="s">
        <v>20</v>
      </c>
      <c r="I287" t="s">
        <v>1796</v>
      </c>
      <c r="J287" t="s">
        <v>1796</v>
      </c>
      <c r="K287" t="s">
        <v>1796</v>
      </c>
      <c r="L287" t="s">
        <v>21</v>
      </c>
      <c r="M287">
        <v>0</v>
      </c>
      <c r="N287">
        <v>0</v>
      </c>
      <c r="O287" t="str">
        <f>_xlfn.XLOOKUP(olist_closed_deals_dataset[[#This Row],[mql_id]], leads!A:A, leads!D:D, "Unknow" )</f>
        <v>unknown</v>
      </c>
      <c r="P287" t="str">
        <f>IF(olist_closed_deals_dataset[[#This Row],[declared_monthly_revenue]] &gt;= 10000, "High Values ", IF(olist_closed_deals_dataset[[#This Row],[declared_monthly_revenue]] &gt; 0, "Stander ", "No Revenue " ))</f>
        <v xml:space="preserve">No Revenue </v>
      </c>
    </row>
    <row r="288" spans="1:16" x14ac:dyDescent="0.2">
      <c r="A288" t="s">
        <v>670</v>
      </c>
      <c r="B288" t="s">
        <v>671</v>
      </c>
      <c r="C288" t="s">
        <v>159</v>
      </c>
      <c r="D288" t="s">
        <v>71</v>
      </c>
      <c r="E288" s="1">
        <v>43217.560706018521</v>
      </c>
      <c r="F288" t="s">
        <v>92</v>
      </c>
      <c r="G288" t="s">
        <v>39</v>
      </c>
      <c r="H288" t="s">
        <v>20</v>
      </c>
      <c r="I288" t="s">
        <v>1796</v>
      </c>
      <c r="J288" t="s">
        <v>1796</v>
      </c>
      <c r="K288" t="s">
        <v>1796</v>
      </c>
      <c r="L288" t="s">
        <v>21</v>
      </c>
      <c r="M288">
        <v>0</v>
      </c>
      <c r="N288">
        <v>0</v>
      </c>
      <c r="O288" t="str">
        <f>_xlfn.XLOOKUP(olist_closed_deals_dataset[[#This Row],[mql_id]], leads!A:A, leads!D:D, "Unknow" )</f>
        <v>paid_search</v>
      </c>
      <c r="P288" t="str">
        <f>IF(olist_closed_deals_dataset[[#This Row],[declared_monthly_revenue]] &gt;= 10000, "High Values ", IF(olist_closed_deals_dataset[[#This Row],[declared_monthly_revenue]] &gt; 0, "Stander ", "No Revenue " ))</f>
        <v xml:space="preserve">No Revenue </v>
      </c>
    </row>
    <row r="289" spans="1:16" x14ac:dyDescent="0.2">
      <c r="A289" t="s">
        <v>672</v>
      </c>
      <c r="B289" t="s">
        <v>673</v>
      </c>
      <c r="C289" t="s">
        <v>16</v>
      </c>
      <c r="D289" t="s">
        <v>37</v>
      </c>
      <c r="E289" s="1">
        <v>43215.906018518515</v>
      </c>
      <c r="F289" t="s">
        <v>68</v>
      </c>
      <c r="G289" t="s">
        <v>39</v>
      </c>
      <c r="H289" t="s">
        <v>20</v>
      </c>
      <c r="I289" t="s">
        <v>1796</v>
      </c>
      <c r="J289" t="s">
        <v>1796</v>
      </c>
      <c r="K289" t="s">
        <v>1796</v>
      </c>
      <c r="L289" t="s">
        <v>21</v>
      </c>
      <c r="M289">
        <v>0</v>
      </c>
      <c r="N289">
        <v>0</v>
      </c>
      <c r="O289" t="str">
        <f>_xlfn.XLOOKUP(olist_closed_deals_dataset[[#This Row],[mql_id]], leads!A:A, leads!D:D, "Unknow" )</f>
        <v>paid_search</v>
      </c>
      <c r="P289" t="str">
        <f>IF(olist_closed_deals_dataset[[#This Row],[declared_monthly_revenue]] &gt;= 10000, "High Values ", IF(olist_closed_deals_dataset[[#This Row],[declared_monthly_revenue]] &gt; 0, "Stander ", "No Revenue " ))</f>
        <v xml:space="preserve">No Revenue </v>
      </c>
    </row>
    <row r="290" spans="1:16" x14ac:dyDescent="0.2">
      <c r="A290" t="s">
        <v>674</v>
      </c>
      <c r="B290" t="s">
        <v>675</v>
      </c>
      <c r="C290" t="s">
        <v>56</v>
      </c>
      <c r="D290" t="s">
        <v>16</v>
      </c>
      <c r="E290" s="1">
        <v>43336.125</v>
      </c>
      <c r="F290" t="s">
        <v>82</v>
      </c>
      <c r="G290" t="s">
        <v>39</v>
      </c>
      <c r="H290" t="s">
        <v>20</v>
      </c>
      <c r="I290" t="s">
        <v>1796</v>
      </c>
      <c r="J290" t="s">
        <v>1796</v>
      </c>
      <c r="K290" t="s">
        <v>199</v>
      </c>
      <c r="L290" t="s">
        <v>21</v>
      </c>
      <c r="M290">
        <v>100</v>
      </c>
      <c r="N290">
        <v>0</v>
      </c>
      <c r="O290" t="str">
        <f>_xlfn.XLOOKUP(olist_closed_deals_dataset[[#This Row],[mql_id]], leads!A:A, leads!D:D, "Unknow" )</f>
        <v>referral</v>
      </c>
      <c r="P290" t="str">
        <f>IF(olist_closed_deals_dataset[[#This Row],[declared_monthly_revenue]] &gt;= 10000, "High Values ", IF(olist_closed_deals_dataset[[#This Row],[declared_monthly_revenue]] &gt; 0, "Stander ", "No Revenue " ))</f>
        <v xml:space="preserve">No Revenue </v>
      </c>
    </row>
    <row r="291" spans="1:16" x14ac:dyDescent="0.2">
      <c r="A291" t="s">
        <v>676</v>
      </c>
      <c r="B291" t="s">
        <v>677</v>
      </c>
      <c r="C291" t="s">
        <v>127</v>
      </c>
      <c r="D291" t="s">
        <v>52</v>
      </c>
      <c r="E291" s="1">
        <v>43201.670300925929</v>
      </c>
      <c r="F291" t="s">
        <v>18</v>
      </c>
      <c r="G291" t="s">
        <v>34</v>
      </c>
      <c r="H291" t="s">
        <v>20</v>
      </c>
      <c r="I291" t="s">
        <v>1796</v>
      </c>
      <c r="J291" t="s">
        <v>1796</v>
      </c>
      <c r="K291" t="s">
        <v>1796</v>
      </c>
      <c r="L291" t="s">
        <v>44</v>
      </c>
      <c r="M291">
        <v>0</v>
      </c>
      <c r="N291">
        <v>0</v>
      </c>
      <c r="O291" t="str">
        <f>_xlfn.XLOOKUP(olist_closed_deals_dataset[[#This Row],[mql_id]], leads!A:A, leads!D:D, "Unknow" )</f>
        <v>direct_traffic</v>
      </c>
      <c r="P291" t="str">
        <f>IF(olist_closed_deals_dataset[[#This Row],[declared_monthly_revenue]] &gt;= 10000, "High Values ", IF(olist_closed_deals_dataset[[#This Row],[declared_monthly_revenue]] &gt; 0, "Stander ", "No Revenue " ))</f>
        <v xml:space="preserve">No Revenue </v>
      </c>
    </row>
    <row r="292" spans="1:16" x14ac:dyDescent="0.2">
      <c r="A292" t="s">
        <v>678</v>
      </c>
      <c r="B292" t="s">
        <v>679</v>
      </c>
      <c r="C292" t="s">
        <v>42</v>
      </c>
      <c r="D292" t="s">
        <v>32</v>
      </c>
      <c r="E292" s="1">
        <v>43230.717546296299</v>
      </c>
      <c r="F292" t="s">
        <v>26</v>
      </c>
      <c r="G292" t="s">
        <v>19</v>
      </c>
      <c r="H292" t="s">
        <v>43</v>
      </c>
      <c r="I292" t="s">
        <v>1796</v>
      </c>
      <c r="J292" t="s">
        <v>1796</v>
      </c>
      <c r="K292" t="s">
        <v>1796</v>
      </c>
      <c r="L292" t="s">
        <v>21</v>
      </c>
      <c r="M292">
        <v>0</v>
      </c>
      <c r="N292">
        <v>0</v>
      </c>
      <c r="O292" t="str">
        <f>_xlfn.XLOOKUP(olist_closed_deals_dataset[[#This Row],[mql_id]], leads!A:A, leads!D:D, "Unknow" )</f>
        <v>direct_traffic</v>
      </c>
      <c r="P292" t="str">
        <f>IF(olist_closed_deals_dataset[[#This Row],[declared_monthly_revenue]] &gt;= 10000, "High Values ", IF(olist_closed_deals_dataset[[#This Row],[declared_monthly_revenue]] &gt; 0, "Stander ", "No Revenue " ))</f>
        <v xml:space="preserve">No Revenue </v>
      </c>
    </row>
    <row r="293" spans="1:16" x14ac:dyDescent="0.2">
      <c r="A293" t="s">
        <v>680</v>
      </c>
      <c r="B293" t="s">
        <v>681</v>
      </c>
      <c r="C293" t="s">
        <v>64</v>
      </c>
      <c r="D293" t="s">
        <v>65</v>
      </c>
      <c r="E293" s="1">
        <v>43215.721921296295</v>
      </c>
      <c r="F293" t="s">
        <v>61</v>
      </c>
      <c r="G293" t="s">
        <v>19</v>
      </c>
      <c r="H293" t="s">
        <v>28</v>
      </c>
      <c r="I293" t="s">
        <v>1796</v>
      </c>
      <c r="J293" t="s">
        <v>1796</v>
      </c>
      <c r="K293" t="s">
        <v>1796</v>
      </c>
      <c r="L293" t="s">
        <v>21</v>
      </c>
      <c r="M293">
        <v>0</v>
      </c>
      <c r="N293">
        <v>0</v>
      </c>
      <c r="O293" t="str">
        <f>_xlfn.XLOOKUP(olist_closed_deals_dataset[[#This Row],[mql_id]], leads!A:A, leads!D:D, "Unknow" )</f>
        <v>paid_search</v>
      </c>
      <c r="P293" t="str">
        <f>IF(olist_closed_deals_dataset[[#This Row],[declared_monthly_revenue]] &gt;= 10000, "High Values ", IF(olist_closed_deals_dataset[[#This Row],[declared_monthly_revenue]] &gt; 0, "Stander ", "No Revenue " ))</f>
        <v xml:space="preserve">No Revenue </v>
      </c>
    </row>
    <row r="294" spans="1:16" x14ac:dyDescent="0.2">
      <c r="A294" t="s">
        <v>682</v>
      </c>
      <c r="B294" t="s">
        <v>683</v>
      </c>
      <c r="C294" t="s">
        <v>65</v>
      </c>
      <c r="D294" t="s">
        <v>74</v>
      </c>
      <c r="E294" s="1">
        <v>43178.836643518516</v>
      </c>
      <c r="F294" t="s">
        <v>138</v>
      </c>
      <c r="G294" t="s">
        <v>57</v>
      </c>
      <c r="H294" t="s">
        <v>20</v>
      </c>
      <c r="I294" t="s">
        <v>1796</v>
      </c>
      <c r="J294" t="s">
        <v>1796</v>
      </c>
      <c r="K294" t="s">
        <v>1796</v>
      </c>
      <c r="L294" t="s">
        <v>21</v>
      </c>
      <c r="M294">
        <v>0</v>
      </c>
      <c r="N294">
        <v>0</v>
      </c>
      <c r="O294" t="str">
        <f>_xlfn.XLOOKUP(olist_closed_deals_dataset[[#This Row],[mql_id]], leads!A:A, leads!D:D, "Unknow" )</f>
        <v>paid_search</v>
      </c>
      <c r="P294" t="str">
        <f>IF(olist_closed_deals_dataset[[#This Row],[declared_monthly_revenue]] &gt;= 10000, "High Values ", IF(olist_closed_deals_dataset[[#This Row],[declared_monthly_revenue]] &gt; 0, "Stander ", "No Revenue " ))</f>
        <v xml:space="preserve">No Revenue </v>
      </c>
    </row>
    <row r="295" spans="1:16" x14ac:dyDescent="0.2">
      <c r="A295" t="s">
        <v>684</v>
      </c>
      <c r="B295" t="s">
        <v>685</v>
      </c>
      <c r="C295" t="s">
        <v>71</v>
      </c>
      <c r="D295" t="s">
        <v>32</v>
      </c>
      <c r="E295" s="1">
        <v>43147.786064814813</v>
      </c>
      <c r="F295" t="s">
        <v>131</v>
      </c>
      <c r="G295" t="s">
        <v>34</v>
      </c>
      <c r="H295" t="s">
        <v>1796</v>
      </c>
      <c r="I295" t="s">
        <v>1796</v>
      </c>
      <c r="J295" t="s">
        <v>1796</v>
      </c>
      <c r="K295" t="s">
        <v>1796</v>
      </c>
      <c r="L295" t="s">
        <v>21</v>
      </c>
      <c r="M295">
        <v>0</v>
      </c>
      <c r="N295">
        <v>0</v>
      </c>
      <c r="O295" t="str">
        <f>_xlfn.XLOOKUP(olist_closed_deals_dataset[[#This Row],[mql_id]], leads!A:A, leads!D:D, "Unknow" )</f>
        <v>organic_search</v>
      </c>
      <c r="P295" t="str">
        <f>IF(olist_closed_deals_dataset[[#This Row],[declared_monthly_revenue]] &gt;= 10000, "High Values ", IF(olist_closed_deals_dataset[[#This Row],[declared_monthly_revenue]] &gt; 0, "Stander ", "No Revenue " ))</f>
        <v xml:space="preserve">No Revenue </v>
      </c>
    </row>
    <row r="296" spans="1:16" x14ac:dyDescent="0.2">
      <c r="A296" t="s">
        <v>686</v>
      </c>
      <c r="B296" t="s">
        <v>687</v>
      </c>
      <c r="C296" t="s">
        <v>42</v>
      </c>
      <c r="D296" t="s">
        <v>32</v>
      </c>
      <c r="E296" s="1">
        <v>43220.738310185188</v>
      </c>
      <c r="F296" t="s">
        <v>49</v>
      </c>
      <c r="G296" t="s">
        <v>19</v>
      </c>
      <c r="H296" t="s">
        <v>43</v>
      </c>
      <c r="I296" t="s">
        <v>1796</v>
      </c>
      <c r="J296" t="s">
        <v>1796</v>
      </c>
      <c r="K296" t="s">
        <v>1796</v>
      </c>
      <c r="L296" t="s">
        <v>21</v>
      </c>
      <c r="M296">
        <v>0</v>
      </c>
      <c r="N296">
        <v>0</v>
      </c>
      <c r="O296" t="str">
        <f>_xlfn.XLOOKUP(olist_closed_deals_dataset[[#This Row],[mql_id]], leads!A:A, leads!D:D, "Unknow" )</f>
        <v>organic_search</v>
      </c>
      <c r="P296" t="str">
        <f>IF(olist_closed_deals_dataset[[#This Row],[declared_monthly_revenue]] &gt;= 10000, "High Values ", IF(olist_closed_deals_dataset[[#This Row],[declared_monthly_revenue]] &gt; 0, "Stander ", "No Revenue " ))</f>
        <v xml:space="preserve">No Revenue </v>
      </c>
    </row>
    <row r="297" spans="1:16" x14ac:dyDescent="0.2">
      <c r="A297" t="s">
        <v>688</v>
      </c>
      <c r="B297" t="s">
        <v>689</v>
      </c>
      <c r="C297" t="s">
        <v>159</v>
      </c>
      <c r="D297" t="s">
        <v>32</v>
      </c>
      <c r="E297" s="1">
        <v>43210.601805555554</v>
      </c>
      <c r="F297" t="s">
        <v>82</v>
      </c>
      <c r="G297" t="s">
        <v>19</v>
      </c>
      <c r="H297" t="s">
        <v>28</v>
      </c>
      <c r="I297" t="s">
        <v>1796</v>
      </c>
      <c r="J297" t="s">
        <v>1796</v>
      </c>
      <c r="K297" t="s">
        <v>1796</v>
      </c>
      <c r="L297" t="s">
        <v>21</v>
      </c>
      <c r="M297">
        <v>0</v>
      </c>
      <c r="N297">
        <v>0</v>
      </c>
      <c r="O297" t="str">
        <f>_xlfn.XLOOKUP(olist_closed_deals_dataset[[#This Row],[mql_id]], leads!A:A, leads!D:D, "Unknow" )</f>
        <v>unknown</v>
      </c>
      <c r="P297" t="str">
        <f>IF(olist_closed_deals_dataset[[#This Row],[declared_monthly_revenue]] &gt;= 10000, "High Values ", IF(olist_closed_deals_dataset[[#This Row],[declared_monthly_revenue]] &gt; 0, "Stander ", "No Revenue " ))</f>
        <v xml:space="preserve">No Revenue </v>
      </c>
    </row>
    <row r="298" spans="1:16" x14ac:dyDescent="0.2">
      <c r="A298" t="s">
        <v>690</v>
      </c>
      <c r="B298" t="s">
        <v>691</v>
      </c>
      <c r="C298" t="s">
        <v>42</v>
      </c>
      <c r="D298" t="s">
        <v>71</v>
      </c>
      <c r="E298" s="1">
        <v>43244.850821759261</v>
      </c>
      <c r="F298" t="s">
        <v>186</v>
      </c>
      <c r="G298" t="s">
        <v>19</v>
      </c>
      <c r="H298" t="s">
        <v>20</v>
      </c>
      <c r="I298" t="s">
        <v>1796</v>
      </c>
      <c r="J298" t="s">
        <v>1796</v>
      </c>
      <c r="K298" t="s">
        <v>1796</v>
      </c>
      <c r="L298" t="s">
        <v>21</v>
      </c>
      <c r="M298">
        <v>0</v>
      </c>
      <c r="N298">
        <v>0</v>
      </c>
      <c r="O298" t="str">
        <f>_xlfn.XLOOKUP(olist_closed_deals_dataset[[#This Row],[mql_id]], leads!A:A, leads!D:D, "Unknow" )</f>
        <v>unknown</v>
      </c>
      <c r="P298" t="str">
        <f>IF(olist_closed_deals_dataset[[#This Row],[declared_monthly_revenue]] &gt;= 10000, "High Values ", IF(olist_closed_deals_dataset[[#This Row],[declared_monthly_revenue]] &gt; 0, "Stander ", "No Revenue " ))</f>
        <v xml:space="preserve">No Revenue </v>
      </c>
    </row>
    <row r="299" spans="1:16" x14ac:dyDescent="0.2">
      <c r="A299" t="s">
        <v>692</v>
      </c>
      <c r="B299" t="s">
        <v>693</v>
      </c>
      <c r="C299" t="s">
        <v>60</v>
      </c>
      <c r="D299" t="s">
        <v>74</v>
      </c>
      <c r="E299" s="1">
        <v>43208.810127314813</v>
      </c>
      <c r="F299" t="s">
        <v>26</v>
      </c>
      <c r="G299" t="s">
        <v>57</v>
      </c>
      <c r="H299" t="s">
        <v>122</v>
      </c>
      <c r="I299" t="s">
        <v>1796</v>
      </c>
      <c r="J299" t="s">
        <v>1796</v>
      </c>
      <c r="K299" t="s">
        <v>1796</v>
      </c>
      <c r="L299" t="s">
        <v>44</v>
      </c>
      <c r="M299">
        <v>0</v>
      </c>
      <c r="N299">
        <v>0</v>
      </c>
      <c r="O299" t="str">
        <f>_xlfn.XLOOKUP(olist_closed_deals_dataset[[#This Row],[mql_id]], leads!A:A, leads!D:D, "Unknow" )</f>
        <v>paid_search</v>
      </c>
      <c r="P299" t="str">
        <f>IF(olist_closed_deals_dataset[[#This Row],[declared_monthly_revenue]] &gt;= 10000, "High Values ", IF(olist_closed_deals_dataset[[#This Row],[declared_monthly_revenue]] &gt; 0, "Stander ", "No Revenue " ))</f>
        <v xml:space="preserve">No Revenue </v>
      </c>
    </row>
    <row r="300" spans="1:16" x14ac:dyDescent="0.2">
      <c r="A300" t="s">
        <v>694</v>
      </c>
      <c r="B300" t="s">
        <v>695</v>
      </c>
      <c r="C300" t="s">
        <v>31</v>
      </c>
      <c r="D300" t="s">
        <v>17</v>
      </c>
      <c r="E300" s="1">
        <v>43231.860300925924</v>
      </c>
      <c r="F300" t="s">
        <v>61</v>
      </c>
      <c r="G300" t="s">
        <v>19</v>
      </c>
      <c r="H300" t="s">
        <v>20</v>
      </c>
      <c r="I300" t="s">
        <v>1796</v>
      </c>
      <c r="J300" t="s">
        <v>1796</v>
      </c>
      <c r="K300" t="s">
        <v>1796</v>
      </c>
      <c r="L300" t="s">
        <v>21</v>
      </c>
      <c r="M300">
        <v>0</v>
      </c>
      <c r="N300">
        <v>0</v>
      </c>
      <c r="O300" t="str">
        <f>_xlfn.XLOOKUP(olist_closed_deals_dataset[[#This Row],[mql_id]], leads!A:A, leads!D:D, "Unknow" )</f>
        <v>unknown</v>
      </c>
      <c r="P300" t="str">
        <f>IF(olist_closed_deals_dataset[[#This Row],[declared_monthly_revenue]] &gt;= 10000, "High Values ", IF(olist_closed_deals_dataset[[#This Row],[declared_monthly_revenue]] &gt; 0, "Stander ", "No Revenue " ))</f>
        <v xml:space="preserve">No Revenue </v>
      </c>
    </row>
    <row r="301" spans="1:16" x14ac:dyDescent="0.2">
      <c r="A301" t="s">
        <v>696</v>
      </c>
      <c r="B301" t="s">
        <v>697</v>
      </c>
      <c r="C301" t="s">
        <v>16</v>
      </c>
      <c r="D301" t="s">
        <v>102</v>
      </c>
      <c r="E301" s="1">
        <v>43174.633946759262</v>
      </c>
      <c r="F301" t="s">
        <v>18</v>
      </c>
      <c r="G301" t="s">
        <v>34</v>
      </c>
      <c r="H301" t="s">
        <v>20</v>
      </c>
      <c r="I301" t="s">
        <v>1796</v>
      </c>
      <c r="J301" t="s">
        <v>1796</v>
      </c>
      <c r="K301" t="s">
        <v>1796</v>
      </c>
      <c r="L301" t="s">
        <v>21</v>
      </c>
      <c r="M301">
        <v>0</v>
      </c>
      <c r="N301">
        <v>0</v>
      </c>
      <c r="O301" t="str">
        <f>_xlfn.XLOOKUP(olist_closed_deals_dataset[[#This Row],[mql_id]], leads!A:A, leads!D:D, "Unknow" )</f>
        <v>organic_search</v>
      </c>
      <c r="P301" t="str">
        <f>IF(olist_closed_deals_dataset[[#This Row],[declared_monthly_revenue]] &gt;= 10000, "High Values ", IF(olist_closed_deals_dataset[[#This Row],[declared_monthly_revenue]] &gt; 0, "Stander ", "No Revenue " ))</f>
        <v xml:space="preserve">No Revenue </v>
      </c>
    </row>
    <row r="302" spans="1:16" x14ac:dyDescent="0.2">
      <c r="A302" t="s">
        <v>698</v>
      </c>
      <c r="B302" t="s">
        <v>699</v>
      </c>
      <c r="C302" t="s">
        <v>16</v>
      </c>
      <c r="D302" t="s">
        <v>48</v>
      </c>
      <c r="E302" s="1">
        <v>43214.711898148147</v>
      </c>
      <c r="F302" t="s">
        <v>61</v>
      </c>
      <c r="G302" t="s">
        <v>19</v>
      </c>
      <c r="H302" t="s">
        <v>20</v>
      </c>
      <c r="I302" t="s">
        <v>1796</v>
      </c>
      <c r="J302" t="s">
        <v>1796</v>
      </c>
      <c r="K302" t="s">
        <v>1796</v>
      </c>
      <c r="L302" t="s">
        <v>44</v>
      </c>
      <c r="M302">
        <v>0</v>
      </c>
      <c r="N302">
        <v>0</v>
      </c>
      <c r="O302" t="str">
        <f>_xlfn.XLOOKUP(olist_closed_deals_dataset[[#This Row],[mql_id]], leads!A:A, leads!D:D, "Unknow" )</f>
        <v>social</v>
      </c>
      <c r="P302" t="str">
        <f>IF(olist_closed_deals_dataset[[#This Row],[declared_monthly_revenue]] &gt;= 10000, "High Values ", IF(olist_closed_deals_dataset[[#This Row],[declared_monthly_revenue]] &gt; 0, "Stander ", "No Revenue " ))</f>
        <v xml:space="preserve">No Revenue </v>
      </c>
    </row>
    <row r="303" spans="1:16" x14ac:dyDescent="0.2">
      <c r="A303" t="s">
        <v>700</v>
      </c>
      <c r="B303" t="s">
        <v>701</v>
      </c>
      <c r="C303" t="s">
        <v>42</v>
      </c>
      <c r="D303" t="s">
        <v>74</v>
      </c>
      <c r="E303" s="1">
        <v>43152.521087962959</v>
      </c>
      <c r="F303" t="s">
        <v>138</v>
      </c>
      <c r="G303" t="s">
        <v>19</v>
      </c>
      <c r="H303" t="s">
        <v>20</v>
      </c>
      <c r="I303" t="s">
        <v>1796</v>
      </c>
      <c r="J303" t="s">
        <v>1796</v>
      </c>
      <c r="K303" t="s">
        <v>1796</v>
      </c>
      <c r="L303" t="s">
        <v>21</v>
      </c>
      <c r="M303">
        <v>0</v>
      </c>
      <c r="N303">
        <v>0</v>
      </c>
      <c r="O303" t="str">
        <f>_xlfn.XLOOKUP(olist_closed_deals_dataset[[#This Row],[mql_id]], leads!A:A, leads!D:D, "Unknow" )</f>
        <v>organic_search</v>
      </c>
      <c r="P303" t="str">
        <f>IF(olist_closed_deals_dataset[[#This Row],[declared_monthly_revenue]] &gt;= 10000, "High Values ", IF(olist_closed_deals_dataset[[#This Row],[declared_monthly_revenue]] &gt; 0, "Stander ", "No Revenue " ))</f>
        <v xml:space="preserve">No Revenue </v>
      </c>
    </row>
    <row r="304" spans="1:16" x14ac:dyDescent="0.2">
      <c r="A304" t="s">
        <v>702</v>
      </c>
      <c r="B304" t="s">
        <v>703</v>
      </c>
      <c r="C304" t="s">
        <v>37</v>
      </c>
      <c r="D304" t="s">
        <v>77</v>
      </c>
      <c r="E304" s="1">
        <v>43133.863043981481</v>
      </c>
      <c r="F304" t="s">
        <v>96</v>
      </c>
      <c r="G304" t="s">
        <v>19</v>
      </c>
      <c r="H304" t="s">
        <v>1796</v>
      </c>
      <c r="I304" t="s">
        <v>1796</v>
      </c>
      <c r="J304" t="s">
        <v>1796</v>
      </c>
      <c r="K304" t="s">
        <v>1796</v>
      </c>
      <c r="L304" t="s">
        <v>44</v>
      </c>
      <c r="M304">
        <v>0</v>
      </c>
      <c r="N304">
        <v>0</v>
      </c>
      <c r="O304" t="str">
        <f>_xlfn.XLOOKUP(olist_closed_deals_dataset[[#This Row],[mql_id]], leads!A:A, leads!D:D, "Unknow" )</f>
        <v>organic_search</v>
      </c>
      <c r="P304" t="str">
        <f>IF(olist_closed_deals_dataset[[#This Row],[declared_monthly_revenue]] &gt;= 10000, "High Values ", IF(olist_closed_deals_dataset[[#This Row],[declared_monthly_revenue]] &gt; 0, "Stander ", "No Revenue " ))</f>
        <v xml:space="preserve">No Revenue </v>
      </c>
    </row>
    <row r="305" spans="1:16" x14ac:dyDescent="0.2">
      <c r="A305" t="s">
        <v>704</v>
      </c>
      <c r="B305" t="s">
        <v>705</v>
      </c>
      <c r="C305" t="s">
        <v>37</v>
      </c>
      <c r="D305" t="s">
        <v>37</v>
      </c>
      <c r="E305" s="1">
        <v>43228.721307870372</v>
      </c>
      <c r="F305" t="s">
        <v>68</v>
      </c>
      <c r="G305" t="s">
        <v>27</v>
      </c>
      <c r="H305" t="s">
        <v>20</v>
      </c>
      <c r="I305" t="s">
        <v>1796</v>
      </c>
      <c r="J305" t="s">
        <v>1796</v>
      </c>
      <c r="K305" t="s">
        <v>1796</v>
      </c>
      <c r="L305" t="s">
        <v>44</v>
      </c>
      <c r="M305">
        <v>0</v>
      </c>
      <c r="N305">
        <v>0</v>
      </c>
      <c r="O305" t="str">
        <f>_xlfn.XLOOKUP(olist_closed_deals_dataset[[#This Row],[mql_id]], leads!A:A, leads!D:D, "Unknow" )</f>
        <v>organic_search</v>
      </c>
      <c r="P305" t="str">
        <f>IF(olist_closed_deals_dataset[[#This Row],[declared_monthly_revenue]] &gt;= 10000, "High Values ", IF(olist_closed_deals_dataset[[#This Row],[declared_monthly_revenue]] &gt; 0, "Stander ", "No Revenue " ))</f>
        <v xml:space="preserve">No Revenue </v>
      </c>
    </row>
    <row r="306" spans="1:16" x14ac:dyDescent="0.2">
      <c r="A306" t="s">
        <v>706</v>
      </c>
      <c r="B306" t="s">
        <v>707</v>
      </c>
      <c r="C306" t="s">
        <v>81</v>
      </c>
      <c r="D306" t="s">
        <v>65</v>
      </c>
      <c r="E306" s="1">
        <v>43218.125</v>
      </c>
      <c r="F306" t="s">
        <v>33</v>
      </c>
      <c r="G306" t="s">
        <v>99</v>
      </c>
      <c r="H306" t="s">
        <v>20</v>
      </c>
      <c r="I306" t="s">
        <v>1796</v>
      </c>
      <c r="J306" t="s">
        <v>1796</v>
      </c>
      <c r="K306" t="s">
        <v>1796</v>
      </c>
      <c r="L306" t="s">
        <v>21</v>
      </c>
      <c r="M306">
        <v>0</v>
      </c>
      <c r="N306">
        <v>0</v>
      </c>
      <c r="O306" t="str">
        <f>_xlfn.XLOOKUP(olist_closed_deals_dataset[[#This Row],[mql_id]], leads!A:A, leads!D:D, "Unknow" )</f>
        <v>paid_search</v>
      </c>
      <c r="P306" t="str">
        <f>IF(olist_closed_deals_dataset[[#This Row],[declared_monthly_revenue]] &gt;= 10000, "High Values ", IF(olist_closed_deals_dataset[[#This Row],[declared_monthly_revenue]] &gt; 0, "Stander ", "No Revenue " ))</f>
        <v xml:space="preserve">No Revenue </v>
      </c>
    </row>
    <row r="307" spans="1:16" x14ac:dyDescent="0.2">
      <c r="A307" t="s">
        <v>708</v>
      </c>
      <c r="B307" t="s">
        <v>709</v>
      </c>
      <c r="C307" t="s">
        <v>60</v>
      </c>
      <c r="D307" t="s">
        <v>17</v>
      </c>
      <c r="E307" s="1">
        <v>43259.507256944446</v>
      </c>
      <c r="F307" t="s">
        <v>131</v>
      </c>
      <c r="G307" t="s">
        <v>19</v>
      </c>
      <c r="H307" t="s">
        <v>20</v>
      </c>
      <c r="I307" t="s">
        <v>1796</v>
      </c>
      <c r="J307" t="s">
        <v>1796</v>
      </c>
      <c r="K307" t="s">
        <v>1796</v>
      </c>
      <c r="L307" t="s">
        <v>21</v>
      </c>
      <c r="M307">
        <v>0</v>
      </c>
      <c r="N307">
        <v>0</v>
      </c>
      <c r="O307" t="str">
        <f>_xlfn.XLOOKUP(olist_closed_deals_dataset[[#This Row],[mql_id]], leads!A:A, leads!D:D, "Unknow" )</f>
        <v>direct_traffic</v>
      </c>
      <c r="P307" t="str">
        <f>IF(olist_closed_deals_dataset[[#This Row],[declared_monthly_revenue]] &gt;= 10000, "High Values ", IF(olist_closed_deals_dataset[[#This Row],[declared_monthly_revenue]] &gt; 0, "Stander ", "No Revenue " ))</f>
        <v xml:space="preserve">No Revenue </v>
      </c>
    </row>
    <row r="308" spans="1:16" x14ac:dyDescent="0.2">
      <c r="A308" t="s">
        <v>710</v>
      </c>
      <c r="B308" t="s">
        <v>711</v>
      </c>
      <c r="C308" t="s">
        <v>37</v>
      </c>
      <c r="D308" t="s">
        <v>48</v>
      </c>
      <c r="E308" s="1">
        <v>43168.725474537037</v>
      </c>
      <c r="F308" t="s">
        <v>96</v>
      </c>
      <c r="G308" t="s">
        <v>19</v>
      </c>
      <c r="H308" t="s">
        <v>20</v>
      </c>
      <c r="I308" t="s">
        <v>1796</v>
      </c>
      <c r="J308" t="s">
        <v>1796</v>
      </c>
      <c r="K308" t="s">
        <v>1796</v>
      </c>
      <c r="L308" t="s">
        <v>44</v>
      </c>
      <c r="M308">
        <v>0</v>
      </c>
      <c r="N308">
        <v>0</v>
      </c>
      <c r="O308" t="str">
        <f>_xlfn.XLOOKUP(olist_closed_deals_dataset[[#This Row],[mql_id]], leads!A:A, leads!D:D, "Unknow" )</f>
        <v>organic_search</v>
      </c>
      <c r="P308" t="str">
        <f>IF(olist_closed_deals_dataset[[#This Row],[declared_monthly_revenue]] &gt;= 10000, "High Values ", IF(olist_closed_deals_dataset[[#This Row],[declared_monthly_revenue]] &gt; 0, "Stander ", "No Revenue " ))</f>
        <v xml:space="preserve">No Revenue </v>
      </c>
    </row>
    <row r="309" spans="1:16" x14ac:dyDescent="0.2">
      <c r="A309" t="s">
        <v>712</v>
      </c>
      <c r="B309" t="s">
        <v>713</v>
      </c>
      <c r="C309" t="s">
        <v>60</v>
      </c>
      <c r="D309" t="s">
        <v>74</v>
      </c>
      <c r="E309" s="1">
        <v>43374.521828703706</v>
      </c>
      <c r="F309" t="s">
        <v>108</v>
      </c>
      <c r="G309" t="s">
        <v>19</v>
      </c>
      <c r="H309" t="s">
        <v>714</v>
      </c>
      <c r="I309" t="b">
        <v>1</v>
      </c>
      <c r="J309" t="b">
        <v>1</v>
      </c>
      <c r="K309" t="s">
        <v>282</v>
      </c>
      <c r="L309" t="s">
        <v>21</v>
      </c>
      <c r="M309">
        <v>0</v>
      </c>
      <c r="N309">
        <v>0</v>
      </c>
      <c r="O309" t="str">
        <f>_xlfn.XLOOKUP(olist_closed_deals_dataset[[#This Row],[mql_id]], leads!A:A, leads!D:D, "Unknow" )</f>
        <v>organic_search</v>
      </c>
      <c r="P309" t="str">
        <f>IF(olist_closed_deals_dataset[[#This Row],[declared_monthly_revenue]] &gt;= 10000, "High Values ", IF(olist_closed_deals_dataset[[#This Row],[declared_monthly_revenue]] &gt; 0, "Stander ", "No Revenue " ))</f>
        <v xml:space="preserve">No Revenue </v>
      </c>
    </row>
    <row r="310" spans="1:16" x14ac:dyDescent="0.2">
      <c r="A310" t="s">
        <v>715</v>
      </c>
      <c r="B310" t="s">
        <v>716</v>
      </c>
      <c r="C310" t="s">
        <v>42</v>
      </c>
      <c r="D310" t="s">
        <v>32</v>
      </c>
      <c r="E310" s="1">
        <v>43207.720972222225</v>
      </c>
      <c r="F310" t="s">
        <v>38</v>
      </c>
      <c r="G310" t="s">
        <v>19</v>
      </c>
      <c r="H310" t="s">
        <v>43</v>
      </c>
      <c r="I310" t="s">
        <v>1796</v>
      </c>
      <c r="J310" t="s">
        <v>1796</v>
      </c>
      <c r="K310" t="s">
        <v>1796</v>
      </c>
      <c r="L310" t="s">
        <v>21</v>
      </c>
      <c r="M310">
        <v>0</v>
      </c>
      <c r="N310">
        <v>0</v>
      </c>
      <c r="O310" t="str">
        <f>_xlfn.XLOOKUP(olist_closed_deals_dataset[[#This Row],[mql_id]], leads!A:A, leads!D:D, "Unknow" )</f>
        <v>organic_search</v>
      </c>
      <c r="P310" t="str">
        <f>IF(olist_closed_deals_dataset[[#This Row],[declared_monthly_revenue]] &gt;= 10000, "High Values ", IF(olist_closed_deals_dataset[[#This Row],[declared_monthly_revenue]] &gt; 0, "Stander ", "No Revenue " ))</f>
        <v xml:space="preserve">No Revenue </v>
      </c>
    </row>
    <row r="311" spans="1:16" x14ac:dyDescent="0.2">
      <c r="A311" t="s">
        <v>717</v>
      </c>
      <c r="B311" t="s">
        <v>718</v>
      </c>
      <c r="C311" t="s">
        <v>56</v>
      </c>
      <c r="D311" t="s">
        <v>17</v>
      </c>
      <c r="E311" s="1">
        <v>43244.674375000002</v>
      </c>
      <c r="F311" t="s">
        <v>49</v>
      </c>
      <c r="G311" t="s">
        <v>34</v>
      </c>
      <c r="H311" t="s">
        <v>20</v>
      </c>
      <c r="I311" t="s">
        <v>1796</v>
      </c>
      <c r="J311" t="s">
        <v>1796</v>
      </c>
      <c r="K311" t="s">
        <v>1796</v>
      </c>
      <c r="L311" t="s">
        <v>21</v>
      </c>
      <c r="M311">
        <v>0</v>
      </c>
      <c r="N311">
        <v>0</v>
      </c>
      <c r="O311" t="str">
        <f>_xlfn.XLOOKUP(olist_closed_deals_dataset[[#This Row],[mql_id]], leads!A:A, leads!D:D, "Unknow" )</f>
        <v>referral</v>
      </c>
      <c r="P311" t="str">
        <f>IF(olist_closed_deals_dataset[[#This Row],[declared_monthly_revenue]] &gt;= 10000, "High Values ", IF(olist_closed_deals_dataset[[#This Row],[declared_monthly_revenue]] &gt; 0, "Stander ", "No Revenue " ))</f>
        <v xml:space="preserve">No Revenue </v>
      </c>
    </row>
    <row r="312" spans="1:16" x14ac:dyDescent="0.2">
      <c r="A312" t="s">
        <v>719</v>
      </c>
      <c r="B312" t="s">
        <v>720</v>
      </c>
      <c r="C312" t="s">
        <v>47</v>
      </c>
      <c r="D312" t="s">
        <v>77</v>
      </c>
      <c r="E312" s="1">
        <v>43110.8200462963</v>
      </c>
      <c r="F312" t="s">
        <v>38</v>
      </c>
      <c r="G312" t="s">
        <v>57</v>
      </c>
      <c r="H312" t="s">
        <v>1796</v>
      </c>
      <c r="I312" t="s">
        <v>1796</v>
      </c>
      <c r="J312" t="s">
        <v>1796</v>
      </c>
      <c r="K312" t="s">
        <v>1796</v>
      </c>
      <c r="L312" t="s">
        <v>21</v>
      </c>
      <c r="M312">
        <v>0</v>
      </c>
      <c r="N312">
        <v>0</v>
      </c>
      <c r="O312" t="str">
        <f>_xlfn.XLOOKUP(olist_closed_deals_dataset[[#This Row],[mql_id]], leads!A:A, leads!D:D, "Unknow" )</f>
        <v>direct_traffic</v>
      </c>
      <c r="P312" t="str">
        <f>IF(olist_closed_deals_dataset[[#This Row],[declared_monthly_revenue]] &gt;= 10000, "High Values ", IF(olist_closed_deals_dataset[[#This Row],[declared_monthly_revenue]] &gt; 0, "Stander ", "No Revenue " ))</f>
        <v xml:space="preserve">No Revenue </v>
      </c>
    </row>
    <row r="313" spans="1:16" x14ac:dyDescent="0.2">
      <c r="A313" t="s">
        <v>721</v>
      </c>
      <c r="B313" t="s">
        <v>722</v>
      </c>
      <c r="C313" t="s">
        <v>16</v>
      </c>
      <c r="D313" t="s">
        <v>25</v>
      </c>
      <c r="E313" s="1">
        <v>43166.125</v>
      </c>
      <c r="F313" t="s">
        <v>204</v>
      </c>
      <c r="G313" t="s">
        <v>112</v>
      </c>
      <c r="H313" t="s">
        <v>20</v>
      </c>
      <c r="I313" t="s">
        <v>1796</v>
      </c>
      <c r="J313" t="s">
        <v>1796</v>
      </c>
      <c r="K313" t="s">
        <v>1796</v>
      </c>
      <c r="L313" t="s">
        <v>21</v>
      </c>
      <c r="M313">
        <v>0</v>
      </c>
      <c r="N313">
        <v>0</v>
      </c>
      <c r="O313" t="str">
        <f>_xlfn.XLOOKUP(olist_closed_deals_dataset[[#This Row],[mql_id]], leads!A:A, leads!D:D, "Unknow" )</f>
        <v>unknown</v>
      </c>
      <c r="P313" t="str">
        <f>IF(olist_closed_deals_dataset[[#This Row],[declared_monthly_revenue]] &gt;= 10000, "High Values ", IF(olist_closed_deals_dataset[[#This Row],[declared_monthly_revenue]] &gt; 0, "Stander ", "No Revenue " ))</f>
        <v xml:space="preserve">No Revenue </v>
      </c>
    </row>
    <row r="314" spans="1:16" x14ac:dyDescent="0.2">
      <c r="A314" t="s">
        <v>723</v>
      </c>
      <c r="B314" t="s">
        <v>724</v>
      </c>
      <c r="C314" t="s">
        <v>56</v>
      </c>
      <c r="D314" t="s">
        <v>95</v>
      </c>
      <c r="E314" s="1">
        <v>43237.506631944445</v>
      </c>
      <c r="F314" t="s">
        <v>26</v>
      </c>
      <c r="G314" t="s">
        <v>34</v>
      </c>
      <c r="H314" t="s">
        <v>20</v>
      </c>
      <c r="I314" t="s">
        <v>1796</v>
      </c>
      <c r="J314" t="s">
        <v>1796</v>
      </c>
      <c r="K314" t="s">
        <v>1796</v>
      </c>
      <c r="L314" t="s">
        <v>21</v>
      </c>
      <c r="M314">
        <v>0</v>
      </c>
      <c r="N314">
        <v>0</v>
      </c>
      <c r="O314" t="str">
        <f>_xlfn.XLOOKUP(olist_closed_deals_dataset[[#This Row],[mql_id]], leads!A:A, leads!D:D, "Unknow" )</f>
        <v>referral</v>
      </c>
      <c r="P314" t="str">
        <f>IF(olist_closed_deals_dataset[[#This Row],[declared_monthly_revenue]] &gt;= 10000, "High Values ", IF(olist_closed_deals_dataset[[#This Row],[declared_monthly_revenue]] &gt; 0, "Stander ", "No Revenue " ))</f>
        <v xml:space="preserve">No Revenue </v>
      </c>
    </row>
    <row r="315" spans="1:16" x14ac:dyDescent="0.2">
      <c r="A315" t="s">
        <v>725</v>
      </c>
      <c r="B315" t="s">
        <v>726</v>
      </c>
      <c r="C315" t="s">
        <v>81</v>
      </c>
      <c r="D315" t="s">
        <v>89</v>
      </c>
      <c r="E315" s="1">
        <v>43186.125</v>
      </c>
      <c r="F315" t="s">
        <v>138</v>
      </c>
      <c r="G315" t="s">
        <v>19</v>
      </c>
      <c r="H315" t="s">
        <v>20</v>
      </c>
      <c r="I315" t="s">
        <v>1796</v>
      </c>
      <c r="J315" t="s">
        <v>1796</v>
      </c>
      <c r="K315" t="s">
        <v>1796</v>
      </c>
      <c r="L315" t="s">
        <v>21</v>
      </c>
      <c r="M315">
        <v>0</v>
      </c>
      <c r="N315">
        <v>0</v>
      </c>
      <c r="O315" t="str">
        <f>_xlfn.XLOOKUP(olist_closed_deals_dataset[[#This Row],[mql_id]], leads!A:A, leads!D:D, "Unknow" )</f>
        <v>unknown</v>
      </c>
      <c r="P315" t="str">
        <f>IF(olist_closed_deals_dataset[[#This Row],[declared_monthly_revenue]] &gt;= 10000, "High Values ", IF(olist_closed_deals_dataset[[#This Row],[declared_monthly_revenue]] &gt; 0, "Stander ", "No Revenue " ))</f>
        <v xml:space="preserve">No Revenue </v>
      </c>
    </row>
    <row r="316" spans="1:16" x14ac:dyDescent="0.2">
      <c r="A316" t="s">
        <v>727</v>
      </c>
      <c r="B316" t="s">
        <v>728</v>
      </c>
      <c r="C316" t="s">
        <v>81</v>
      </c>
      <c r="D316" t="s">
        <v>74</v>
      </c>
      <c r="E316" s="1">
        <v>43137.083333333336</v>
      </c>
      <c r="F316" t="s">
        <v>26</v>
      </c>
      <c r="G316" t="s">
        <v>19</v>
      </c>
      <c r="H316" t="s">
        <v>1796</v>
      </c>
      <c r="I316" t="s">
        <v>1796</v>
      </c>
      <c r="J316" t="s">
        <v>1796</v>
      </c>
      <c r="K316" t="s">
        <v>1796</v>
      </c>
      <c r="L316" t="s">
        <v>21</v>
      </c>
      <c r="M316">
        <v>0</v>
      </c>
      <c r="N316">
        <v>0</v>
      </c>
      <c r="O316" t="str">
        <f>_xlfn.XLOOKUP(olist_closed_deals_dataset[[#This Row],[mql_id]], leads!A:A, leads!D:D, "Unknow" )</f>
        <v>organic_search</v>
      </c>
      <c r="P316" t="str">
        <f>IF(olist_closed_deals_dataset[[#This Row],[declared_monthly_revenue]] &gt;= 10000, "High Values ", IF(olist_closed_deals_dataset[[#This Row],[declared_monthly_revenue]] &gt; 0, "Stander ", "No Revenue " ))</f>
        <v xml:space="preserve">No Revenue </v>
      </c>
    </row>
    <row r="317" spans="1:16" x14ac:dyDescent="0.2">
      <c r="A317" t="s">
        <v>729</v>
      </c>
      <c r="B317" t="s">
        <v>730</v>
      </c>
      <c r="C317" t="s">
        <v>65</v>
      </c>
      <c r="D317" t="s">
        <v>102</v>
      </c>
      <c r="E317" s="1">
        <v>43158.800740740742</v>
      </c>
      <c r="F317" t="s">
        <v>18</v>
      </c>
      <c r="G317" t="s">
        <v>27</v>
      </c>
      <c r="H317" t="s">
        <v>28</v>
      </c>
      <c r="I317" t="s">
        <v>1796</v>
      </c>
      <c r="J317" t="s">
        <v>1796</v>
      </c>
      <c r="K317" t="s">
        <v>1796</v>
      </c>
      <c r="L317" t="s">
        <v>21</v>
      </c>
      <c r="M317">
        <v>0</v>
      </c>
      <c r="N317">
        <v>0</v>
      </c>
      <c r="O317" t="str">
        <f>_xlfn.XLOOKUP(olist_closed_deals_dataset[[#This Row],[mql_id]], leads!A:A, leads!D:D, "Unknow" )</f>
        <v>paid_search</v>
      </c>
      <c r="P317" t="str">
        <f>IF(olist_closed_deals_dataset[[#This Row],[declared_monthly_revenue]] &gt;= 10000, "High Values ", IF(olist_closed_deals_dataset[[#This Row],[declared_monthly_revenue]] &gt; 0, "Stander ", "No Revenue " ))</f>
        <v xml:space="preserve">No Revenue </v>
      </c>
    </row>
    <row r="318" spans="1:16" x14ac:dyDescent="0.2">
      <c r="A318" t="s">
        <v>731</v>
      </c>
      <c r="B318" t="s">
        <v>732</v>
      </c>
      <c r="C318" t="s">
        <v>81</v>
      </c>
      <c r="D318" t="s">
        <v>48</v>
      </c>
      <c r="E318" s="1">
        <v>43116.083333333336</v>
      </c>
      <c r="F318" t="s">
        <v>96</v>
      </c>
      <c r="G318" t="s">
        <v>34</v>
      </c>
      <c r="H318" t="s">
        <v>1796</v>
      </c>
      <c r="I318" t="s">
        <v>1796</v>
      </c>
      <c r="J318" t="s">
        <v>1796</v>
      </c>
      <c r="K318" t="s">
        <v>1796</v>
      </c>
      <c r="L318" t="s">
        <v>21</v>
      </c>
      <c r="M318">
        <v>0</v>
      </c>
      <c r="N318">
        <v>0</v>
      </c>
      <c r="O318" t="str">
        <f>_xlfn.XLOOKUP(olist_closed_deals_dataset[[#This Row],[mql_id]], leads!A:A, leads!D:D, "Unknow" )</f>
        <v>organic_search</v>
      </c>
      <c r="P318" t="str">
        <f>IF(olist_closed_deals_dataset[[#This Row],[declared_monthly_revenue]] &gt;= 10000, "High Values ", IF(olist_closed_deals_dataset[[#This Row],[declared_monthly_revenue]] &gt; 0, "Stander ", "No Revenue " ))</f>
        <v xml:space="preserve">No Revenue </v>
      </c>
    </row>
    <row r="319" spans="1:16" x14ac:dyDescent="0.2">
      <c r="A319" t="s">
        <v>733</v>
      </c>
      <c r="B319" t="s">
        <v>734</v>
      </c>
      <c r="C319" t="s">
        <v>71</v>
      </c>
      <c r="D319" t="s">
        <v>17</v>
      </c>
      <c r="E319" s="1">
        <v>43122.716469907406</v>
      </c>
      <c r="F319" t="s">
        <v>61</v>
      </c>
      <c r="G319" t="s">
        <v>27</v>
      </c>
      <c r="H319" t="s">
        <v>1796</v>
      </c>
      <c r="I319" t="s">
        <v>1796</v>
      </c>
      <c r="J319" t="s">
        <v>1796</v>
      </c>
      <c r="K319" t="s">
        <v>1796</v>
      </c>
      <c r="L319" t="s">
        <v>44</v>
      </c>
      <c r="M319">
        <v>0</v>
      </c>
      <c r="N319">
        <v>0</v>
      </c>
      <c r="O319" t="str">
        <f>_xlfn.XLOOKUP(olist_closed_deals_dataset[[#This Row],[mql_id]], leads!A:A, leads!D:D, "Unknow" )</f>
        <v>paid_search</v>
      </c>
      <c r="P319" t="str">
        <f>IF(olist_closed_deals_dataset[[#This Row],[declared_monthly_revenue]] &gt;= 10000, "High Values ", IF(olist_closed_deals_dataset[[#This Row],[declared_monthly_revenue]] &gt; 0, "Stander ", "No Revenue " ))</f>
        <v xml:space="preserve">No Revenue </v>
      </c>
    </row>
    <row r="320" spans="1:16" x14ac:dyDescent="0.2">
      <c r="A320" t="s">
        <v>735</v>
      </c>
      <c r="B320" t="s">
        <v>736</v>
      </c>
      <c r="C320" t="s">
        <v>181</v>
      </c>
      <c r="D320" t="s">
        <v>48</v>
      </c>
      <c r="E320" s="1">
        <v>43329.611805555556</v>
      </c>
      <c r="F320" t="s">
        <v>128</v>
      </c>
      <c r="G320" t="s">
        <v>19</v>
      </c>
      <c r="H320" t="s">
        <v>20</v>
      </c>
      <c r="I320" t="b">
        <v>1</v>
      </c>
      <c r="J320" t="b">
        <v>1</v>
      </c>
      <c r="K320" t="s">
        <v>86</v>
      </c>
      <c r="L320" t="s">
        <v>21</v>
      </c>
      <c r="M320">
        <v>500</v>
      </c>
      <c r="N320">
        <v>20000</v>
      </c>
      <c r="O320" t="str">
        <f>_xlfn.XLOOKUP(olist_closed_deals_dataset[[#This Row],[mql_id]], leads!A:A, leads!D:D, "Unknow" )</f>
        <v>Unknow</v>
      </c>
      <c r="P320" t="str">
        <f>IF(olist_closed_deals_dataset[[#This Row],[declared_monthly_revenue]] &gt;= 10000, "High Values ", IF(olist_closed_deals_dataset[[#This Row],[declared_monthly_revenue]] &gt; 0, "Stander ", "No Revenue " ))</f>
        <v xml:space="preserve">High Values </v>
      </c>
    </row>
    <row r="321" spans="1:16" x14ac:dyDescent="0.2">
      <c r="A321" t="s">
        <v>737</v>
      </c>
      <c r="B321" t="s">
        <v>738</v>
      </c>
      <c r="C321" t="s">
        <v>56</v>
      </c>
      <c r="D321" t="s">
        <v>71</v>
      </c>
      <c r="E321" s="1">
        <v>43210.51284722222</v>
      </c>
      <c r="F321" t="s">
        <v>92</v>
      </c>
      <c r="G321" t="s">
        <v>57</v>
      </c>
      <c r="H321" t="s">
        <v>20</v>
      </c>
      <c r="I321" t="s">
        <v>1796</v>
      </c>
      <c r="J321" t="s">
        <v>1796</v>
      </c>
      <c r="K321" t="s">
        <v>1796</v>
      </c>
      <c r="L321" t="s">
        <v>21</v>
      </c>
      <c r="M321">
        <v>0</v>
      </c>
      <c r="N321">
        <v>0</v>
      </c>
      <c r="O321" t="str">
        <f>_xlfn.XLOOKUP(olist_closed_deals_dataset[[#This Row],[mql_id]], leads!A:A, leads!D:D, "Unknow" )</f>
        <v>referral</v>
      </c>
      <c r="P321" t="str">
        <f>IF(olist_closed_deals_dataset[[#This Row],[declared_monthly_revenue]] &gt;= 10000, "High Values ", IF(olist_closed_deals_dataset[[#This Row],[declared_monthly_revenue]] &gt; 0, "Stander ", "No Revenue " ))</f>
        <v xml:space="preserve">No Revenue </v>
      </c>
    </row>
    <row r="322" spans="1:16" x14ac:dyDescent="0.2">
      <c r="A322" t="s">
        <v>739</v>
      </c>
      <c r="B322" t="s">
        <v>740</v>
      </c>
      <c r="C322" t="s">
        <v>65</v>
      </c>
      <c r="D322" t="s">
        <v>52</v>
      </c>
      <c r="E322" s="1">
        <v>43164.870868055557</v>
      </c>
      <c r="F322" t="s">
        <v>92</v>
      </c>
      <c r="G322" t="s">
        <v>19</v>
      </c>
      <c r="H322" t="s">
        <v>20</v>
      </c>
      <c r="I322" t="s">
        <v>1796</v>
      </c>
      <c r="J322" t="s">
        <v>1796</v>
      </c>
      <c r="K322" t="s">
        <v>1796</v>
      </c>
      <c r="L322" t="s">
        <v>21</v>
      </c>
      <c r="M322">
        <v>0</v>
      </c>
      <c r="N322">
        <v>0</v>
      </c>
      <c r="O322" t="str">
        <f>_xlfn.XLOOKUP(olist_closed_deals_dataset[[#This Row],[mql_id]], leads!A:A, leads!D:D, "Unknow" )</f>
        <v>organic_search</v>
      </c>
      <c r="P322" t="str">
        <f>IF(olist_closed_deals_dataset[[#This Row],[declared_monthly_revenue]] &gt;= 10000, "High Values ", IF(olist_closed_deals_dataset[[#This Row],[declared_monthly_revenue]] &gt; 0, "Stander ", "No Revenue " ))</f>
        <v xml:space="preserve">No Revenue </v>
      </c>
    </row>
    <row r="323" spans="1:16" x14ac:dyDescent="0.2">
      <c r="A323" t="s">
        <v>741</v>
      </c>
      <c r="B323" t="s">
        <v>742</v>
      </c>
      <c r="C323" t="s">
        <v>42</v>
      </c>
      <c r="D323" t="s">
        <v>95</v>
      </c>
      <c r="E323" s="1">
        <v>43255.78738425926</v>
      </c>
      <c r="F323" t="s">
        <v>68</v>
      </c>
      <c r="G323" t="s">
        <v>99</v>
      </c>
      <c r="H323" t="s">
        <v>20</v>
      </c>
      <c r="I323" t="s">
        <v>1796</v>
      </c>
      <c r="J323" t="s">
        <v>1796</v>
      </c>
      <c r="K323" t="s">
        <v>1796</v>
      </c>
      <c r="L323" t="s">
        <v>21</v>
      </c>
      <c r="M323">
        <v>0</v>
      </c>
      <c r="N323">
        <v>0</v>
      </c>
      <c r="O323" t="str">
        <f>_xlfn.XLOOKUP(olist_closed_deals_dataset[[#This Row],[mql_id]], leads!A:A, leads!D:D, "Unknow" )</f>
        <v>paid_search</v>
      </c>
      <c r="P323" t="str">
        <f>IF(olist_closed_deals_dataset[[#This Row],[declared_monthly_revenue]] &gt;= 10000, "High Values ", IF(olist_closed_deals_dataset[[#This Row],[declared_monthly_revenue]] &gt; 0, "Stander ", "No Revenue " ))</f>
        <v xml:space="preserve">No Revenue </v>
      </c>
    </row>
    <row r="324" spans="1:16" x14ac:dyDescent="0.2">
      <c r="A324" t="s">
        <v>743</v>
      </c>
      <c r="B324" t="s">
        <v>744</v>
      </c>
      <c r="C324" t="s">
        <v>81</v>
      </c>
      <c r="D324" t="s">
        <v>48</v>
      </c>
      <c r="E324" s="1">
        <v>43220.667766203704</v>
      </c>
      <c r="F324" t="s">
        <v>96</v>
      </c>
      <c r="G324" t="s">
        <v>34</v>
      </c>
      <c r="H324" t="s">
        <v>20</v>
      </c>
      <c r="I324" t="s">
        <v>1796</v>
      </c>
      <c r="J324" t="s">
        <v>1796</v>
      </c>
      <c r="K324" t="s">
        <v>1796</v>
      </c>
      <c r="L324" t="s">
        <v>21</v>
      </c>
      <c r="M324">
        <v>0</v>
      </c>
      <c r="N324">
        <v>0</v>
      </c>
      <c r="O324" t="str">
        <f>_xlfn.XLOOKUP(olist_closed_deals_dataset[[#This Row],[mql_id]], leads!A:A, leads!D:D, "Unknow" )</f>
        <v>paid_search</v>
      </c>
      <c r="P324" t="str">
        <f>IF(olist_closed_deals_dataset[[#This Row],[declared_monthly_revenue]] &gt;= 10000, "High Values ", IF(olist_closed_deals_dataset[[#This Row],[declared_monthly_revenue]] &gt; 0, "Stander ", "No Revenue " ))</f>
        <v xml:space="preserve">No Revenue </v>
      </c>
    </row>
    <row r="325" spans="1:16" x14ac:dyDescent="0.2">
      <c r="A325" t="s">
        <v>745</v>
      </c>
      <c r="B325" t="s">
        <v>746</v>
      </c>
      <c r="C325" t="s">
        <v>24</v>
      </c>
      <c r="D325" t="s">
        <v>32</v>
      </c>
      <c r="E325" s="1">
        <v>43208.692175925928</v>
      </c>
      <c r="F325" t="s">
        <v>68</v>
      </c>
      <c r="G325" t="s">
        <v>19</v>
      </c>
      <c r="H325" t="s">
        <v>20</v>
      </c>
      <c r="I325" t="s">
        <v>1796</v>
      </c>
      <c r="J325" t="s">
        <v>1796</v>
      </c>
      <c r="K325" t="s">
        <v>1796</v>
      </c>
      <c r="L325" t="s">
        <v>44</v>
      </c>
      <c r="M325">
        <v>0</v>
      </c>
      <c r="N325">
        <v>0</v>
      </c>
      <c r="O325" t="str">
        <f>_xlfn.XLOOKUP(olist_closed_deals_dataset[[#This Row],[mql_id]], leads!A:A, leads!D:D, "Unknow" )</f>
        <v>unknown</v>
      </c>
      <c r="P325" t="str">
        <f>IF(olist_closed_deals_dataset[[#This Row],[declared_monthly_revenue]] &gt;= 10000, "High Values ", IF(olist_closed_deals_dataset[[#This Row],[declared_monthly_revenue]] &gt; 0, "Stander ", "No Revenue " ))</f>
        <v xml:space="preserve">No Revenue </v>
      </c>
    </row>
    <row r="326" spans="1:16" x14ac:dyDescent="0.2">
      <c r="A326" t="s">
        <v>747</v>
      </c>
      <c r="B326" t="s">
        <v>748</v>
      </c>
      <c r="C326" t="s">
        <v>42</v>
      </c>
      <c r="D326" t="s">
        <v>102</v>
      </c>
      <c r="E326" s="1">
        <v>43168.596064814818</v>
      </c>
      <c r="F326" t="s">
        <v>138</v>
      </c>
      <c r="G326" t="s">
        <v>34</v>
      </c>
      <c r="H326" t="s">
        <v>20</v>
      </c>
      <c r="I326" t="s">
        <v>1796</v>
      </c>
      <c r="J326" t="s">
        <v>1796</v>
      </c>
      <c r="K326" t="s">
        <v>1796</v>
      </c>
      <c r="L326" t="s">
        <v>21</v>
      </c>
      <c r="M326">
        <v>0</v>
      </c>
      <c r="N326">
        <v>0</v>
      </c>
      <c r="O326" t="str">
        <f>_xlfn.XLOOKUP(olist_closed_deals_dataset[[#This Row],[mql_id]], leads!A:A, leads!D:D, "Unknow" )</f>
        <v>organic_search</v>
      </c>
      <c r="P326" t="str">
        <f>IF(olist_closed_deals_dataset[[#This Row],[declared_monthly_revenue]] &gt;= 10000, "High Values ", IF(olist_closed_deals_dataset[[#This Row],[declared_monthly_revenue]] &gt; 0, "Stander ", "No Revenue " ))</f>
        <v xml:space="preserve">No Revenue </v>
      </c>
    </row>
    <row r="327" spans="1:16" x14ac:dyDescent="0.2">
      <c r="A327" t="s">
        <v>749</v>
      </c>
      <c r="B327" t="s">
        <v>750</v>
      </c>
      <c r="C327" t="s">
        <v>42</v>
      </c>
      <c r="D327" t="s">
        <v>65</v>
      </c>
      <c r="E327" s="1">
        <v>43199.790671296294</v>
      </c>
      <c r="F327" t="s">
        <v>96</v>
      </c>
      <c r="G327" t="s">
        <v>19</v>
      </c>
      <c r="H327" t="s">
        <v>122</v>
      </c>
      <c r="I327" t="s">
        <v>1796</v>
      </c>
      <c r="J327" t="s">
        <v>1796</v>
      </c>
      <c r="K327" t="s">
        <v>1796</v>
      </c>
      <c r="L327" t="s">
        <v>44</v>
      </c>
      <c r="M327">
        <v>0</v>
      </c>
      <c r="N327">
        <v>0</v>
      </c>
      <c r="O327" t="str">
        <f>_xlfn.XLOOKUP(olist_closed_deals_dataset[[#This Row],[mql_id]], leads!A:A, leads!D:D, "Unknow" )</f>
        <v>organic_search</v>
      </c>
      <c r="P327" t="str">
        <f>IF(olist_closed_deals_dataset[[#This Row],[declared_monthly_revenue]] &gt;= 10000, "High Values ", IF(olist_closed_deals_dataset[[#This Row],[declared_monthly_revenue]] &gt; 0, "Stander ", "No Revenue " ))</f>
        <v xml:space="preserve">No Revenue </v>
      </c>
    </row>
    <row r="328" spans="1:16" x14ac:dyDescent="0.2">
      <c r="A328" t="s">
        <v>751</v>
      </c>
      <c r="B328" t="s">
        <v>752</v>
      </c>
      <c r="C328" t="s">
        <v>127</v>
      </c>
      <c r="D328" t="s">
        <v>25</v>
      </c>
      <c r="E328" s="1">
        <v>43241.728668981479</v>
      </c>
      <c r="F328" t="s">
        <v>49</v>
      </c>
      <c r="G328" t="s">
        <v>27</v>
      </c>
      <c r="H328" t="s">
        <v>122</v>
      </c>
      <c r="I328" t="s">
        <v>1796</v>
      </c>
      <c r="J328" t="s">
        <v>1796</v>
      </c>
      <c r="K328" t="s">
        <v>1796</v>
      </c>
      <c r="L328" t="s">
        <v>1796</v>
      </c>
      <c r="M328">
        <v>0</v>
      </c>
      <c r="N328">
        <v>0</v>
      </c>
      <c r="O328" t="str">
        <f>_xlfn.XLOOKUP(olist_closed_deals_dataset[[#This Row],[mql_id]], leads!A:A, leads!D:D, "Unknow" )</f>
        <v>unknown</v>
      </c>
      <c r="P328" t="str">
        <f>IF(olist_closed_deals_dataset[[#This Row],[declared_monthly_revenue]] &gt;= 10000, "High Values ", IF(olist_closed_deals_dataset[[#This Row],[declared_monthly_revenue]] &gt; 0, "Stander ", "No Revenue " ))</f>
        <v xml:space="preserve">No Revenue </v>
      </c>
    </row>
    <row r="329" spans="1:16" x14ac:dyDescent="0.2">
      <c r="A329" t="s">
        <v>753</v>
      </c>
      <c r="B329" t="s">
        <v>754</v>
      </c>
      <c r="C329" t="s">
        <v>56</v>
      </c>
      <c r="D329" t="s">
        <v>74</v>
      </c>
      <c r="E329" s="1">
        <v>43234.803506944445</v>
      </c>
      <c r="F329" t="s">
        <v>38</v>
      </c>
      <c r="G329" t="s">
        <v>27</v>
      </c>
      <c r="H329" t="s">
        <v>28</v>
      </c>
      <c r="I329" t="s">
        <v>1796</v>
      </c>
      <c r="J329" t="s">
        <v>1796</v>
      </c>
      <c r="K329" t="s">
        <v>1796</v>
      </c>
      <c r="L329" t="s">
        <v>44</v>
      </c>
      <c r="M329">
        <v>0</v>
      </c>
      <c r="N329">
        <v>0</v>
      </c>
      <c r="O329" t="str">
        <f>_xlfn.XLOOKUP(olist_closed_deals_dataset[[#This Row],[mql_id]], leads!A:A, leads!D:D, "Unknow" )</f>
        <v>organic_search</v>
      </c>
      <c r="P329" t="str">
        <f>IF(olist_closed_deals_dataset[[#This Row],[declared_monthly_revenue]] &gt;= 10000, "High Values ", IF(olist_closed_deals_dataset[[#This Row],[declared_monthly_revenue]] &gt; 0, "Stander ", "No Revenue " ))</f>
        <v xml:space="preserve">No Revenue </v>
      </c>
    </row>
    <row r="330" spans="1:16" x14ac:dyDescent="0.2">
      <c r="A330" t="s">
        <v>755</v>
      </c>
      <c r="B330" t="s">
        <v>756</v>
      </c>
      <c r="C330" t="s">
        <v>37</v>
      </c>
      <c r="D330" t="s">
        <v>17</v>
      </c>
      <c r="E330" s="1">
        <v>43166.716527777775</v>
      </c>
      <c r="F330" t="s">
        <v>108</v>
      </c>
      <c r="G330" t="s">
        <v>57</v>
      </c>
      <c r="H330" t="s">
        <v>28</v>
      </c>
      <c r="I330" t="s">
        <v>1796</v>
      </c>
      <c r="J330" t="s">
        <v>1796</v>
      </c>
      <c r="K330" t="s">
        <v>1796</v>
      </c>
      <c r="L330" t="s">
        <v>21</v>
      </c>
      <c r="M330">
        <v>0</v>
      </c>
      <c r="N330">
        <v>0</v>
      </c>
      <c r="O330" t="str">
        <f>_xlfn.XLOOKUP(olist_closed_deals_dataset[[#This Row],[mql_id]], leads!A:A, leads!D:D, "Unknow" )</f>
        <v>paid_search</v>
      </c>
      <c r="P330" t="str">
        <f>IF(olist_closed_deals_dataset[[#This Row],[declared_monthly_revenue]] &gt;= 10000, "High Values ", IF(olist_closed_deals_dataset[[#This Row],[declared_monthly_revenue]] &gt; 0, "Stander ", "No Revenue " ))</f>
        <v xml:space="preserve">No Revenue </v>
      </c>
    </row>
    <row r="331" spans="1:16" x14ac:dyDescent="0.2">
      <c r="A331" t="s">
        <v>757</v>
      </c>
      <c r="B331" t="s">
        <v>758</v>
      </c>
      <c r="C331" t="s">
        <v>65</v>
      </c>
      <c r="D331" t="s">
        <v>32</v>
      </c>
      <c r="E331" s="1">
        <v>43151.739108796297</v>
      </c>
      <c r="F331" t="s">
        <v>26</v>
      </c>
      <c r="G331" t="s">
        <v>34</v>
      </c>
      <c r="H331" t="s">
        <v>28</v>
      </c>
      <c r="I331" t="s">
        <v>1796</v>
      </c>
      <c r="J331" t="s">
        <v>1796</v>
      </c>
      <c r="K331" t="s">
        <v>1796</v>
      </c>
      <c r="L331" t="s">
        <v>44</v>
      </c>
      <c r="M331">
        <v>0</v>
      </c>
      <c r="N331">
        <v>0</v>
      </c>
      <c r="O331" t="str">
        <f>_xlfn.XLOOKUP(olist_closed_deals_dataset[[#This Row],[mql_id]], leads!A:A, leads!D:D, "Unknow" )</f>
        <v>organic_search</v>
      </c>
      <c r="P331" t="str">
        <f>IF(olist_closed_deals_dataset[[#This Row],[declared_monthly_revenue]] &gt;= 10000, "High Values ", IF(olist_closed_deals_dataset[[#This Row],[declared_monthly_revenue]] &gt; 0, "Stander ", "No Revenue " ))</f>
        <v xml:space="preserve">No Revenue </v>
      </c>
    </row>
    <row r="332" spans="1:16" x14ac:dyDescent="0.2">
      <c r="A332" t="s">
        <v>759</v>
      </c>
      <c r="B332" t="s">
        <v>760</v>
      </c>
      <c r="C332" t="s">
        <v>37</v>
      </c>
      <c r="D332" t="s">
        <v>32</v>
      </c>
      <c r="E332" s="1">
        <v>43182.749050925922</v>
      </c>
      <c r="F332" t="s">
        <v>92</v>
      </c>
      <c r="G332" t="s">
        <v>34</v>
      </c>
      <c r="H332" t="s">
        <v>20</v>
      </c>
      <c r="I332" t="s">
        <v>1796</v>
      </c>
      <c r="J332" t="s">
        <v>1796</v>
      </c>
      <c r="K332" t="s">
        <v>1796</v>
      </c>
      <c r="L332" t="s">
        <v>21</v>
      </c>
      <c r="M332">
        <v>0</v>
      </c>
      <c r="N332">
        <v>0</v>
      </c>
      <c r="O332" t="str">
        <f>_xlfn.XLOOKUP(olist_closed_deals_dataset[[#This Row],[mql_id]], leads!A:A, leads!D:D, "Unknow" )</f>
        <v>organic_search</v>
      </c>
      <c r="P332" t="str">
        <f>IF(olist_closed_deals_dataset[[#This Row],[declared_monthly_revenue]] &gt;= 10000, "High Values ", IF(olist_closed_deals_dataset[[#This Row],[declared_monthly_revenue]] &gt; 0, "Stander ", "No Revenue " ))</f>
        <v xml:space="preserve">No Revenue </v>
      </c>
    </row>
    <row r="333" spans="1:16" x14ac:dyDescent="0.2">
      <c r="A333" t="s">
        <v>761</v>
      </c>
      <c r="B333" t="s">
        <v>762</v>
      </c>
      <c r="C333" t="s">
        <v>42</v>
      </c>
      <c r="D333" t="s">
        <v>95</v>
      </c>
      <c r="E333" s="1">
        <v>43126.516562500001</v>
      </c>
      <c r="F333" t="s">
        <v>78</v>
      </c>
      <c r="G333" t="s">
        <v>19</v>
      </c>
      <c r="H333" t="s">
        <v>1796</v>
      </c>
      <c r="I333" t="s">
        <v>1796</v>
      </c>
      <c r="J333" t="s">
        <v>1796</v>
      </c>
      <c r="K333" t="s">
        <v>1796</v>
      </c>
      <c r="L333" t="s">
        <v>21</v>
      </c>
      <c r="M333">
        <v>0</v>
      </c>
      <c r="N333">
        <v>0</v>
      </c>
      <c r="O333" t="str">
        <f>_xlfn.XLOOKUP(olist_closed_deals_dataset[[#This Row],[mql_id]], leads!A:A, leads!D:D, "Unknow" )</f>
        <v>organic_search</v>
      </c>
      <c r="P333" t="str">
        <f>IF(olist_closed_deals_dataset[[#This Row],[declared_monthly_revenue]] &gt;= 10000, "High Values ", IF(olist_closed_deals_dataset[[#This Row],[declared_monthly_revenue]] &gt; 0, "Stander ", "No Revenue " ))</f>
        <v xml:space="preserve">No Revenue </v>
      </c>
    </row>
    <row r="334" spans="1:16" x14ac:dyDescent="0.2">
      <c r="A334" t="s">
        <v>763</v>
      </c>
      <c r="B334" t="s">
        <v>764</v>
      </c>
      <c r="C334" t="s">
        <v>37</v>
      </c>
      <c r="D334" t="s">
        <v>89</v>
      </c>
      <c r="E334" s="1">
        <v>43138.757696759261</v>
      </c>
      <c r="F334" t="s">
        <v>49</v>
      </c>
      <c r="G334" t="s">
        <v>19</v>
      </c>
      <c r="H334" t="s">
        <v>1796</v>
      </c>
      <c r="I334" t="s">
        <v>1796</v>
      </c>
      <c r="J334" t="s">
        <v>1796</v>
      </c>
      <c r="K334" t="s">
        <v>1796</v>
      </c>
      <c r="L334" t="s">
        <v>21</v>
      </c>
      <c r="M334">
        <v>0</v>
      </c>
      <c r="N334">
        <v>0</v>
      </c>
      <c r="O334" t="str">
        <f>_xlfn.XLOOKUP(olist_closed_deals_dataset[[#This Row],[mql_id]], leads!A:A, leads!D:D, "Unknow" )</f>
        <v>paid_search</v>
      </c>
      <c r="P334" t="str">
        <f>IF(olist_closed_deals_dataset[[#This Row],[declared_monthly_revenue]] &gt;= 10000, "High Values ", IF(olist_closed_deals_dataset[[#This Row],[declared_monthly_revenue]] &gt; 0, "Stander ", "No Revenue " ))</f>
        <v xml:space="preserve">No Revenue </v>
      </c>
    </row>
    <row r="335" spans="1:16" x14ac:dyDescent="0.2">
      <c r="A335" t="s">
        <v>765</v>
      </c>
      <c r="B335" t="s">
        <v>766</v>
      </c>
      <c r="C335" t="s">
        <v>56</v>
      </c>
      <c r="D335" t="s">
        <v>65</v>
      </c>
      <c r="E335" s="1">
        <v>43210.125</v>
      </c>
      <c r="F335" t="s">
        <v>78</v>
      </c>
      <c r="G335" t="s">
        <v>27</v>
      </c>
      <c r="H335" t="s">
        <v>20</v>
      </c>
      <c r="I335" t="s">
        <v>1796</v>
      </c>
      <c r="J335" t="s">
        <v>1796</v>
      </c>
      <c r="K335" t="s">
        <v>1796</v>
      </c>
      <c r="L335" t="s">
        <v>44</v>
      </c>
      <c r="M335">
        <v>0</v>
      </c>
      <c r="N335">
        <v>0</v>
      </c>
      <c r="O335" t="str">
        <f>_xlfn.XLOOKUP(olist_closed_deals_dataset[[#This Row],[mql_id]], leads!A:A, leads!D:D, "Unknow" )</f>
        <v>unknown</v>
      </c>
      <c r="P335" t="str">
        <f>IF(olist_closed_deals_dataset[[#This Row],[declared_monthly_revenue]] &gt;= 10000, "High Values ", IF(olist_closed_deals_dataset[[#This Row],[declared_monthly_revenue]] &gt; 0, "Stander ", "No Revenue " ))</f>
        <v xml:space="preserve">No Revenue </v>
      </c>
    </row>
    <row r="336" spans="1:16" x14ac:dyDescent="0.2">
      <c r="A336" t="s">
        <v>767</v>
      </c>
      <c r="B336" t="s">
        <v>768</v>
      </c>
      <c r="C336" t="s">
        <v>42</v>
      </c>
      <c r="D336" t="s">
        <v>37</v>
      </c>
      <c r="E336" s="1">
        <v>43259.798449074071</v>
      </c>
      <c r="F336" t="s">
        <v>337</v>
      </c>
      <c r="G336" t="s">
        <v>19</v>
      </c>
      <c r="H336" t="s">
        <v>122</v>
      </c>
      <c r="I336" t="s">
        <v>1796</v>
      </c>
      <c r="J336" t="s">
        <v>1796</v>
      </c>
      <c r="K336" t="s">
        <v>1796</v>
      </c>
      <c r="L336" t="s">
        <v>21</v>
      </c>
      <c r="M336">
        <v>0</v>
      </c>
      <c r="N336">
        <v>0</v>
      </c>
      <c r="O336" t="str">
        <f>_xlfn.XLOOKUP(olist_closed_deals_dataset[[#This Row],[mql_id]], leads!A:A, leads!D:D, "Unknow" )</f>
        <v>organic_search</v>
      </c>
      <c r="P336" t="str">
        <f>IF(olist_closed_deals_dataset[[#This Row],[declared_monthly_revenue]] &gt;= 10000, "High Values ", IF(olist_closed_deals_dataset[[#This Row],[declared_monthly_revenue]] &gt; 0, "Stander ", "No Revenue " ))</f>
        <v xml:space="preserve">No Revenue </v>
      </c>
    </row>
    <row r="337" spans="1:16" x14ac:dyDescent="0.2">
      <c r="A337" t="s">
        <v>769</v>
      </c>
      <c r="B337" t="s">
        <v>770</v>
      </c>
      <c r="C337" t="s">
        <v>224</v>
      </c>
      <c r="D337" t="s">
        <v>181</v>
      </c>
      <c r="E337" s="1">
        <v>43383.052731481483</v>
      </c>
      <c r="F337" t="s">
        <v>68</v>
      </c>
      <c r="G337" t="s">
        <v>19</v>
      </c>
      <c r="H337" t="s">
        <v>43</v>
      </c>
      <c r="I337" t="b">
        <v>1</v>
      </c>
      <c r="J337" t="b">
        <v>0</v>
      </c>
      <c r="K337" t="s">
        <v>86</v>
      </c>
      <c r="L337" t="s">
        <v>21</v>
      </c>
      <c r="M337">
        <v>20</v>
      </c>
      <c r="N337">
        <v>15000</v>
      </c>
      <c r="O337" t="str">
        <f>_xlfn.XLOOKUP(olist_closed_deals_dataset[[#This Row],[mql_id]], leads!A:A, leads!D:D, "Unknow" )</f>
        <v>email</v>
      </c>
      <c r="P337" t="str">
        <f>IF(olist_closed_deals_dataset[[#This Row],[declared_monthly_revenue]] &gt;= 10000, "High Values ", IF(olist_closed_deals_dataset[[#This Row],[declared_monthly_revenue]] &gt; 0, "Stander ", "No Revenue " ))</f>
        <v xml:space="preserve">High Values </v>
      </c>
    </row>
    <row r="338" spans="1:16" x14ac:dyDescent="0.2">
      <c r="A338" t="s">
        <v>771</v>
      </c>
      <c r="B338" t="s">
        <v>772</v>
      </c>
      <c r="C338" t="s">
        <v>64</v>
      </c>
      <c r="D338" t="s">
        <v>71</v>
      </c>
      <c r="E338" s="1">
        <v>43181.816018518519</v>
      </c>
      <c r="F338" t="s">
        <v>138</v>
      </c>
      <c r="G338" t="s">
        <v>19</v>
      </c>
      <c r="H338" t="s">
        <v>20</v>
      </c>
      <c r="I338" t="s">
        <v>1796</v>
      </c>
      <c r="J338" t="s">
        <v>1796</v>
      </c>
      <c r="K338" t="s">
        <v>1796</v>
      </c>
      <c r="L338" t="s">
        <v>44</v>
      </c>
      <c r="M338">
        <v>0</v>
      </c>
      <c r="N338">
        <v>0</v>
      </c>
      <c r="O338" t="str">
        <f>_xlfn.XLOOKUP(olist_closed_deals_dataset[[#This Row],[mql_id]], leads!A:A, leads!D:D, "Unknow" )</f>
        <v>unknown</v>
      </c>
      <c r="P338" t="str">
        <f>IF(olist_closed_deals_dataset[[#This Row],[declared_monthly_revenue]] &gt;= 10000, "High Values ", IF(olist_closed_deals_dataset[[#This Row],[declared_monthly_revenue]] &gt; 0, "Stander ", "No Revenue " ))</f>
        <v xml:space="preserve">No Revenue </v>
      </c>
    </row>
    <row r="339" spans="1:16" x14ac:dyDescent="0.2">
      <c r="A339" t="s">
        <v>773</v>
      </c>
      <c r="B339" t="s">
        <v>774</v>
      </c>
      <c r="C339" t="s">
        <v>37</v>
      </c>
      <c r="D339" t="s">
        <v>25</v>
      </c>
      <c r="E339" s="1">
        <v>43160.515810185185</v>
      </c>
      <c r="F339" t="s">
        <v>18</v>
      </c>
      <c r="G339" t="s">
        <v>27</v>
      </c>
      <c r="H339" t="s">
        <v>1796</v>
      </c>
      <c r="I339" t="s">
        <v>1796</v>
      </c>
      <c r="J339" t="s">
        <v>1796</v>
      </c>
      <c r="K339" t="s">
        <v>1796</v>
      </c>
      <c r="L339" t="s">
        <v>21</v>
      </c>
      <c r="M339">
        <v>0</v>
      </c>
      <c r="N339">
        <v>0</v>
      </c>
      <c r="O339" t="str">
        <f>_xlfn.XLOOKUP(olist_closed_deals_dataset[[#This Row],[mql_id]], leads!A:A, leads!D:D, "Unknow" )</f>
        <v>organic_search</v>
      </c>
      <c r="P339" t="str">
        <f>IF(olist_closed_deals_dataset[[#This Row],[declared_monthly_revenue]] &gt;= 10000, "High Values ", IF(olist_closed_deals_dataset[[#This Row],[declared_monthly_revenue]] &gt; 0, "Stander ", "No Revenue " ))</f>
        <v xml:space="preserve">No Revenue </v>
      </c>
    </row>
    <row r="340" spans="1:16" x14ac:dyDescent="0.2">
      <c r="A340" t="s">
        <v>775</v>
      </c>
      <c r="B340" t="s">
        <v>776</v>
      </c>
      <c r="C340" t="s">
        <v>47</v>
      </c>
      <c r="D340" t="s">
        <v>25</v>
      </c>
      <c r="E340" s="1">
        <v>43147.839722222219</v>
      </c>
      <c r="F340" t="s">
        <v>53</v>
      </c>
      <c r="G340" t="s">
        <v>19</v>
      </c>
      <c r="H340" t="s">
        <v>20</v>
      </c>
      <c r="I340" t="s">
        <v>1796</v>
      </c>
      <c r="J340" t="s">
        <v>1796</v>
      </c>
      <c r="K340" t="s">
        <v>1796</v>
      </c>
      <c r="L340" t="s">
        <v>21</v>
      </c>
      <c r="M340">
        <v>0</v>
      </c>
      <c r="N340">
        <v>0</v>
      </c>
      <c r="O340" t="str">
        <f>_xlfn.XLOOKUP(olist_closed_deals_dataset[[#This Row],[mql_id]], leads!A:A, leads!D:D, "Unknow" )</f>
        <v>organic_search</v>
      </c>
      <c r="P340" t="str">
        <f>IF(olist_closed_deals_dataset[[#This Row],[declared_monthly_revenue]] &gt;= 10000, "High Values ", IF(olist_closed_deals_dataset[[#This Row],[declared_monthly_revenue]] &gt; 0, "Stander ", "No Revenue " ))</f>
        <v xml:space="preserve">No Revenue </v>
      </c>
    </row>
    <row r="341" spans="1:16" x14ac:dyDescent="0.2">
      <c r="A341" t="s">
        <v>777</v>
      </c>
      <c r="B341" t="s">
        <v>778</v>
      </c>
      <c r="C341" t="s">
        <v>64</v>
      </c>
      <c r="D341" t="s">
        <v>74</v>
      </c>
      <c r="E341" s="1">
        <v>43207.758877314816</v>
      </c>
      <c r="F341" t="s">
        <v>96</v>
      </c>
      <c r="G341" t="s">
        <v>19</v>
      </c>
      <c r="H341" t="s">
        <v>43</v>
      </c>
      <c r="I341" t="s">
        <v>1796</v>
      </c>
      <c r="J341" t="s">
        <v>1796</v>
      </c>
      <c r="K341" t="s">
        <v>1796</v>
      </c>
      <c r="L341" t="s">
        <v>44</v>
      </c>
      <c r="M341">
        <v>0</v>
      </c>
      <c r="N341">
        <v>0</v>
      </c>
      <c r="O341" t="str">
        <f>_xlfn.XLOOKUP(olist_closed_deals_dataset[[#This Row],[mql_id]], leads!A:A, leads!D:D, "Unknow" )</f>
        <v>organic_search</v>
      </c>
      <c r="P341" t="str">
        <f>IF(olist_closed_deals_dataset[[#This Row],[declared_monthly_revenue]] &gt;= 10000, "High Values ", IF(olist_closed_deals_dataset[[#This Row],[declared_monthly_revenue]] &gt; 0, "Stander ", "No Revenue " ))</f>
        <v xml:space="preserve">No Revenue </v>
      </c>
    </row>
    <row r="342" spans="1:16" x14ac:dyDescent="0.2">
      <c r="A342" t="s">
        <v>779</v>
      </c>
      <c r="B342" t="s">
        <v>780</v>
      </c>
      <c r="C342" t="s">
        <v>37</v>
      </c>
      <c r="D342" t="s">
        <v>71</v>
      </c>
      <c r="E342" s="1">
        <v>43175.598946759259</v>
      </c>
      <c r="F342" t="s">
        <v>186</v>
      </c>
      <c r="G342" t="s">
        <v>39</v>
      </c>
      <c r="H342" t="s">
        <v>28</v>
      </c>
      <c r="I342" t="s">
        <v>1796</v>
      </c>
      <c r="J342" t="s">
        <v>1796</v>
      </c>
      <c r="K342" t="s">
        <v>1796</v>
      </c>
      <c r="L342" t="s">
        <v>44</v>
      </c>
      <c r="M342">
        <v>0</v>
      </c>
      <c r="N342">
        <v>0</v>
      </c>
      <c r="O342" t="str">
        <f>_xlfn.XLOOKUP(olist_closed_deals_dataset[[#This Row],[mql_id]], leads!A:A, leads!D:D, "Unknow" )</f>
        <v>direct_traffic</v>
      </c>
      <c r="P342" t="str">
        <f>IF(olist_closed_deals_dataset[[#This Row],[declared_monthly_revenue]] &gt;= 10000, "High Values ", IF(olist_closed_deals_dataset[[#This Row],[declared_monthly_revenue]] &gt; 0, "Stander ", "No Revenue " ))</f>
        <v xml:space="preserve">No Revenue </v>
      </c>
    </row>
    <row r="343" spans="1:16" x14ac:dyDescent="0.2">
      <c r="A343" t="s">
        <v>781</v>
      </c>
      <c r="B343" t="s">
        <v>782</v>
      </c>
      <c r="C343" t="s">
        <v>16</v>
      </c>
      <c r="D343" t="s">
        <v>74</v>
      </c>
      <c r="E343" s="1">
        <v>43167.125</v>
      </c>
      <c r="F343" t="s">
        <v>96</v>
      </c>
      <c r="G343" t="s">
        <v>34</v>
      </c>
      <c r="H343" t="s">
        <v>20</v>
      </c>
      <c r="I343" t="s">
        <v>1796</v>
      </c>
      <c r="J343" t="s">
        <v>1796</v>
      </c>
      <c r="K343" t="s">
        <v>1796</v>
      </c>
      <c r="L343" t="s">
        <v>21</v>
      </c>
      <c r="M343">
        <v>0</v>
      </c>
      <c r="N343">
        <v>0</v>
      </c>
      <c r="O343" t="str">
        <f>_xlfn.XLOOKUP(olist_closed_deals_dataset[[#This Row],[mql_id]], leads!A:A, leads!D:D, "Unknow" )</f>
        <v>paid_search</v>
      </c>
      <c r="P343" t="str">
        <f>IF(olist_closed_deals_dataset[[#This Row],[declared_monthly_revenue]] &gt;= 10000, "High Values ", IF(olist_closed_deals_dataset[[#This Row],[declared_monthly_revenue]] &gt; 0, "Stander ", "No Revenue " ))</f>
        <v xml:space="preserve">No Revenue </v>
      </c>
    </row>
    <row r="344" spans="1:16" x14ac:dyDescent="0.2">
      <c r="A344" t="s">
        <v>783</v>
      </c>
      <c r="B344" t="s">
        <v>784</v>
      </c>
      <c r="C344" t="s">
        <v>42</v>
      </c>
      <c r="D344" t="s">
        <v>95</v>
      </c>
      <c r="E344" s="1">
        <v>43175.581574074073</v>
      </c>
      <c r="F344" t="s">
        <v>38</v>
      </c>
      <c r="G344" t="s">
        <v>19</v>
      </c>
      <c r="H344" t="s">
        <v>20</v>
      </c>
      <c r="I344" t="s">
        <v>1796</v>
      </c>
      <c r="J344" t="s">
        <v>1796</v>
      </c>
      <c r="K344" t="s">
        <v>1796</v>
      </c>
      <c r="L344" t="s">
        <v>44</v>
      </c>
      <c r="M344">
        <v>0</v>
      </c>
      <c r="N344">
        <v>0</v>
      </c>
      <c r="O344" t="str">
        <f>_xlfn.XLOOKUP(olist_closed_deals_dataset[[#This Row],[mql_id]], leads!A:A, leads!D:D, "Unknow" )</f>
        <v>organic_search</v>
      </c>
      <c r="P344" t="str">
        <f>IF(olist_closed_deals_dataset[[#This Row],[declared_monthly_revenue]] &gt;= 10000, "High Values ", IF(olist_closed_deals_dataset[[#This Row],[declared_monthly_revenue]] &gt; 0, "Stander ", "No Revenue " ))</f>
        <v xml:space="preserve">No Revenue </v>
      </c>
    </row>
    <row r="345" spans="1:16" x14ac:dyDescent="0.2">
      <c r="A345" t="s">
        <v>785</v>
      </c>
      <c r="B345" t="s">
        <v>786</v>
      </c>
      <c r="C345" t="s">
        <v>47</v>
      </c>
      <c r="D345" t="s">
        <v>32</v>
      </c>
      <c r="E345" s="1">
        <v>43174.798888888887</v>
      </c>
      <c r="F345" t="s">
        <v>115</v>
      </c>
      <c r="G345" t="s">
        <v>27</v>
      </c>
      <c r="H345" t="s">
        <v>1796</v>
      </c>
      <c r="I345" t="s">
        <v>1796</v>
      </c>
      <c r="J345" t="s">
        <v>1796</v>
      </c>
      <c r="K345" t="s">
        <v>1796</v>
      </c>
      <c r="L345" t="s">
        <v>21</v>
      </c>
      <c r="M345">
        <v>0</v>
      </c>
      <c r="N345">
        <v>0</v>
      </c>
      <c r="O345" t="str">
        <f>_xlfn.XLOOKUP(olist_closed_deals_dataset[[#This Row],[mql_id]], leads!A:A, leads!D:D, "Unknow" )</f>
        <v>paid_search</v>
      </c>
      <c r="P345" t="str">
        <f>IF(olist_closed_deals_dataset[[#This Row],[declared_monthly_revenue]] &gt;= 10000, "High Values ", IF(olist_closed_deals_dataset[[#This Row],[declared_monthly_revenue]] &gt; 0, "Stander ", "No Revenue " ))</f>
        <v xml:space="preserve">No Revenue </v>
      </c>
    </row>
    <row r="346" spans="1:16" x14ac:dyDescent="0.2">
      <c r="A346" t="s">
        <v>787</v>
      </c>
      <c r="B346" t="s">
        <v>788</v>
      </c>
      <c r="C346" t="s">
        <v>127</v>
      </c>
      <c r="D346" t="s">
        <v>74</v>
      </c>
      <c r="E346" s="1">
        <v>43398.719861111109</v>
      </c>
      <c r="F346" t="s">
        <v>221</v>
      </c>
      <c r="G346" t="s">
        <v>112</v>
      </c>
      <c r="H346" t="s">
        <v>20</v>
      </c>
      <c r="I346" t="s">
        <v>1796</v>
      </c>
      <c r="J346" t="s">
        <v>1796</v>
      </c>
      <c r="K346" t="s">
        <v>1796</v>
      </c>
      <c r="L346" t="s">
        <v>44</v>
      </c>
      <c r="M346">
        <v>100</v>
      </c>
      <c r="N346">
        <v>0</v>
      </c>
      <c r="O346" t="str">
        <f>_xlfn.XLOOKUP(olist_closed_deals_dataset[[#This Row],[mql_id]], leads!A:A, leads!D:D, "Unknow" )</f>
        <v>organic_search</v>
      </c>
      <c r="P346" t="str">
        <f>IF(olist_closed_deals_dataset[[#This Row],[declared_monthly_revenue]] &gt;= 10000, "High Values ", IF(olist_closed_deals_dataset[[#This Row],[declared_monthly_revenue]] &gt; 0, "Stander ", "No Revenue " ))</f>
        <v xml:space="preserve">No Revenue </v>
      </c>
    </row>
    <row r="347" spans="1:16" x14ac:dyDescent="0.2">
      <c r="A347" t="s">
        <v>789</v>
      </c>
      <c r="B347" t="s">
        <v>790</v>
      </c>
      <c r="C347" t="s">
        <v>42</v>
      </c>
      <c r="D347" t="s">
        <v>32</v>
      </c>
      <c r="E347" s="1">
        <v>43220.87400462963</v>
      </c>
      <c r="F347" t="s">
        <v>92</v>
      </c>
      <c r="G347" t="s">
        <v>27</v>
      </c>
      <c r="H347" t="s">
        <v>20</v>
      </c>
      <c r="I347" t="s">
        <v>1796</v>
      </c>
      <c r="J347" t="s">
        <v>1796</v>
      </c>
      <c r="K347" t="s">
        <v>1796</v>
      </c>
      <c r="L347" t="s">
        <v>44</v>
      </c>
      <c r="M347">
        <v>0</v>
      </c>
      <c r="N347">
        <v>0</v>
      </c>
      <c r="O347" t="str">
        <f>_xlfn.XLOOKUP(olist_closed_deals_dataset[[#This Row],[mql_id]], leads!A:A, leads!D:D, "Unknow" )</f>
        <v>unknown</v>
      </c>
      <c r="P347" t="str">
        <f>IF(olist_closed_deals_dataset[[#This Row],[declared_monthly_revenue]] &gt;= 10000, "High Values ", IF(olist_closed_deals_dataset[[#This Row],[declared_monthly_revenue]] &gt; 0, "Stander ", "No Revenue " ))</f>
        <v xml:space="preserve">No Revenue </v>
      </c>
    </row>
    <row r="348" spans="1:16" x14ac:dyDescent="0.2">
      <c r="A348" t="s">
        <v>791</v>
      </c>
      <c r="B348" t="s">
        <v>792</v>
      </c>
      <c r="C348" t="s">
        <v>42</v>
      </c>
      <c r="D348" t="s">
        <v>74</v>
      </c>
      <c r="E348" s="1">
        <v>43256.565879629627</v>
      </c>
      <c r="F348" t="s">
        <v>96</v>
      </c>
      <c r="G348" t="s">
        <v>112</v>
      </c>
      <c r="H348" t="s">
        <v>20</v>
      </c>
      <c r="I348" t="s">
        <v>1796</v>
      </c>
      <c r="J348" t="s">
        <v>1796</v>
      </c>
      <c r="K348" t="s">
        <v>1796</v>
      </c>
      <c r="L348" t="s">
        <v>21</v>
      </c>
      <c r="M348">
        <v>0</v>
      </c>
      <c r="N348">
        <v>0</v>
      </c>
      <c r="O348" t="str">
        <f>_xlfn.XLOOKUP(olist_closed_deals_dataset[[#This Row],[mql_id]], leads!A:A, leads!D:D, "Unknow" )</f>
        <v>paid_search</v>
      </c>
      <c r="P348" t="str">
        <f>IF(olist_closed_deals_dataset[[#This Row],[declared_monthly_revenue]] &gt;= 10000, "High Values ", IF(olist_closed_deals_dataset[[#This Row],[declared_monthly_revenue]] &gt; 0, "Stander ", "No Revenue " ))</f>
        <v xml:space="preserve">No Revenue </v>
      </c>
    </row>
    <row r="349" spans="1:16" x14ac:dyDescent="0.2">
      <c r="A349" t="s">
        <v>793</v>
      </c>
      <c r="B349" t="s">
        <v>794</v>
      </c>
      <c r="C349" t="s">
        <v>81</v>
      </c>
      <c r="D349" t="s">
        <v>25</v>
      </c>
      <c r="E349" s="1">
        <v>43159.928761574076</v>
      </c>
      <c r="F349" t="s">
        <v>78</v>
      </c>
      <c r="G349" t="s">
        <v>112</v>
      </c>
      <c r="H349" t="s">
        <v>20</v>
      </c>
      <c r="I349" t="s">
        <v>1796</v>
      </c>
      <c r="J349" t="s">
        <v>1796</v>
      </c>
      <c r="K349" t="s">
        <v>1796</v>
      </c>
      <c r="L349" t="s">
        <v>21</v>
      </c>
      <c r="M349">
        <v>0</v>
      </c>
      <c r="N349">
        <v>0</v>
      </c>
      <c r="O349" t="str">
        <f>_xlfn.XLOOKUP(olist_closed_deals_dataset[[#This Row],[mql_id]], leads!A:A, leads!D:D, "Unknow" )</f>
        <v>unknown</v>
      </c>
      <c r="P349" t="str">
        <f>IF(olist_closed_deals_dataset[[#This Row],[declared_monthly_revenue]] &gt;= 10000, "High Values ", IF(olist_closed_deals_dataset[[#This Row],[declared_monthly_revenue]] &gt; 0, "Stander ", "No Revenue " ))</f>
        <v xml:space="preserve">No Revenue </v>
      </c>
    </row>
    <row r="350" spans="1:16" x14ac:dyDescent="0.2">
      <c r="A350" t="s">
        <v>795</v>
      </c>
      <c r="B350" t="s">
        <v>796</v>
      </c>
      <c r="C350" t="s">
        <v>37</v>
      </c>
      <c r="D350" t="s">
        <v>32</v>
      </c>
      <c r="E350" s="1">
        <v>43188.524155092593</v>
      </c>
      <c r="F350" t="s">
        <v>797</v>
      </c>
      <c r="G350" t="s">
        <v>57</v>
      </c>
      <c r="H350" t="s">
        <v>1796</v>
      </c>
      <c r="I350" t="s">
        <v>1796</v>
      </c>
      <c r="J350" t="s">
        <v>1796</v>
      </c>
      <c r="K350" t="s">
        <v>1796</v>
      </c>
      <c r="L350" t="s">
        <v>21</v>
      </c>
      <c r="M350">
        <v>0</v>
      </c>
      <c r="N350">
        <v>0</v>
      </c>
      <c r="O350" t="str">
        <f>_xlfn.XLOOKUP(olist_closed_deals_dataset[[#This Row],[mql_id]], leads!A:A, leads!D:D, "Unknow" )</f>
        <v>direct_traffic</v>
      </c>
      <c r="P350" t="str">
        <f>IF(olist_closed_deals_dataset[[#This Row],[declared_monthly_revenue]] &gt;= 10000, "High Values ", IF(olist_closed_deals_dataset[[#This Row],[declared_monthly_revenue]] &gt; 0, "Stander ", "No Revenue " ))</f>
        <v xml:space="preserve">No Revenue </v>
      </c>
    </row>
    <row r="351" spans="1:16" x14ac:dyDescent="0.2">
      <c r="A351" t="s">
        <v>798</v>
      </c>
      <c r="B351" t="s">
        <v>799</v>
      </c>
      <c r="C351" t="s">
        <v>800</v>
      </c>
      <c r="D351" t="s">
        <v>32</v>
      </c>
      <c r="E351" s="1">
        <v>43122.557002314818</v>
      </c>
      <c r="F351" t="s">
        <v>274</v>
      </c>
      <c r="G351" t="s">
        <v>39</v>
      </c>
      <c r="H351" t="s">
        <v>1796</v>
      </c>
      <c r="I351" t="s">
        <v>1796</v>
      </c>
      <c r="J351" t="s">
        <v>1796</v>
      </c>
      <c r="K351" t="s">
        <v>1796</v>
      </c>
      <c r="L351" t="s">
        <v>44</v>
      </c>
      <c r="M351">
        <v>0</v>
      </c>
      <c r="N351">
        <v>0</v>
      </c>
      <c r="O351" t="str">
        <f>_xlfn.XLOOKUP(olist_closed_deals_dataset[[#This Row],[mql_id]], leads!A:A, leads!D:D, "Unknow" )</f>
        <v>organic_search</v>
      </c>
      <c r="P351" t="str">
        <f>IF(olist_closed_deals_dataset[[#This Row],[declared_monthly_revenue]] &gt;= 10000, "High Values ", IF(olist_closed_deals_dataset[[#This Row],[declared_monthly_revenue]] &gt; 0, "Stander ", "No Revenue " ))</f>
        <v xml:space="preserve">No Revenue </v>
      </c>
    </row>
    <row r="352" spans="1:16" x14ac:dyDescent="0.2">
      <c r="A352" t="s">
        <v>801</v>
      </c>
      <c r="B352" t="s">
        <v>802</v>
      </c>
      <c r="C352" t="s">
        <v>65</v>
      </c>
      <c r="D352" t="s">
        <v>102</v>
      </c>
      <c r="E352" s="1">
        <v>43178.764016203706</v>
      </c>
      <c r="F352" t="s">
        <v>26</v>
      </c>
      <c r="G352" t="s">
        <v>19</v>
      </c>
      <c r="H352" t="s">
        <v>20</v>
      </c>
      <c r="I352" t="s">
        <v>1796</v>
      </c>
      <c r="J352" t="s">
        <v>1796</v>
      </c>
      <c r="K352" t="s">
        <v>1796</v>
      </c>
      <c r="L352" t="s">
        <v>21</v>
      </c>
      <c r="M352">
        <v>0</v>
      </c>
      <c r="N352">
        <v>0</v>
      </c>
      <c r="O352" t="str">
        <f>_xlfn.XLOOKUP(olist_closed_deals_dataset[[#This Row],[mql_id]], leads!A:A, leads!D:D, "Unknow" )</f>
        <v>organic_search</v>
      </c>
      <c r="P352" t="str">
        <f>IF(olist_closed_deals_dataset[[#This Row],[declared_monthly_revenue]] &gt;= 10000, "High Values ", IF(olist_closed_deals_dataset[[#This Row],[declared_monthly_revenue]] &gt; 0, "Stander ", "No Revenue " ))</f>
        <v xml:space="preserve">No Revenue </v>
      </c>
    </row>
    <row r="353" spans="1:16" x14ac:dyDescent="0.2">
      <c r="A353" t="s">
        <v>803</v>
      </c>
      <c r="B353" t="s">
        <v>804</v>
      </c>
      <c r="C353" t="s">
        <v>127</v>
      </c>
      <c r="D353" t="s">
        <v>37</v>
      </c>
      <c r="E353" s="1">
        <v>43258.583124999997</v>
      </c>
      <c r="F353" t="s">
        <v>18</v>
      </c>
      <c r="G353" t="s">
        <v>19</v>
      </c>
      <c r="H353" t="s">
        <v>20</v>
      </c>
      <c r="I353" t="s">
        <v>1796</v>
      </c>
      <c r="J353" t="s">
        <v>1796</v>
      </c>
      <c r="K353" t="s">
        <v>1796</v>
      </c>
      <c r="L353" t="s">
        <v>21</v>
      </c>
      <c r="M353">
        <v>0</v>
      </c>
      <c r="N353">
        <v>0</v>
      </c>
      <c r="O353" t="str">
        <f>_xlfn.XLOOKUP(olist_closed_deals_dataset[[#This Row],[mql_id]], leads!A:A, leads!D:D, "Unknow" )</f>
        <v>paid_search</v>
      </c>
      <c r="P353" t="str">
        <f>IF(olist_closed_deals_dataset[[#This Row],[declared_monthly_revenue]] &gt;= 10000, "High Values ", IF(olist_closed_deals_dataset[[#This Row],[declared_monthly_revenue]] &gt; 0, "Stander ", "No Revenue " ))</f>
        <v xml:space="preserve">No Revenue </v>
      </c>
    </row>
    <row r="354" spans="1:16" x14ac:dyDescent="0.2">
      <c r="A354" t="s">
        <v>805</v>
      </c>
      <c r="B354" t="s">
        <v>806</v>
      </c>
      <c r="C354" t="s">
        <v>81</v>
      </c>
      <c r="D354" t="s">
        <v>32</v>
      </c>
      <c r="E354" s="1">
        <v>43214.586701388886</v>
      </c>
      <c r="F354" t="s">
        <v>26</v>
      </c>
      <c r="G354" t="s">
        <v>19</v>
      </c>
      <c r="H354" t="s">
        <v>20</v>
      </c>
      <c r="I354" t="s">
        <v>1796</v>
      </c>
      <c r="J354" t="s">
        <v>1796</v>
      </c>
      <c r="K354" t="s">
        <v>1796</v>
      </c>
      <c r="L354" t="s">
        <v>21</v>
      </c>
      <c r="M354">
        <v>0</v>
      </c>
      <c r="N354">
        <v>0</v>
      </c>
      <c r="O354" t="str">
        <f>_xlfn.XLOOKUP(olist_closed_deals_dataset[[#This Row],[mql_id]], leads!A:A, leads!D:D, "Unknow" )</f>
        <v>direct_traffic</v>
      </c>
      <c r="P354" t="str">
        <f>IF(olist_closed_deals_dataset[[#This Row],[declared_monthly_revenue]] &gt;= 10000, "High Values ", IF(olist_closed_deals_dataset[[#This Row],[declared_monthly_revenue]] &gt; 0, "Stander ", "No Revenue " ))</f>
        <v xml:space="preserve">No Revenue </v>
      </c>
    </row>
    <row r="355" spans="1:16" x14ac:dyDescent="0.2">
      <c r="A355" t="s">
        <v>807</v>
      </c>
      <c r="B355" t="s">
        <v>808</v>
      </c>
      <c r="C355" t="s">
        <v>60</v>
      </c>
      <c r="D355" t="s">
        <v>181</v>
      </c>
      <c r="E355" s="1">
        <v>43346.125</v>
      </c>
      <c r="F355" t="s">
        <v>61</v>
      </c>
      <c r="G355" t="s">
        <v>57</v>
      </c>
      <c r="H355" t="s">
        <v>43</v>
      </c>
      <c r="I355" t="b">
        <v>1</v>
      </c>
      <c r="J355" t="b">
        <v>1</v>
      </c>
      <c r="K355" t="s">
        <v>1796</v>
      </c>
      <c r="L355" t="s">
        <v>21</v>
      </c>
      <c r="M355">
        <v>1</v>
      </c>
      <c r="N355">
        <v>0</v>
      </c>
      <c r="O355" t="str">
        <f>_xlfn.XLOOKUP(olist_closed_deals_dataset[[#This Row],[mql_id]], leads!A:A, leads!D:D, "Unknow" )</f>
        <v>organic_search</v>
      </c>
      <c r="P355" t="str">
        <f>IF(olist_closed_deals_dataset[[#This Row],[declared_monthly_revenue]] &gt;= 10000, "High Values ", IF(olist_closed_deals_dataset[[#This Row],[declared_monthly_revenue]] &gt; 0, "Stander ", "No Revenue " ))</f>
        <v xml:space="preserve">No Revenue </v>
      </c>
    </row>
    <row r="356" spans="1:16" x14ac:dyDescent="0.2">
      <c r="A356" t="s">
        <v>809</v>
      </c>
      <c r="B356" t="s">
        <v>810</v>
      </c>
      <c r="C356" t="s">
        <v>42</v>
      </c>
      <c r="D356" t="s">
        <v>32</v>
      </c>
      <c r="E356" s="1">
        <v>43266.586712962962</v>
      </c>
      <c r="F356" t="s">
        <v>96</v>
      </c>
      <c r="G356" t="s">
        <v>27</v>
      </c>
      <c r="H356" t="s">
        <v>20</v>
      </c>
      <c r="I356" t="s">
        <v>1796</v>
      </c>
      <c r="J356" t="s">
        <v>1796</v>
      </c>
      <c r="K356" t="s">
        <v>1796</v>
      </c>
      <c r="L356" t="s">
        <v>44</v>
      </c>
      <c r="M356">
        <v>0</v>
      </c>
      <c r="N356">
        <v>0</v>
      </c>
      <c r="O356" t="str">
        <f>_xlfn.XLOOKUP(olist_closed_deals_dataset[[#This Row],[mql_id]], leads!A:A, leads!D:D, "Unknow" )</f>
        <v>organic_search</v>
      </c>
      <c r="P356" t="str">
        <f>IF(olist_closed_deals_dataset[[#This Row],[declared_monthly_revenue]] &gt;= 10000, "High Values ", IF(olist_closed_deals_dataset[[#This Row],[declared_monthly_revenue]] &gt; 0, "Stander ", "No Revenue " ))</f>
        <v xml:space="preserve">No Revenue </v>
      </c>
    </row>
    <row r="357" spans="1:16" x14ac:dyDescent="0.2">
      <c r="A357" t="s">
        <v>811</v>
      </c>
      <c r="B357" t="s">
        <v>812</v>
      </c>
      <c r="C357" t="s">
        <v>159</v>
      </c>
      <c r="D357" t="s">
        <v>32</v>
      </c>
      <c r="E357" s="1">
        <v>43263.829456018517</v>
      </c>
      <c r="F357" t="s">
        <v>26</v>
      </c>
      <c r="G357" t="s">
        <v>27</v>
      </c>
      <c r="H357" t="s">
        <v>28</v>
      </c>
      <c r="I357" t="s">
        <v>1796</v>
      </c>
      <c r="J357" t="s">
        <v>1796</v>
      </c>
      <c r="K357" t="s">
        <v>1796</v>
      </c>
      <c r="L357" t="s">
        <v>21</v>
      </c>
      <c r="M357">
        <v>0</v>
      </c>
      <c r="N357">
        <v>0</v>
      </c>
      <c r="O357" t="str">
        <f>_xlfn.XLOOKUP(olist_closed_deals_dataset[[#This Row],[mql_id]], leads!A:A, leads!D:D, "Unknow" )</f>
        <v>social</v>
      </c>
      <c r="P357" t="str">
        <f>IF(olist_closed_deals_dataset[[#This Row],[declared_monthly_revenue]] &gt;= 10000, "High Values ", IF(olist_closed_deals_dataset[[#This Row],[declared_monthly_revenue]] &gt; 0, "Stander ", "No Revenue " ))</f>
        <v xml:space="preserve">No Revenue </v>
      </c>
    </row>
    <row r="358" spans="1:16" x14ac:dyDescent="0.2">
      <c r="A358" t="s">
        <v>813</v>
      </c>
      <c r="B358" t="s">
        <v>814</v>
      </c>
      <c r="C358" t="s">
        <v>31</v>
      </c>
      <c r="D358" t="s">
        <v>77</v>
      </c>
      <c r="E358" s="1">
        <v>43340.896435185183</v>
      </c>
      <c r="F358" t="s">
        <v>38</v>
      </c>
      <c r="G358" t="s">
        <v>27</v>
      </c>
      <c r="H358" t="s">
        <v>20</v>
      </c>
      <c r="I358" t="b">
        <v>0</v>
      </c>
      <c r="J358" t="b">
        <v>1</v>
      </c>
      <c r="K358" t="s">
        <v>352</v>
      </c>
      <c r="L358" t="s">
        <v>21</v>
      </c>
      <c r="M358">
        <v>0</v>
      </c>
      <c r="N358">
        <v>0</v>
      </c>
      <c r="O358" t="str">
        <f>_xlfn.XLOOKUP(olist_closed_deals_dataset[[#This Row],[mql_id]], leads!A:A, leads!D:D, "Unknow" )</f>
        <v>social</v>
      </c>
      <c r="P358" t="str">
        <f>IF(olist_closed_deals_dataset[[#This Row],[declared_monthly_revenue]] &gt;= 10000, "High Values ", IF(olist_closed_deals_dataset[[#This Row],[declared_monthly_revenue]] &gt; 0, "Stander ", "No Revenue " ))</f>
        <v xml:space="preserve">No Revenue </v>
      </c>
    </row>
    <row r="359" spans="1:16" x14ac:dyDescent="0.2">
      <c r="A359" t="s">
        <v>815</v>
      </c>
      <c r="B359" t="s">
        <v>816</v>
      </c>
      <c r="C359" t="s">
        <v>65</v>
      </c>
      <c r="D359" t="s">
        <v>48</v>
      </c>
      <c r="E359" s="1">
        <v>43160.739386574074</v>
      </c>
      <c r="F359" t="s">
        <v>18</v>
      </c>
      <c r="G359" t="s">
        <v>19</v>
      </c>
      <c r="H359" t="s">
        <v>20</v>
      </c>
      <c r="I359" t="s">
        <v>1796</v>
      </c>
      <c r="J359" t="s">
        <v>1796</v>
      </c>
      <c r="K359" t="s">
        <v>1796</v>
      </c>
      <c r="L359" t="s">
        <v>21</v>
      </c>
      <c r="M359">
        <v>0</v>
      </c>
      <c r="N359">
        <v>0</v>
      </c>
      <c r="O359" t="str">
        <f>_xlfn.XLOOKUP(olist_closed_deals_dataset[[#This Row],[mql_id]], leads!A:A, leads!D:D, "Unknow" )</f>
        <v>paid_search</v>
      </c>
      <c r="P359" t="str">
        <f>IF(olist_closed_deals_dataset[[#This Row],[declared_monthly_revenue]] &gt;= 10000, "High Values ", IF(olist_closed_deals_dataset[[#This Row],[declared_monthly_revenue]] &gt; 0, "Stander ", "No Revenue " ))</f>
        <v xml:space="preserve">No Revenue </v>
      </c>
    </row>
    <row r="360" spans="1:16" x14ac:dyDescent="0.2">
      <c r="A360" t="s">
        <v>817</v>
      </c>
      <c r="B360" t="s">
        <v>818</v>
      </c>
      <c r="C360" t="s">
        <v>37</v>
      </c>
      <c r="D360" t="s">
        <v>71</v>
      </c>
      <c r="E360" s="1">
        <v>43220.908356481479</v>
      </c>
      <c r="F360" t="s">
        <v>138</v>
      </c>
      <c r="G360" t="s">
        <v>34</v>
      </c>
      <c r="H360" t="s">
        <v>20</v>
      </c>
      <c r="I360" t="s">
        <v>1796</v>
      </c>
      <c r="J360" t="s">
        <v>1796</v>
      </c>
      <c r="K360" t="s">
        <v>1796</v>
      </c>
      <c r="L360" t="s">
        <v>44</v>
      </c>
      <c r="M360">
        <v>0</v>
      </c>
      <c r="N360">
        <v>0</v>
      </c>
      <c r="O360" t="str">
        <f>_xlfn.XLOOKUP(olist_closed_deals_dataset[[#This Row],[mql_id]], leads!A:A, leads!D:D, "Unknow" )</f>
        <v>organic_search</v>
      </c>
      <c r="P360" t="str">
        <f>IF(olist_closed_deals_dataset[[#This Row],[declared_monthly_revenue]] &gt;= 10000, "High Values ", IF(olist_closed_deals_dataset[[#This Row],[declared_monthly_revenue]] &gt; 0, "Stander ", "No Revenue " ))</f>
        <v xml:space="preserve">No Revenue </v>
      </c>
    </row>
    <row r="361" spans="1:16" x14ac:dyDescent="0.2">
      <c r="A361" t="s">
        <v>819</v>
      </c>
      <c r="B361" t="s">
        <v>820</v>
      </c>
      <c r="C361" t="s">
        <v>37</v>
      </c>
      <c r="D361" t="s">
        <v>17</v>
      </c>
      <c r="E361" s="1">
        <v>43123.481747685182</v>
      </c>
      <c r="F361" t="s">
        <v>49</v>
      </c>
      <c r="G361" t="s">
        <v>57</v>
      </c>
      <c r="H361" t="s">
        <v>1796</v>
      </c>
      <c r="I361" t="s">
        <v>1796</v>
      </c>
      <c r="J361" t="s">
        <v>1796</v>
      </c>
      <c r="K361" t="s">
        <v>1796</v>
      </c>
      <c r="L361" t="s">
        <v>21</v>
      </c>
      <c r="M361">
        <v>0</v>
      </c>
      <c r="N361">
        <v>0</v>
      </c>
      <c r="O361" t="str">
        <f>_xlfn.XLOOKUP(olist_closed_deals_dataset[[#This Row],[mql_id]], leads!A:A, leads!D:D, "Unknow" )</f>
        <v>social</v>
      </c>
      <c r="P361" t="str">
        <f>IF(olist_closed_deals_dataset[[#This Row],[declared_monthly_revenue]] &gt;= 10000, "High Values ", IF(olist_closed_deals_dataset[[#This Row],[declared_monthly_revenue]] &gt; 0, "Stander ", "No Revenue " ))</f>
        <v xml:space="preserve">No Revenue </v>
      </c>
    </row>
    <row r="362" spans="1:16" x14ac:dyDescent="0.2">
      <c r="A362" t="s">
        <v>821</v>
      </c>
      <c r="B362" t="s">
        <v>822</v>
      </c>
      <c r="C362" t="s">
        <v>81</v>
      </c>
      <c r="D362" t="s">
        <v>89</v>
      </c>
      <c r="E362" s="1">
        <v>43209.757314814815</v>
      </c>
      <c r="F362" t="s">
        <v>78</v>
      </c>
      <c r="G362" t="s">
        <v>19</v>
      </c>
      <c r="H362" t="s">
        <v>20</v>
      </c>
      <c r="I362" t="s">
        <v>1796</v>
      </c>
      <c r="J362" t="s">
        <v>1796</v>
      </c>
      <c r="K362" t="s">
        <v>1796</v>
      </c>
      <c r="L362" t="s">
        <v>44</v>
      </c>
      <c r="M362">
        <v>0</v>
      </c>
      <c r="N362">
        <v>0</v>
      </c>
      <c r="O362" t="str">
        <f>_xlfn.XLOOKUP(olist_closed_deals_dataset[[#This Row],[mql_id]], leads!A:A, leads!D:D, "Unknow" )</f>
        <v>organic_search</v>
      </c>
      <c r="P362" t="str">
        <f>IF(olist_closed_deals_dataset[[#This Row],[declared_monthly_revenue]] &gt;= 10000, "High Values ", IF(olist_closed_deals_dataset[[#This Row],[declared_monthly_revenue]] &gt; 0, "Stander ", "No Revenue " ))</f>
        <v xml:space="preserve">No Revenue </v>
      </c>
    </row>
    <row r="363" spans="1:16" x14ac:dyDescent="0.2">
      <c r="A363" t="s">
        <v>823</v>
      </c>
      <c r="B363" t="s">
        <v>824</v>
      </c>
      <c r="C363" t="s">
        <v>71</v>
      </c>
      <c r="D363" t="s">
        <v>17</v>
      </c>
      <c r="E363" s="1">
        <v>43129.477048611108</v>
      </c>
      <c r="F363" t="s">
        <v>49</v>
      </c>
      <c r="G363" t="s">
        <v>39</v>
      </c>
      <c r="H363" t="s">
        <v>1796</v>
      </c>
      <c r="I363" t="s">
        <v>1796</v>
      </c>
      <c r="J363" t="s">
        <v>1796</v>
      </c>
      <c r="K363" t="s">
        <v>1796</v>
      </c>
      <c r="L363" t="s">
        <v>44</v>
      </c>
      <c r="M363">
        <v>0</v>
      </c>
      <c r="N363">
        <v>0</v>
      </c>
      <c r="O363" t="str">
        <f>_xlfn.XLOOKUP(olist_closed_deals_dataset[[#This Row],[mql_id]], leads!A:A, leads!D:D, "Unknow" )</f>
        <v>paid_search</v>
      </c>
      <c r="P363" t="str">
        <f>IF(olist_closed_deals_dataset[[#This Row],[declared_monthly_revenue]] &gt;= 10000, "High Values ", IF(olist_closed_deals_dataset[[#This Row],[declared_monthly_revenue]] &gt; 0, "Stander ", "No Revenue " ))</f>
        <v xml:space="preserve">No Revenue </v>
      </c>
    </row>
    <row r="364" spans="1:16" x14ac:dyDescent="0.2">
      <c r="A364" t="s">
        <v>825</v>
      </c>
      <c r="B364" t="s">
        <v>826</v>
      </c>
      <c r="C364" t="s">
        <v>65</v>
      </c>
      <c r="D364" t="s">
        <v>89</v>
      </c>
      <c r="E364" s="1">
        <v>43164.536412037036</v>
      </c>
      <c r="F364" t="s">
        <v>68</v>
      </c>
      <c r="G364" t="s">
        <v>27</v>
      </c>
      <c r="H364" t="s">
        <v>28</v>
      </c>
      <c r="I364" t="s">
        <v>1796</v>
      </c>
      <c r="J364" t="s">
        <v>1796</v>
      </c>
      <c r="K364" t="s">
        <v>1796</v>
      </c>
      <c r="L364" t="s">
        <v>21</v>
      </c>
      <c r="M364">
        <v>0</v>
      </c>
      <c r="N364">
        <v>0</v>
      </c>
      <c r="O364" t="str">
        <f>_xlfn.XLOOKUP(olist_closed_deals_dataset[[#This Row],[mql_id]], leads!A:A, leads!D:D, "Unknow" )</f>
        <v>paid_search</v>
      </c>
      <c r="P364" t="str">
        <f>IF(olist_closed_deals_dataset[[#This Row],[declared_monthly_revenue]] &gt;= 10000, "High Values ", IF(olist_closed_deals_dataset[[#This Row],[declared_monthly_revenue]] &gt; 0, "Stander ", "No Revenue " ))</f>
        <v xml:space="preserve">No Revenue </v>
      </c>
    </row>
    <row r="365" spans="1:16" x14ac:dyDescent="0.2">
      <c r="A365" t="s">
        <v>827</v>
      </c>
      <c r="B365" t="s">
        <v>828</v>
      </c>
      <c r="C365" t="s">
        <v>64</v>
      </c>
      <c r="D365" t="s">
        <v>71</v>
      </c>
      <c r="E365" s="1">
        <v>43182.830763888887</v>
      </c>
      <c r="F365" t="s">
        <v>96</v>
      </c>
      <c r="G365" t="s">
        <v>39</v>
      </c>
      <c r="H365" t="s">
        <v>20</v>
      </c>
      <c r="I365" t="s">
        <v>1796</v>
      </c>
      <c r="J365" t="s">
        <v>1796</v>
      </c>
      <c r="K365" t="s">
        <v>1796</v>
      </c>
      <c r="L365" t="s">
        <v>44</v>
      </c>
      <c r="M365">
        <v>0</v>
      </c>
      <c r="N365">
        <v>0</v>
      </c>
      <c r="O365" t="str">
        <f>_xlfn.XLOOKUP(olist_closed_deals_dataset[[#This Row],[mql_id]], leads!A:A, leads!D:D, "Unknow" )</f>
        <v>organic_search</v>
      </c>
      <c r="P365" t="str">
        <f>IF(olist_closed_deals_dataset[[#This Row],[declared_monthly_revenue]] &gt;= 10000, "High Values ", IF(olist_closed_deals_dataset[[#This Row],[declared_monthly_revenue]] &gt; 0, "Stander ", "No Revenue " ))</f>
        <v xml:space="preserve">No Revenue </v>
      </c>
    </row>
    <row r="366" spans="1:16" x14ac:dyDescent="0.2">
      <c r="A366" t="s">
        <v>829</v>
      </c>
      <c r="B366" t="s">
        <v>830</v>
      </c>
      <c r="C366" t="s">
        <v>42</v>
      </c>
      <c r="D366" t="s">
        <v>25</v>
      </c>
      <c r="E366" s="1">
        <v>43175.84915509259</v>
      </c>
      <c r="F366" t="s">
        <v>68</v>
      </c>
      <c r="G366" t="s">
        <v>19</v>
      </c>
      <c r="H366" t="s">
        <v>1796</v>
      </c>
      <c r="I366" t="s">
        <v>1796</v>
      </c>
      <c r="J366" t="s">
        <v>1796</v>
      </c>
      <c r="K366" t="s">
        <v>1796</v>
      </c>
      <c r="L366" t="s">
        <v>21</v>
      </c>
      <c r="M366">
        <v>0</v>
      </c>
      <c r="N366">
        <v>0</v>
      </c>
      <c r="O366" t="str">
        <f>_xlfn.XLOOKUP(olist_closed_deals_dataset[[#This Row],[mql_id]], leads!A:A, leads!D:D, "Unknow" )</f>
        <v>referral</v>
      </c>
      <c r="P366" t="str">
        <f>IF(olist_closed_deals_dataset[[#This Row],[declared_monthly_revenue]] &gt;= 10000, "High Values ", IF(olist_closed_deals_dataset[[#This Row],[declared_monthly_revenue]] &gt; 0, "Stander ", "No Revenue " ))</f>
        <v xml:space="preserve">No Revenue </v>
      </c>
    </row>
    <row r="367" spans="1:16" x14ac:dyDescent="0.2">
      <c r="A367" t="s">
        <v>831</v>
      </c>
      <c r="B367" t="s">
        <v>832</v>
      </c>
      <c r="C367" t="s">
        <v>81</v>
      </c>
      <c r="D367" t="s">
        <v>71</v>
      </c>
      <c r="E367" s="1">
        <v>43194.72996527778</v>
      </c>
      <c r="F367" t="s">
        <v>186</v>
      </c>
      <c r="G367" t="s">
        <v>19</v>
      </c>
      <c r="H367" t="s">
        <v>20</v>
      </c>
      <c r="I367" t="s">
        <v>1796</v>
      </c>
      <c r="J367" t="s">
        <v>1796</v>
      </c>
      <c r="K367" t="s">
        <v>1796</v>
      </c>
      <c r="L367" t="s">
        <v>21</v>
      </c>
      <c r="M367">
        <v>0</v>
      </c>
      <c r="N367">
        <v>0</v>
      </c>
      <c r="O367" t="str">
        <f>_xlfn.XLOOKUP(olist_closed_deals_dataset[[#This Row],[mql_id]], leads!A:A, leads!D:D, "Unknow" )</f>
        <v>unknown</v>
      </c>
      <c r="P367" t="str">
        <f>IF(olist_closed_deals_dataset[[#This Row],[declared_monthly_revenue]] &gt;= 10000, "High Values ", IF(olist_closed_deals_dataset[[#This Row],[declared_monthly_revenue]] &gt; 0, "Stander ", "No Revenue " ))</f>
        <v xml:space="preserve">No Revenue </v>
      </c>
    </row>
    <row r="368" spans="1:16" x14ac:dyDescent="0.2">
      <c r="A368" t="s">
        <v>833</v>
      </c>
      <c r="B368" t="s">
        <v>834</v>
      </c>
      <c r="C368" t="s">
        <v>65</v>
      </c>
      <c r="D368" t="s">
        <v>95</v>
      </c>
      <c r="E368" s="1">
        <v>43187.125</v>
      </c>
      <c r="F368" t="s">
        <v>186</v>
      </c>
      <c r="G368" t="s">
        <v>19</v>
      </c>
      <c r="H368" t="s">
        <v>28</v>
      </c>
      <c r="I368" t="s">
        <v>1796</v>
      </c>
      <c r="J368" t="s">
        <v>1796</v>
      </c>
      <c r="K368" t="s">
        <v>1796</v>
      </c>
      <c r="L368" t="s">
        <v>44</v>
      </c>
      <c r="M368">
        <v>0</v>
      </c>
      <c r="N368">
        <v>0</v>
      </c>
      <c r="O368" t="str">
        <f>_xlfn.XLOOKUP(olist_closed_deals_dataset[[#This Row],[mql_id]], leads!A:A, leads!D:D, "Unknow" )</f>
        <v>organic_search</v>
      </c>
      <c r="P368" t="str">
        <f>IF(olist_closed_deals_dataset[[#This Row],[declared_monthly_revenue]] &gt;= 10000, "High Values ", IF(olist_closed_deals_dataset[[#This Row],[declared_monthly_revenue]] &gt; 0, "Stander ", "No Revenue " ))</f>
        <v xml:space="preserve">No Revenue </v>
      </c>
    </row>
    <row r="369" spans="1:16" x14ac:dyDescent="0.2">
      <c r="A369" t="s">
        <v>835</v>
      </c>
      <c r="B369" t="s">
        <v>836</v>
      </c>
      <c r="C369" t="s">
        <v>42</v>
      </c>
      <c r="D369" t="s">
        <v>71</v>
      </c>
      <c r="E369" s="1">
        <v>43241.588067129633</v>
      </c>
      <c r="F369" t="s">
        <v>78</v>
      </c>
      <c r="G369" t="s">
        <v>19</v>
      </c>
      <c r="H369" t="s">
        <v>28</v>
      </c>
      <c r="I369" t="s">
        <v>1796</v>
      </c>
      <c r="J369" t="s">
        <v>1796</v>
      </c>
      <c r="K369" t="s">
        <v>1796</v>
      </c>
      <c r="L369" t="s">
        <v>21</v>
      </c>
      <c r="M369">
        <v>0</v>
      </c>
      <c r="N369">
        <v>0</v>
      </c>
      <c r="O369" t="str">
        <f>_xlfn.XLOOKUP(olist_closed_deals_dataset[[#This Row],[mql_id]], leads!A:A, leads!D:D, "Unknow" )</f>
        <v>unknown</v>
      </c>
      <c r="P369" t="str">
        <f>IF(olist_closed_deals_dataset[[#This Row],[declared_monthly_revenue]] &gt;= 10000, "High Values ", IF(olist_closed_deals_dataset[[#This Row],[declared_monthly_revenue]] &gt; 0, "Stander ", "No Revenue " ))</f>
        <v xml:space="preserve">No Revenue </v>
      </c>
    </row>
    <row r="370" spans="1:16" x14ac:dyDescent="0.2">
      <c r="A370" t="s">
        <v>837</v>
      </c>
      <c r="B370" t="s">
        <v>838</v>
      </c>
      <c r="C370" t="s">
        <v>127</v>
      </c>
      <c r="D370" t="s">
        <v>17</v>
      </c>
      <c r="E370" s="1">
        <v>43201.931423611109</v>
      </c>
      <c r="F370" t="s">
        <v>111</v>
      </c>
      <c r="G370" t="s">
        <v>112</v>
      </c>
      <c r="H370" t="s">
        <v>28</v>
      </c>
      <c r="I370" t="s">
        <v>1796</v>
      </c>
      <c r="J370" t="s">
        <v>1796</v>
      </c>
      <c r="K370" t="s">
        <v>1796</v>
      </c>
      <c r="L370" t="s">
        <v>21</v>
      </c>
      <c r="M370">
        <v>0</v>
      </c>
      <c r="N370">
        <v>0</v>
      </c>
      <c r="O370" t="str">
        <f>_xlfn.XLOOKUP(olist_closed_deals_dataset[[#This Row],[mql_id]], leads!A:A, leads!D:D, "Unknow" )</f>
        <v>organic_search</v>
      </c>
      <c r="P370" t="str">
        <f>IF(olist_closed_deals_dataset[[#This Row],[declared_monthly_revenue]] &gt;= 10000, "High Values ", IF(olist_closed_deals_dataset[[#This Row],[declared_monthly_revenue]] &gt; 0, "Stander ", "No Revenue " ))</f>
        <v xml:space="preserve">No Revenue </v>
      </c>
    </row>
    <row r="371" spans="1:16" x14ac:dyDescent="0.2">
      <c r="A371" t="s">
        <v>839</v>
      </c>
      <c r="B371" t="s">
        <v>840</v>
      </c>
      <c r="C371" t="s">
        <v>24</v>
      </c>
      <c r="D371" t="s">
        <v>25</v>
      </c>
      <c r="E371" s="1">
        <v>43196.125</v>
      </c>
      <c r="F371" t="s">
        <v>68</v>
      </c>
      <c r="G371" t="s">
        <v>19</v>
      </c>
      <c r="H371" t="s">
        <v>43</v>
      </c>
      <c r="I371" t="s">
        <v>1796</v>
      </c>
      <c r="J371" t="s">
        <v>1796</v>
      </c>
      <c r="K371" t="s">
        <v>1796</v>
      </c>
      <c r="L371" t="s">
        <v>21</v>
      </c>
      <c r="M371">
        <v>0</v>
      </c>
      <c r="N371">
        <v>0</v>
      </c>
      <c r="O371" t="str">
        <f>_xlfn.XLOOKUP(olist_closed_deals_dataset[[#This Row],[mql_id]], leads!A:A, leads!D:D, "Unknow" )</f>
        <v>organic_search</v>
      </c>
      <c r="P371" t="str">
        <f>IF(olist_closed_deals_dataset[[#This Row],[declared_monthly_revenue]] &gt;= 10000, "High Values ", IF(olist_closed_deals_dataset[[#This Row],[declared_monthly_revenue]] &gt; 0, "Stander ", "No Revenue " ))</f>
        <v xml:space="preserve">No Revenue </v>
      </c>
    </row>
    <row r="372" spans="1:16" x14ac:dyDescent="0.2">
      <c r="A372" t="s">
        <v>841</v>
      </c>
      <c r="B372" t="s">
        <v>842</v>
      </c>
      <c r="C372" t="s">
        <v>65</v>
      </c>
      <c r="D372" t="s">
        <v>102</v>
      </c>
      <c r="E372" s="1">
        <v>43171.72923611111</v>
      </c>
      <c r="F372" t="s">
        <v>103</v>
      </c>
      <c r="G372" t="s">
        <v>34</v>
      </c>
      <c r="H372" t="s">
        <v>20</v>
      </c>
      <c r="I372" t="s">
        <v>1796</v>
      </c>
      <c r="J372" t="s">
        <v>1796</v>
      </c>
      <c r="K372" t="s">
        <v>1796</v>
      </c>
      <c r="L372" t="s">
        <v>21</v>
      </c>
      <c r="M372">
        <v>0</v>
      </c>
      <c r="N372">
        <v>0</v>
      </c>
      <c r="O372" t="str">
        <f>_xlfn.XLOOKUP(olist_closed_deals_dataset[[#This Row],[mql_id]], leads!A:A, leads!D:D, "Unknow" )</f>
        <v>organic_search</v>
      </c>
      <c r="P372" t="str">
        <f>IF(olist_closed_deals_dataset[[#This Row],[declared_monthly_revenue]] &gt;= 10000, "High Values ", IF(olist_closed_deals_dataset[[#This Row],[declared_monthly_revenue]] &gt; 0, "Stander ", "No Revenue " ))</f>
        <v xml:space="preserve">No Revenue </v>
      </c>
    </row>
    <row r="373" spans="1:16" x14ac:dyDescent="0.2">
      <c r="A373" t="s">
        <v>843</v>
      </c>
      <c r="B373" t="s">
        <v>844</v>
      </c>
      <c r="C373" t="s">
        <v>42</v>
      </c>
      <c r="D373" t="s">
        <v>74</v>
      </c>
      <c r="E373" s="1">
        <v>43193.866620370369</v>
      </c>
      <c r="F373" t="s">
        <v>103</v>
      </c>
      <c r="G373" t="s">
        <v>19</v>
      </c>
      <c r="H373" t="s">
        <v>20</v>
      </c>
      <c r="I373" t="s">
        <v>1796</v>
      </c>
      <c r="J373" t="s">
        <v>1796</v>
      </c>
      <c r="K373" t="s">
        <v>1796</v>
      </c>
      <c r="L373" t="s">
        <v>21</v>
      </c>
      <c r="M373">
        <v>0</v>
      </c>
      <c r="N373">
        <v>0</v>
      </c>
      <c r="O373" t="str">
        <f>_xlfn.XLOOKUP(olist_closed_deals_dataset[[#This Row],[mql_id]], leads!A:A, leads!D:D, "Unknow" )</f>
        <v>organic_search</v>
      </c>
      <c r="P373" t="str">
        <f>IF(olist_closed_deals_dataset[[#This Row],[declared_monthly_revenue]] &gt;= 10000, "High Values ", IF(olist_closed_deals_dataset[[#This Row],[declared_monthly_revenue]] &gt; 0, "Stander ", "No Revenue " ))</f>
        <v xml:space="preserve">No Revenue </v>
      </c>
    </row>
    <row r="374" spans="1:16" x14ac:dyDescent="0.2">
      <c r="A374" t="s">
        <v>845</v>
      </c>
      <c r="B374" t="s">
        <v>846</v>
      </c>
      <c r="C374" t="s">
        <v>71</v>
      </c>
      <c r="D374" t="s">
        <v>17</v>
      </c>
      <c r="E374" s="1">
        <v>43140.757754629631</v>
      </c>
      <c r="F374" t="s">
        <v>68</v>
      </c>
      <c r="G374" t="s">
        <v>112</v>
      </c>
      <c r="H374" t="s">
        <v>1796</v>
      </c>
      <c r="I374" t="s">
        <v>1796</v>
      </c>
      <c r="J374" t="s">
        <v>1796</v>
      </c>
      <c r="K374" t="s">
        <v>1796</v>
      </c>
      <c r="L374" t="s">
        <v>21</v>
      </c>
      <c r="M374">
        <v>0</v>
      </c>
      <c r="N374">
        <v>0</v>
      </c>
      <c r="O374" t="str">
        <f>_xlfn.XLOOKUP(olist_closed_deals_dataset[[#This Row],[mql_id]], leads!A:A, leads!D:D, "Unknow" )</f>
        <v>social</v>
      </c>
      <c r="P374" t="str">
        <f>IF(olist_closed_deals_dataset[[#This Row],[declared_monthly_revenue]] &gt;= 10000, "High Values ", IF(olist_closed_deals_dataset[[#This Row],[declared_monthly_revenue]] &gt; 0, "Stander ", "No Revenue " ))</f>
        <v xml:space="preserve">No Revenue </v>
      </c>
    </row>
    <row r="375" spans="1:16" x14ac:dyDescent="0.2">
      <c r="A375" t="s">
        <v>847</v>
      </c>
      <c r="B375" t="s">
        <v>848</v>
      </c>
      <c r="C375" t="s">
        <v>31</v>
      </c>
      <c r="D375" t="s">
        <v>17</v>
      </c>
      <c r="E375" s="1">
        <v>43231.893136574072</v>
      </c>
      <c r="F375" t="s">
        <v>53</v>
      </c>
      <c r="G375" t="s">
        <v>34</v>
      </c>
      <c r="H375" t="s">
        <v>20</v>
      </c>
      <c r="I375" t="s">
        <v>1796</v>
      </c>
      <c r="J375" t="s">
        <v>1796</v>
      </c>
      <c r="K375" t="s">
        <v>1796</v>
      </c>
      <c r="L375" t="s">
        <v>21</v>
      </c>
      <c r="M375">
        <v>0</v>
      </c>
      <c r="N375">
        <v>0</v>
      </c>
      <c r="O375" t="str">
        <f>_xlfn.XLOOKUP(olist_closed_deals_dataset[[#This Row],[mql_id]], leads!A:A, leads!D:D, "Unknow" )</f>
        <v>referral</v>
      </c>
      <c r="P375" t="str">
        <f>IF(olist_closed_deals_dataset[[#This Row],[declared_monthly_revenue]] &gt;= 10000, "High Values ", IF(olist_closed_deals_dataset[[#This Row],[declared_monthly_revenue]] &gt; 0, "Stander ", "No Revenue " ))</f>
        <v xml:space="preserve">No Revenue </v>
      </c>
    </row>
    <row r="376" spans="1:16" x14ac:dyDescent="0.2">
      <c r="A376" t="s">
        <v>849</v>
      </c>
      <c r="B376" t="s">
        <v>850</v>
      </c>
      <c r="C376" t="s">
        <v>42</v>
      </c>
      <c r="D376" t="s">
        <v>17</v>
      </c>
      <c r="E376" s="1">
        <v>43130.481712962966</v>
      </c>
      <c r="F376" t="s">
        <v>78</v>
      </c>
      <c r="G376" t="s">
        <v>19</v>
      </c>
      <c r="H376" t="s">
        <v>1796</v>
      </c>
      <c r="I376" t="s">
        <v>1796</v>
      </c>
      <c r="J376" t="s">
        <v>1796</v>
      </c>
      <c r="K376" t="s">
        <v>1796</v>
      </c>
      <c r="L376" t="s">
        <v>21</v>
      </c>
      <c r="M376">
        <v>0</v>
      </c>
      <c r="N376">
        <v>0</v>
      </c>
      <c r="O376" t="str">
        <f>_xlfn.XLOOKUP(olist_closed_deals_dataset[[#This Row],[mql_id]], leads!A:A, leads!D:D, "Unknow" )</f>
        <v>organic_search</v>
      </c>
      <c r="P376" t="str">
        <f>IF(olist_closed_deals_dataset[[#This Row],[declared_monthly_revenue]] &gt;= 10000, "High Values ", IF(olist_closed_deals_dataset[[#This Row],[declared_monthly_revenue]] &gt; 0, "Stander ", "No Revenue " ))</f>
        <v xml:space="preserve">No Revenue </v>
      </c>
    </row>
    <row r="377" spans="1:16" x14ac:dyDescent="0.2">
      <c r="A377" t="s">
        <v>851</v>
      </c>
      <c r="B377" t="s">
        <v>852</v>
      </c>
      <c r="C377" t="s">
        <v>47</v>
      </c>
      <c r="D377" t="s">
        <v>95</v>
      </c>
      <c r="E377" s="1">
        <v>43133.54928240741</v>
      </c>
      <c r="F377" t="s">
        <v>96</v>
      </c>
      <c r="G377" t="s">
        <v>34</v>
      </c>
      <c r="H377" t="s">
        <v>1796</v>
      </c>
      <c r="I377" t="s">
        <v>1796</v>
      </c>
      <c r="J377" t="s">
        <v>1796</v>
      </c>
      <c r="K377" t="s">
        <v>1796</v>
      </c>
      <c r="L377" t="s">
        <v>21</v>
      </c>
      <c r="M377">
        <v>0</v>
      </c>
      <c r="N377">
        <v>0</v>
      </c>
      <c r="O377" t="str">
        <f>_xlfn.XLOOKUP(olist_closed_deals_dataset[[#This Row],[mql_id]], leads!A:A, leads!D:D, "Unknow" )</f>
        <v>organic_search</v>
      </c>
      <c r="P377" t="str">
        <f>IF(olist_closed_deals_dataset[[#This Row],[declared_monthly_revenue]] &gt;= 10000, "High Values ", IF(olist_closed_deals_dataset[[#This Row],[declared_monthly_revenue]] &gt; 0, "Stander ", "No Revenue " ))</f>
        <v xml:space="preserve">No Revenue </v>
      </c>
    </row>
    <row r="378" spans="1:16" x14ac:dyDescent="0.2">
      <c r="A378" t="s">
        <v>853</v>
      </c>
      <c r="B378" t="s">
        <v>854</v>
      </c>
      <c r="C378" t="s">
        <v>81</v>
      </c>
      <c r="D378" t="s">
        <v>17</v>
      </c>
      <c r="E378" s="1">
        <v>43201.636006944442</v>
      </c>
      <c r="F378" t="s">
        <v>96</v>
      </c>
      <c r="G378" t="s">
        <v>19</v>
      </c>
      <c r="H378" t="s">
        <v>20</v>
      </c>
      <c r="I378" t="s">
        <v>1796</v>
      </c>
      <c r="J378" t="s">
        <v>1796</v>
      </c>
      <c r="K378" t="s">
        <v>1796</v>
      </c>
      <c r="L378" t="s">
        <v>44</v>
      </c>
      <c r="M378">
        <v>0</v>
      </c>
      <c r="N378">
        <v>0</v>
      </c>
      <c r="O378" t="str">
        <f>_xlfn.XLOOKUP(olist_closed_deals_dataset[[#This Row],[mql_id]], leads!A:A, leads!D:D, "Unknow" )</f>
        <v>paid_search</v>
      </c>
      <c r="P378" t="str">
        <f>IF(olist_closed_deals_dataset[[#This Row],[declared_monthly_revenue]] &gt;= 10000, "High Values ", IF(olist_closed_deals_dataset[[#This Row],[declared_monthly_revenue]] &gt; 0, "Stander ", "No Revenue " ))</f>
        <v xml:space="preserve">No Revenue </v>
      </c>
    </row>
    <row r="379" spans="1:16" x14ac:dyDescent="0.2">
      <c r="A379" t="s">
        <v>855</v>
      </c>
      <c r="B379" t="s">
        <v>856</v>
      </c>
      <c r="C379" t="s">
        <v>65</v>
      </c>
      <c r="D379" t="s">
        <v>48</v>
      </c>
      <c r="E379" s="1">
        <v>43159.719456018516</v>
      </c>
      <c r="F379" t="s">
        <v>26</v>
      </c>
      <c r="G379" t="s">
        <v>34</v>
      </c>
      <c r="H379" t="s">
        <v>28</v>
      </c>
      <c r="I379" t="s">
        <v>1796</v>
      </c>
      <c r="J379" t="s">
        <v>1796</v>
      </c>
      <c r="K379" t="s">
        <v>1796</v>
      </c>
      <c r="L379" t="s">
        <v>21</v>
      </c>
      <c r="M379">
        <v>0</v>
      </c>
      <c r="N379">
        <v>0</v>
      </c>
      <c r="O379" t="str">
        <f>_xlfn.XLOOKUP(olist_closed_deals_dataset[[#This Row],[mql_id]], leads!A:A, leads!D:D, "Unknow" )</f>
        <v>paid_search</v>
      </c>
      <c r="P379" t="str">
        <f>IF(olist_closed_deals_dataset[[#This Row],[declared_monthly_revenue]] &gt;= 10000, "High Values ", IF(olist_closed_deals_dataset[[#This Row],[declared_monthly_revenue]] &gt; 0, "Stander ", "No Revenue " ))</f>
        <v xml:space="preserve">No Revenue </v>
      </c>
    </row>
    <row r="380" spans="1:16" x14ac:dyDescent="0.2">
      <c r="A380" t="s">
        <v>857</v>
      </c>
      <c r="B380" t="s">
        <v>858</v>
      </c>
      <c r="C380" t="s">
        <v>224</v>
      </c>
      <c r="D380" t="s">
        <v>77</v>
      </c>
      <c r="E380" s="1">
        <v>43283.569618055553</v>
      </c>
      <c r="F380" t="s">
        <v>96</v>
      </c>
      <c r="G380" t="s">
        <v>27</v>
      </c>
      <c r="H380" t="s">
        <v>20</v>
      </c>
      <c r="I380" t="s">
        <v>1796</v>
      </c>
      <c r="J380" t="s">
        <v>1796</v>
      </c>
      <c r="K380" t="s">
        <v>1796</v>
      </c>
      <c r="L380" t="s">
        <v>44</v>
      </c>
      <c r="M380">
        <v>0</v>
      </c>
      <c r="N380">
        <v>0</v>
      </c>
      <c r="O380" t="str">
        <f>_xlfn.XLOOKUP(olist_closed_deals_dataset[[#This Row],[mql_id]], leads!A:A, leads!D:D, "Unknow" )</f>
        <v>referral</v>
      </c>
      <c r="P380" t="str">
        <f>IF(olist_closed_deals_dataset[[#This Row],[declared_monthly_revenue]] &gt;= 10000, "High Values ", IF(olist_closed_deals_dataset[[#This Row],[declared_monthly_revenue]] &gt; 0, "Stander ", "No Revenue " ))</f>
        <v xml:space="preserve">No Revenue </v>
      </c>
    </row>
    <row r="381" spans="1:16" x14ac:dyDescent="0.2">
      <c r="A381" t="s">
        <v>859</v>
      </c>
      <c r="B381" t="s">
        <v>860</v>
      </c>
      <c r="C381" t="s">
        <v>56</v>
      </c>
      <c r="D381" t="s">
        <v>74</v>
      </c>
      <c r="E381" s="1">
        <v>43238.85261574074</v>
      </c>
      <c r="F381" t="s">
        <v>96</v>
      </c>
      <c r="G381" t="s">
        <v>39</v>
      </c>
      <c r="H381" t="s">
        <v>28</v>
      </c>
      <c r="I381" t="s">
        <v>1796</v>
      </c>
      <c r="J381" t="s">
        <v>1796</v>
      </c>
      <c r="K381" t="s">
        <v>1796</v>
      </c>
      <c r="L381" t="s">
        <v>21</v>
      </c>
      <c r="M381">
        <v>0</v>
      </c>
      <c r="N381">
        <v>0</v>
      </c>
      <c r="O381" t="str">
        <f>_xlfn.XLOOKUP(olist_closed_deals_dataset[[#This Row],[mql_id]], leads!A:A, leads!D:D, "Unknow" )</f>
        <v>organic_search</v>
      </c>
      <c r="P381" t="str">
        <f>IF(olist_closed_deals_dataset[[#This Row],[declared_monthly_revenue]] &gt;= 10000, "High Values ", IF(olist_closed_deals_dataset[[#This Row],[declared_monthly_revenue]] &gt; 0, "Stander ", "No Revenue " ))</f>
        <v xml:space="preserve">No Revenue </v>
      </c>
    </row>
    <row r="382" spans="1:16" x14ac:dyDescent="0.2">
      <c r="A382" t="s">
        <v>861</v>
      </c>
      <c r="B382" t="s">
        <v>862</v>
      </c>
      <c r="C382" t="s">
        <v>81</v>
      </c>
      <c r="D382" t="s">
        <v>74</v>
      </c>
      <c r="E382" s="1">
        <v>43172.719710648147</v>
      </c>
      <c r="F382" t="s">
        <v>61</v>
      </c>
      <c r="G382" t="s">
        <v>57</v>
      </c>
      <c r="H382" t="s">
        <v>20</v>
      </c>
      <c r="I382" t="s">
        <v>1796</v>
      </c>
      <c r="J382" t="s">
        <v>1796</v>
      </c>
      <c r="K382" t="s">
        <v>1796</v>
      </c>
      <c r="L382" t="s">
        <v>21</v>
      </c>
      <c r="M382">
        <v>0</v>
      </c>
      <c r="N382">
        <v>0</v>
      </c>
      <c r="O382" t="str">
        <f>_xlfn.XLOOKUP(olist_closed_deals_dataset[[#This Row],[mql_id]], leads!A:A, leads!D:D, "Unknow" )</f>
        <v>direct_traffic</v>
      </c>
      <c r="P382" t="str">
        <f>IF(olist_closed_deals_dataset[[#This Row],[declared_monthly_revenue]] &gt;= 10000, "High Values ", IF(olist_closed_deals_dataset[[#This Row],[declared_monthly_revenue]] &gt; 0, "Stander ", "No Revenue " ))</f>
        <v xml:space="preserve">No Revenue </v>
      </c>
    </row>
    <row r="383" spans="1:16" x14ac:dyDescent="0.2">
      <c r="A383" t="s">
        <v>863</v>
      </c>
      <c r="B383" t="s">
        <v>864</v>
      </c>
      <c r="C383" t="s">
        <v>24</v>
      </c>
      <c r="D383" t="s">
        <v>25</v>
      </c>
      <c r="E383" s="1">
        <v>43216.569444444445</v>
      </c>
      <c r="F383" t="s">
        <v>96</v>
      </c>
      <c r="G383" t="s">
        <v>34</v>
      </c>
      <c r="H383" t="s">
        <v>20</v>
      </c>
      <c r="I383" t="s">
        <v>1796</v>
      </c>
      <c r="J383" t="s">
        <v>1796</v>
      </c>
      <c r="K383" t="s">
        <v>1796</v>
      </c>
      <c r="L383" t="s">
        <v>44</v>
      </c>
      <c r="M383">
        <v>0</v>
      </c>
      <c r="N383">
        <v>0</v>
      </c>
      <c r="O383" t="str">
        <f>_xlfn.XLOOKUP(olist_closed_deals_dataset[[#This Row],[mql_id]], leads!A:A, leads!D:D, "Unknow" )</f>
        <v>organic_search</v>
      </c>
      <c r="P383" t="str">
        <f>IF(olist_closed_deals_dataset[[#This Row],[declared_monthly_revenue]] &gt;= 10000, "High Values ", IF(olist_closed_deals_dataset[[#This Row],[declared_monthly_revenue]] &gt; 0, "Stander ", "No Revenue " ))</f>
        <v xml:space="preserve">No Revenue </v>
      </c>
    </row>
    <row r="384" spans="1:16" x14ac:dyDescent="0.2">
      <c r="A384" t="s">
        <v>865</v>
      </c>
      <c r="B384" t="s">
        <v>866</v>
      </c>
      <c r="C384" t="s">
        <v>24</v>
      </c>
      <c r="D384" t="s">
        <v>181</v>
      </c>
      <c r="E384" s="1">
        <v>43405.491550925923</v>
      </c>
      <c r="F384" t="s">
        <v>111</v>
      </c>
      <c r="G384" t="s">
        <v>27</v>
      </c>
      <c r="H384" t="s">
        <v>20</v>
      </c>
      <c r="I384" t="b">
        <v>1</v>
      </c>
      <c r="J384" t="b">
        <v>1</v>
      </c>
      <c r="K384" t="s">
        <v>86</v>
      </c>
      <c r="L384" t="s">
        <v>21</v>
      </c>
      <c r="M384">
        <v>200</v>
      </c>
      <c r="N384">
        <v>0</v>
      </c>
      <c r="O384" t="str">
        <f>_xlfn.XLOOKUP(olist_closed_deals_dataset[[#This Row],[mql_id]], leads!A:A, leads!D:D, "Unknow" )</f>
        <v>organic_search</v>
      </c>
      <c r="P384" t="str">
        <f>IF(olist_closed_deals_dataset[[#This Row],[declared_monthly_revenue]] &gt;= 10000, "High Values ", IF(olist_closed_deals_dataset[[#This Row],[declared_monthly_revenue]] &gt; 0, "Stander ", "No Revenue " ))</f>
        <v xml:space="preserve">No Revenue </v>
      </c>
    </row>
    <row r="385" spans="1:16" x14ac:dyDescent="0.2">
      <c r="A385" t="s">
        <v>867</v>
      </c>
      <c r="B385" t="s">
        <v>868</v>
      </c>
      <c r="C385" t="s">
        <v>47</v>
      </c>
      <c r="D385" t="s">
        <v>32</v>
      </c>
      <c r="E385" s="1">
        <v>43158.579293981478</v>
      </c>
      <c r="F385" t="s">
        <v>26</v>
      </c>
      <c r="G385" t="s">
        <v>19</v>
      </c>
      <c r="H385" t="s">
        <v>43</v>
      </c>
      <c r="I385" t="s">
        <v>1796</v>
      </c>
      <c r="J385" t="s">
        <v>1796</v>
      </c>
      <c r="K385" t="s">
        <v>1796</v>
      </c>
      <c r="L385" t="s">
        <v>21</v>
      </c>
      <c r="M385">
        <v>0</v>
      </c>
      <c r="N385">
        <v>0</v>
      </c>
      <c r="O385" t="str">
        <f>_xlfn.XLOOKUP(olist_closed_deals_dataset[[#This Row],[mql_id]], leads!A:A, leads!D:D, "Unknow" )</f>
        <v>unknown</v>
      </c>
      <c r="P385" t="str">
        <f>IF(olist_closed_deals_dataset[[#This Row],[declared_monthly_revenue]] &gt;= 10000, "High Values ", IF(olist_closed_deals_dataset[[#This Row],[declared_monthly_revenue]] &gt; 0, "Stander ", "No Revenue " ))</f>
        <v xml:space="preserve">No Revenue </v>
      </c>
    </row>
    <row r="386" spans="1:16" x14ac:dyDescent="0.2">
      <c r="A386" t="s">
        <v>869</v>
      </c>
      <c r="B386" t="s">
        <v>870</v>
      </c>
      <c r="C386" t="s">
        <v>81</v>
      </c>
      <c r="D386" t="s">
        <v>74</v>
      </c>
      <c r="E386" s="1">
        <v>43146.72415509259</v>
      </c>
      <c r="F386" t="s">
        <v>68</v>
      </c>
      <c r="G386" t="s">
        <v>19</v>
      </c>
      <c r="H386" t="s">
        <v>1796</v>
      </c>
      <c r="I386" t="s">
        <v>1796</v>
      </c>
      <c r="J386" t="s">
        <v>1796</v>
      </c>
      <c r="K386" t="s">
        <v>1796</v>
      </c>
      <c r="L386" t="s">
        <v>21</v>
      </c>
      <c r="M386">
        <v>0</v>
      </c>
      <c r="N386">
        <v>0</v>
      </c>
      <c r="O386" t="str">
        <f>_xlfn.XLOOKUP(olist_closed_deals_dataset[[#This Row],[mql_id]], leads!A:A, leads!D:D, "Unknow" )</f>
        <v>organic_search</v>
      </c>
      <c r="P386" t="str">
        <f>IF(olist_closed_deals_dataset[[#This Row],[declared_monthly_revenue]] &gt;= 10000, "High Values ", IF(olist_closed_deals_dataset[[#This Row],[declared_monthly_revenue]] &gt; 0, "Stander ", "No Revenue " ))</f>
        <v xml:space="preserve">No Revenue </v>
      </c>
    </row>
    <row r="387" spans="1:16" x14ac:dyDescent="0.2">
      <c r="A387" t="s">
        <v>871</v>
      </c>
      <c r="B387" t="s">
        <v>872</v>
      </c>
      <c r="C387" t="s">
        <v>60</v>
      </c>
      <c r="D387" t="s">
        <v>74</v>
      </c>
      <c r="E387" s="1">
        <v>43215.919814814813</v>
      </c>
      <c r="F387" t="s">
        <v>92</v>
      </c>
      <c r="G387" t="s">
        <v>99</v>
      </c>
      <c r="H387" t="s">
        <v>28</v>
      </c>
      <c r="I387" t="s">
        <v>1796</v>
      </c>
      <c r="J387" t="s">
        <v>1796</v>
      </c>
      <c r="K387" t="s">
        <v>1796</v>
      </c>
      <c r="L387" t="s">
        <v>44</v>
      </c>
      <c r="M387">
        <v>0</v>
      </c>
      <c r="N387">
        <v>0</v>
      </c>
      <c r="O387" t="str">
        <f>_xlfn.XLOOKUP(olist_closed_deals_dataset[[#This Row],[mql_id]], leads!A:A, leads!D:D, "Unknow" )</f>
        <v>paid_search</v>
      </c>
      <c r="P387" t="str">
        <f>IF(olist_closed_deals_dataset[[#This Row],[declared_monthly_revenue]] &gt;= 10000, "High Values ", IF(olist_closed_deals_dataset[[#This Row],[declared_monthly_revenue]] &gt; 0, "Stander ", "No Revenue " ))</f>
        <v xml:space="preserve">No Revenue </v>
      </c>
    </row>
    <row r="388" spans="1:16" x14ac:dyDescent="0.2">
      <c r="A388" t="s">
        <v>873</v>
      </c>
      <c r="B388" t="s">
        <v>874</v>
      </c>
      <c r="C388" t="s">
        <v>81</v>
      </c>
      <c r="D388" t="s">
        <v>77</v>
      </c>
      <c r="E388" s="1">
        <v>43188.759004629632</v>
      </c>
      <c r="F388" t="s">
        <v>68</v>
      </c>
      <c r="G388" t="s">
        <v>19</v>
      </c>
      <c r="H388" t="s">
        <v>20</v>
      </c>
      <c r="I388" t="s">
        <v>1796</v>
      </c>
      <c r="J388" t="s">
        <v>1796</v>
      </c>
      <c r="K388" t="s">
        <v>1796</v>
      </c>
      <c r="L388" t="s">
        <v>44</v>
      </c>
      <c r="M388">
        <v>0</v>
      </c>
      <c r="N388">
        <v>0</v>
      </c>
      <c r="O388" t="str">
        <f>_xlfn.XLOOKUP(olist_closed_deals_dataset[[#This Row],[mql_id]], leads!A:A, leads!D:D, "Unknow" )</f>
        <v>unknown</v>
      </c>
      <c r="P388" t="str">
        <f>IF(olist_closed_deals_dataset[[#This Row],[declared_monthly_revenue]] &gt;= 10000, "High Values ", IF(olist_closed_deals_dataset[[#This Row],[declared_monthly_revenue]] &gt; 0, "Stander ", "No Revenue " ))</f>
        <v xml:space="preserve">No Revenue </v>
      </c>
    </row>
    <row r="389" spans="1:16" x14ac:dyDescent="0.2">
      <c r="A389" t="s">
        <v>875</v>
      </c>
      <c r="B389" t="s">
        <v>876</v>
      </c>
      <c r="C389" t="s">
        <v>24</v>
      </c>
      <c r="D389" t="s">
        <v>74</v>
      </c>
      <c r="E389" s="1">
        <v>43257.578877314816</v>
      </c>
      <c r="F389" t="s">
        <v>61</v>
      </c>
      <c r="G389" t="s">
        <v>39</v>
      </c>
      <c r="H389" t="s">
        <v>20</v>
      </c>
      <c r="I389" t="s">
        <v>1796</v>
      </c>
      <c r="J389" t="s">
        <v>1796</v>
      </c>
      <c r="K389" t="s">
        <v>1796</v>
      </c>
      <c r="L389" t="s">
        <v>44</v>
      </c>
      <c r="M389">
        <v>0</v>
      </c>
      <c r="N389">
        <v>0</v>
      </c>
      <c r="O389" t="str">
        <f>_xlfn.XLOOKUP(olist_closed_deals_dataset[[#This Row],[mql_id]], leads!A:A, leads!D:D, "Unknow" )</f>
        <v>organic_search</v>
      </c>
      <c r="P389" t="str">
        <f>IF(olist_closed_deals_dataset[[#This Row],[declared_monthly_revenue]] &gt;= 10000, "High Values ", IF(olist_closed_deals_dataset[[#This Row],[declared_monthly_revenue]] &gt; 0, "Stander ", "No Revenue " ))</f>
        <v xml:space="preserve">No Revenue </v>
      </c>
    </row>
    <row r="390" spans="1:16" x14ac:dyDescent="0.2">
      <c r="A390" t="s">
        <v>877</v>
      </c>
      <c r="B390" t="s">
        <v>878</v>
      </c>
      <c r="C390" t="s">
        <v>81</v>
      </c>
      <c r="D390" t="s">
        <v>52</v>
      </c>
      <c r="E390" s="1">
        <v>43168.842106481483</v>
      </c>
      <c r="F390" t="s">
        <v>103</v>
      </c>
      <c r="G390" t="s">
        <v>19</v>
      </c>
      <c r="H390" t="s">
        <v>1796</v>
      </c>
      <c r="I390" t="s">
        <v>1796</v>
      </c>
      <c r="J390" t="s">
        <v>1796</v>
      </c>
      <c r="K390" t="s">
        <v>1796</v>
      </c>
      <c r="L390" t="s">
        <v>21</v>
      </c>
      <c r="M390">
        <v>0</v>
      </c>
      <c r="N390">
        <v>0</v>
      </c>
      <c r="O390" t="str">
        <f>_xlfn.XLOOKUP(olist_closed_deals_dataset[[#This Row],[mql_id]], leads!A:A, leads!D:D, "Unknow" )</f>
        <v>paid_search</v>
      </c>
      <c r="P390" t="str">
        <f>IF(olist_closed_deals_dataset[[#This Row],[declared_monthly_revenue]] &gt;= 10000, "High Values ", IF(olist_closed_deals_dataset[[#This Row],[declared_monthly_revenue]] &gt; 0, "Stander ", "No Revenue " ))</f>
        <v xml:space="preserve">No Revenue </v>
      </c>
    </row>
    <row r="391" spans="1:16" x14ac:dyDescent="0.2">
      <c r="A391" t="s">
        <v>879</v>
      </c>
      <c r="B391" t="s">
        <v>880</v>
      </c>
      <c r="C391" t="s">
        <v>16</v>
      </c>
      <c r="D391" t="s">
        <v>52</v>
      </c>
      <c r="E391" s="1">
        <v>43215.682245370372</v>
      </c>
      <c r="F391" t="s">
        <v>797</v>
      </c>
      <c r="G391" t="s">
        <v>112</v>
      </c>
      <c r="H391" t="s">
        <v>20</v>
      </c>
      <c r="I391" t="s">
        <v>1796</v>
      </c>
      <c r="J391" t="s">
        <v>1796</v>
      </c>
      <c r="K391" t="s">
        <v>1796</v>
      </c>
      <c r="L391" t="s">
        <v>21</v>
      </c>
      <c r="M391">
        <v>0</v>
      </c>
      <c r="N391">
        <v>0</v>
      </c>
      <c r="O391" t="str">
        <f>_xlfn.XLOOKUP(olist_closed_deals_dataset[[#This Row],[mql_id]], leads!A:A, leads!D:D, "Unknow" )</f>
        <v>referral</v>
      </c>
      <c r="P391" t="str">
        <f>IF(olist_closed_deals_dataset[[#This Row],[declared_monthly_revenue]] &gt;= 10000, "High Values ", IF(olist_closed_deals_dataset[[#This Row],[declared_monthly_revenue]] &gt; 0, "Stander ", "No Revenue " ))</f>
        <v xml:space="preserve">No Revenue </v>
      </c>
    </row>
    <row r="392" spans="1:16" x14ac:dyDescent="0.2">
      <c r="A392" t="s">
        <v>881</v>
      </c>
      <c r="B392" t="s">
        <v>882</v>
      </c>
      <c r="C392" t="s">
        <v>64</v>
      </c>
      <c r="D392" t="s">
        <v>16</v>
      </c>
      <c r="E392" s="1">
        <v>43245.625162037039</v>
      </c>
      <c r="F392" t="s">
        <v>49</v>
      </c>
      <c r="G392" t="s">
        <v>19</v>
      </c>
      <c r="H392" t="s">
        <v>43</v>
      </c>
      <c r="I392" t="s">
        <v>1796</v>
      </c>
      <c r="J392" t="s">
        <v>1796</v>
      </c>
      <c r="K392" t="s">
        <v>1796</v>
      </c>
      <c r="L392" t="s">
        <v>21</v>
      </c>
      <c r="M392">
        <v>0</v>
      </c>
      <c r="N392">
        <v>0</v>
      </c>
      <c r="O392" t="str">
        <f>_xlfn.XLOOKUP(olist_closed_deals_dataset[[#This Row],[mql_id]], leads!A:A, leads!D:D, "Unknow" )</f>
        <v>referral</v>
      </c>
      <c r="P392" t="str">
        <f>IF(olist_closed_deals_dataset[[#This Row],[declared_monthly_revenue]] &gt;= 10000, "High Values ", IF(olist_closed_deals_dataset[[#This Row],[declared_monthly_revenue]] &gt; 0, "Stander ", "No Revenue " ))</f>
        <v xml:space="preserve">No Revenue </v>
      </c>
    </row>
    <row r="393" spans="1:16" x14ac:dyDescent="0.2">
      <c r="A393" t="s">
        <v>883</v>
      </c>
      <c r="B393" t="s">
        <v>884</v>
      </c>
      <c r="C393" t="s">
        <v>60</v>
      </c>
      <c r="D393" t="s">
        <v>77</v>
      </c>
      <c r="E393" s="1">
        <v>43236.564189814817</v>
      </c>
      <c r="F393" t="s">
        <v>138</v>
      </c>
      <c r="G393" t="s">
        <v>39</v>
      </c>
      <c r="H393" t="s">
        <v>28</v>
      </c>
      <c r="I393" t="s">
        <v>1796</v>
      </c>
      <c r="J393" t="s">
        <v>1796</v>
      </c>
      <c r="K393" t="s">
        <v>1796</v>
      </c>
      <c r="L393" t="s">
        <v>21</v>
      </c>
      <c r="M393">
        <v>0</v>
      </c>
      <c r="N393">
        <v>0</v>
      </c>
      <c r="O393" t="str">
        <f>_xlfn.XLOOKUP(olist_closed_deals_dataset[[#This Row],[mql_id]], leads!A:A, leads!D:D, "Unknow" )</f>
        <v>social</v>
      </c>
      <c r="P393" t="str">
        <f>IF(olist_closed_deals_dataset[[#This Row],[declared_monthly_revenue]] &gt;= 10000, "High Values ", IF(olist_closed_deals_dataset[[#This Row],[declared_monthly_revenue]] &gt; 0, "Stander ", "No Revenue " ))</f>
        <v xml:space="preserve">No Revenue </v>
      </c>
    </row>
    <row r="394" spans="1:16" x14ac:dyDescent="0.2">
      <c r="A394" t="s">
        <v>885</v>
      </c>
      <c r="B394" t="s">
        <v>886</v>
      </c>
      <c r="C394" t="s">
        <v>81</v>
      </c>
      <c r="D394" t="s">
        <v>181</v>
      </c>
      <c r="E394" s="1">
        <v>43357.61377314815</v>
      </c>
      <c r="F394" t="s">
        <v>138</v>
      </c>
      <c r="G394" t="s">
        <v>19</v>
      </c>
      <c r="H394" t="s">
        <v>20</v>
      </c>
      <c r="I394" t="b">
        <v>1</v>
      </c>
      <c r="J394" t="b">
        <v>1</v>
      </c>
      <c r="K394" t="s">
        <v>199</v>
      </c>
      <c r="L394" t="s">
        <v>21</v>
      </c>
      <c r="M394">
        <v>70</v>
      </c>
      <c r="N394">
        <v>250000</v>
      </c>
      <c r="O394" t="str">
        <f>_xlfn.XLOOKUP(olist_closed_deals_dataset[[#This Row],[mql_id]], leads!A:A, leads!D:D, "Unknow" )</f>
        <v>paid_search</v>
      </c>
      <c r="P394" t="str">
        <f>IF(olist_closed_deals_dataset[[#This Row],[declared_monthly_revenue]] &gt;= 10000, "High Values ", IF(olist_closed_deals_dataset[[#This Row],[declared_monthly_revenue]] &gt; 0, "Stander ", "No Revenue " ))</f>
        <v xml:space="preserve">High Values </v>
      </c>
    </row>
    <row r="395" spans="1:16" x14ac:dyDescent="0.2">
      <c r="A395" t="s">
        <v>887</v>
      </c>
      <c r="B395" t="s">
        <v>888</v>
      </c>
      <c r="C395" t="s">
        <v>31</v>
      </c>
      <c r="D395" t="s">
        <v>77</v>
      </c>
      <c r="E395" s="1">
        <v>43320.885011574072</v>
      </c>
      <c r="F395" t="s">
        <v>96</v>
      </c>
      <c r="G395" t="s">
        <v>1797</v>
      </c>
      <c r="H395" t="s">
        <v>1796</v>
      </c>
      <c r="I395" t="s">
        <v>1796</v>
      </c>
      <c r="J395" t="s">
        <v>1796</v>
      </c>
      <c r="K395" t="s">
        <v>1796</v>
      </c>
      <c r="L395" t="s">
        <v>21</v>
      </c>
      <c r="M395">
        <v>0</v>
      </c>
      <c r="N395">
        <v>0</v>
      </c>
      <c r="O395" t="str">
        <f>_xlfn.XLOOKUP(olist_closed_deals_dataset[[#This Row],[mql_id]], leads!A:A, leads!D:D, "Unknow" )</f>
        <v>organic_search</v>
      </c>
      <c r="P395" t="str">
        <f>IF(olist_closed_deals_dataset[[#This Row],[declared_monthly_revenue]] &gt;= 10000, "High Values ", IF(olist_closed_deals_dataset[[#This Row],[declared_monthly_revenue]] &gt; 0, "Stander ", "No Revenue " ))</f>
        <v xml:space="preserve">No Revenue </v>
      </c>
    </row>
    <row r="396" spans="1:16" x14ac:dyDescent="0.2">
      <c r="A396" t="s">
        <v>889</v>
      </c>
      <c r="B396" t="s">
        <v>890</v>
      </c>
      <c r="C396" t="s">
        <v>24</v>
      </c>
      <c r="D396" t="s">
        <v>25</v>
      </c>
      <c r="E396" s="1">
        <v>43213.810069444444</v>
      </c>
      <c r="F396" t="s">
        <v>494</v>
      </c>
      <c r="G396" t="s">
        <v>57</v>
      </c>
      <c r="H396" t="s">
        <v>28</v>
      </c>
      <c r="I396" t="s">
        <v>1796</v>
      </c>
      <c r="J396" t="s">
        <v>1796</v>
      </c>
      <c r="K396" t="s">
        <v>1796</v>
      </c>
      <c r="L396" t="s">
        <v>1796</v>
      </c>
      <c r="M396">
        <v>0</v>
      </c>
      <c r="N396">
        <v>0</v>
      </c>
      <c r="O396" t="str">
        <f>_xlfn.XLOOKUP(olist_closed_deals_dataset[[#This Row],[mql_id]], leads!A:A, leads!D:D, "Unknow" )</f>
        <v>paid_search</v>
      </c>
      <c r="P396" t="str">
        <f>IF(olist_closed_deals_dataset[[#This Row],[declared_monthly_revenue]] &gt;= 10000, "High Values ", IF(olist_closed_deals_dataset[[#This Row],[declared_monthly_revenue]] &gt; 0, "Stander ", "No Revenue " ))</f>
        <v xml:space="preserve">No Revenue </v>
      </c>
    </row>
    <row r="397" spans="1:16" x14ac:dyDescent="0.2">
      <c r="A397" t="s">
        <v>891</v>
      </c>
      <c r="B397" t="s">
        <v>892</v>
      </c>
      <c r="C397" t="s">
        <v>81</v>
      </c>
      <c r="D397" t="s">
        <v>25</v>
      </c>
      <c r="E397" s="1">
        <v>43206.767500000002</v>
      </c>
      <c r="F397" t="s">
        <v>78</v>
      </c>
      <c r="G397" t="s">
        <v>39</v>
      </c>
      <c r="H397" t="s">
        <v>20</v>
      </c>
      <c r="I397" t="s">
        <v>1796</v>
      </c>
      <c r="J397" t="s">
        <v>1796</v>
      </c>
      <c r="K397" t="s">
        <v>1796</v>
      </c>
      <c r="L397" t="s">
        <v>21</v>
      </c>
      <c r="M397">
        <v>0</v>
      </c>
      <c r="N397">
        <v>0</v>
      </c>
      <c r="O397" t="str">
        <f>_xlfn.XLOOKUP(olist_closed_deals_dataset[[#This Row],[mql_id]], leads!A:A, leads!D:D, "Unknow" )</f>
        <v>direct_traffic</v>
      </c>
      <c r="P397" t="str">
        <f>IF(olist_closed_deals_dataset[[#This Row],[declared_monthly_revenue]] &gt;= 10000, "High Values ", IF(olist_closed_deals_dataset[[#This Row],[declared_monthly_revenue]] &gt; 0, "Stander ", "No Revenue " ))</f>
        <v xml:space="preserve">No Revenue </v>
      </c>
    </row>
    <row r="398" spans="1:16" x14ac:dyDescent="0.2">
      <c r="A398" t="s">
        <v>893</v>
      </c>
      <c r="B398" t="s">
        <v>894</v>
      </c>
      <c r="C398" t="s">
        <v>81</v>
      </c>
      <c r="D398" t="s">
        <v>32</v>
      </c>
      <c r="E398" s="1">
        <v>43130.487511574072</v>
      </c>
      <c r="F398" t="s">
        <v>96</v>
      </c>
      <c r="G398" t="s">
        <v>19</v>
      </c>
      <c r="H398" t="s">
        <v>1796</v>
      </c>
      <c r="I398" t="s">
        <v>1796</v>
      </c>
      <c r="J398" t="s">
        <v>1796</v>
      </c>
      <c r="K398" t="s">
        <v>1796</v>
      </c>
      <c r="L398" t="s">
        <v>44</v>
      </c>
      <c r="M398">
        <v>0</v>
      </c>
      <c r="N398">
        <v>0</v>
      </c>
      <c r="O398" t="str">
        <f>_xlfn.XLOOKUP(olist_closed_deals_dataset[[#This Row],[mql_id]], leads!A:A, leads!D:D, "Unknow" )</f>
        <v>unknown</v>
      </c>
      <c r="P398" t="str">
        <f>IF(olist_closed_deals_dataset[[#This Row],[declared_monthly_revenue]] &gt;= 10000, "High Values ", IF(olist_closed_deals_dataset[[#This Row],[declared_monthly_revenue]] &gt; 0, "Stander ", "No Revenue " ))</f>
        <v xml:space="preserve">No Revenue </v>
      </c>
    </row>
    <row r="399" spans="1:16" x14ac:dyDescent="0.2">
      <c r="A399" t="s">
        <v>895</v>
      </c>
      <c r="B399" t="s">
        <v>896</v>
      </c>
      <c r="C399" t="s">
        <v>42</v>
      </c>
      <c r="D399" t="s">
        <v>32</v>
      </c>
      <c r="E399" s="1">
        <v>43124.638761574075</v>
      </c>
      <c r="F399" t="s">
        <v>68</v>
      </c>
      <c r="G399" t="s">
        <v>19</v>
      </c>
      <c r="H399" t="s">
        <v>1796</v>
      </c>
      <c r="I399" t="s">
        <v>1796</v>
      </c>
      <c r="J399" t="s">
        <v>1796</v>
      </c>
      <c r="K399" t="s">
        <v>1796</v>
      </c>
      <c r="L399" t="s">
        <v>21</v>
      </c>
      <c r="M399">
        <v>0</v>
      </c>
      <c r="N399">
        <v>0</v>
      </c>
      <c r="O399" t="str">
        <f>_xlfn.XLOOKUP(olist_closed_deals_dataset[[#This Row],[mql_id]], leads!A:A, leads!D:D, "Unknow" )</f>
        <v>direct_traffic</v>
      </c>
      <c r="P399" t="str">
        <f>IF(olist_closed_deals_dataset[[#This Row],[declared_monthly_revenue]] &gt;= 10000, "High Values ", IF(olist_closed_deals_dataset[[#This Row],[declared_monthly_revenue]] &gt; 0, "Stander ", "No Revenue " ))</f>
        <v xml:space="preserve">No Revenue </v>
      </c>
    </row>
    <row r="400" spans="1:16" x14ac:dyDescent="0.2">
      <c r="A400" t="s">
        <v>897</v>
      </c>
      <c r="B400" t="s">
        <v>898</v>
      </c>
      <c r="C400" t="s">
        <v>56</v>
      </c>
      <c r="D400" t="s">
        <v>74</v>
      </c>
      <c r="E400" s="1">
        <v>43235.88685185185</v>
      </c>
      <c r="F400" t="s">
        <v>53</v>
      </c>
      <c r="G400" t="s">
        <v>34</v>
      </c>
      <c r="H400" t="s">
        <v>20</v>
      </c>
      <c r="I400" t="s">
        <v>1796</v>
      </c>
      <c r="J400" t="s">
        <v>1796</v>
      </c>
      <c r="K400" t="s">
        <v>1796</v>
      </c>
      <c r="L400" t="s">
        <v>21</v>
      </c>
      <c r="M400">
        <v>0</v>
      </c>
      <c r="N400">
        <v>0</v>
      </c>
      <c r="O400" t="str">
        <f>_xlfn.XLOOKUP(olist_closed_deals_dataset[[#This Row],[mql_id]], leads!A:A, leads!D:D, "Unknow" )</f>
        <v>Unknow</v>
      </c>
      <c r="P400" t="str">
        <f>IF(olist_closed_deals_dataset[[#This Row],[declared_monthly_revenue]] &gt;= 10000, "High Values ", IF(olist_closed_deals_dataset[[#This Row],[declared_monthly_revenue]] &gt; 0, "Stander ", "No Revenue " ))</f>
        <v xml:space="preserve">No Revenue </v>
      </c>
    </row>
    <row r="401" spans="1:16" x14ac:dyDescent="0.2">
      <c r="A401" t="s">
        <v>899</v>
      </c>
      <c r="B401" t="s">
        <v>900</v>
      </c>
      <c r="C401" t="s">
        <v>159</v>
      </c>
      <c r="D401" t="s">
        <v>16</v>
      </c>
      <c r="E401" s="1">
        <v>43224.125</v>
      </c>
      <c r="F401" t="s">
        <v>38</v>
      </c>
      <c r="G401" t="s">
        <v>39</v>
      </c>
      <c r="H401" t="s">
        <v>28</v>
      </c>
      <c r="I401" t="s">
        <v>1796</v>
      </c>
      <c r="J401" t="s">
        <v>1796</v>
      </c>
      <c r="K401" t="s">
        <v>1796</v>
      </c>
      <c r="L401" t="s">
        <v>44</v>
      </c>
      <c r="M401">
        <v>0</v>
      </c>
      <c r="N401">
        <v>0</v>
      </c>
      <c r="O401" t="str">
        <f>_xlfn.XLOOKUP(olist_closed_deals_dataset[[#This Row],[mql_id]], leads!A:A, leads!D:D, "Unknow" )</f>
        <v>organic_search</v>
      </c>
      <c r="P401" t="str">
        <f>IF(olist_closed_deals_dataset[[#This Row],[declared_monthly_revenue]] &gt;= 10000, "High Values ", IF(olist_closed_deals_dataset[[#This Row],[declared_monthly_revenue]] &gt; 0, "Stander ", "No Revenue " ))</f>
        <v xml:space="preserve">No Revenue </v>
      </c>
    </row>
    <row r="402" spans="1:16" x14ac:dyDescent="0.2">
      <c r="A402" t="s">
        <v>901</v>
      </c>
      <c r="B402" t="s">
        <v>902</v>
      </c>
      <c r="C402" t="s">
        <v>42</v>
      </c>
      <c r="D402" t="s">
        <v>52</v>
      </c>
      <c r="E402" s="1">
        <v>43175.828020833331</v>
      </c>
      <c r="F402" t="s">
        <v>61</v>
      </c>
      <c r="G402" t="s">
        <v>99</v>
      </c>
      <c r="H402" t="s">
        <v>122</v>
      </c>
      <c r="I402" t="s">
        <v>1796</v>
      </c>
      <c r="J402" t="s">
        <v>1796</v>
      </c>
      <c r="K402" t="s">
        <v>1796</v>
      </c>
      <c r="L402" t="s">
        <v>21</v>
      </c>
      <c r="M402">
        <v>0</v>
      </c>
      <c r="N402">
        <v>0</v>
      </c>
      <c r="O402" t="str">
        <f>_xlfn.XLOOKUP(olist_closed_deals_dataset[[#This Row],[mql_id]], leads!A:A, leads!D:D, "Unknow" )</f>
        <v>social</v>
      </c>
      <c r="P402" t="str">
        <f>IF(olist_closed_deals_dataset[[#This Row],[declared_monthly_revenue]] &gt;= 10000, "High Values ", IF(olist_closed_deals_dataset[[#This Row],[declared_monthly_revenue]] &gt; 0, "Stander ", "No Revenue " ))</f>
        <v xml:space="preserve">No Revenue </v>
      </c>
    </row>
    <row r="403" spans="1:16" x14ac:dyDescent="0.2">
      <c r="A403" t="s">
        <v>903</v>
      </c>
      <c r="B403" t="s">
        <v>904</v>
      </c>
      <c r="C403" t="s">
        <v>37</v>
      </c>
      <c r="D403" t="s">
        <v>17</v>
      </c>
      <c r="E403" s="1">
        <v>43158.717627314814</v>
      </c>
      <c r="F403" t="s">
        <v>138</v>
      </c>
      <c r="G403" t="s">
        <v>19</v>
      </c>
      <c r="H403" t="s">
        <v>20</v>
      </c>
      <c r="I403" t="s">
        <v>1796</v>
      </c>
      <c r="J403" t="s">
        <v>1796</v>
      </c>
      <c r="K403" t="s">
        <v>1796</v>
      </c>
      <c r="L403" t="s">
        <v>21</v>
      </c>
      <c r="M403">
        <v>0</v>
      </c>
      <c r="N403">
        <v>0</v>
      </c>
      <c r="O403" t="str">
        <f>_xlfn.XLOOKUP(olist_closed_deals_dataset[[#This Row],[mql_id]], leads!A:A, leads!D:D, "Unknow" )</f>
        <v>organic_search</v>
      </c>
      <c r="P403" t="str">
        <f>IF(olist_closed_deals_dataset[[#This Row],[declared_monthly_revenue]] &gt;= 10000, "High Values ", IF(olist_closed_deals_dataset[[#This Row],[declared_monthly_revenue]] &gt; 0, "Stander ", "No Revenue " ))</f>
        <v xml:space="preserve">No Revenue </v>
      </c>
    </row>
    <row r="404" spans="1:16" x14ac:dyDescent="0.2">
      <c r="A404" t="s">
        <v>905</v>
      </c>
      <c r="B404" t="s">
        <v>906</v>
      </c>
      <c r="C404" t="s">
        <v>42</v>
      </c>
      <c r="D404" t="s">
        <v>95</v>
      </c>
      <c r="E404" s="1">
        <v>43220.81145833333</v>
      </c>
      <c r="F404" t="s">
        <v>68</v>
      </c>
      <c r="G404" t="s">
        <v>19</v>
      </c>
      <c r="H404" t="s">
        <v>28</v>
      </c>
      <c r="I404" t="s">
        <v>1796</v>
      </c>
      <c r="J404" t="s">
        <v>1796</v>
      </c>
      <c r="K404" t="s">
        <v>1796</v>
      </c>
      <c r="L404" t="s">
        <v>21</v>
      </c>
      <c r="M404">
        <v>0</v>
      </c>
      <c r="N404">
        <v>0</v>
      </c>
      <c r="O404" t="str">
        <f>_xlfn.XLOOKUP(olist_closed_deals_dataset[[#This Row],[mql_id]], leads!A:A, leads!D:D, "Unknow" )</f>
        <v>organic_search</v>
      </c>
      <c r="P404" t="str">
        <f>IF(olist_closed_deals_dataset[[#This Row],[declared_monthly_revenue]] &gt;= 10000, "High Values ", IF(olist_closed_deals_dataset[[#This Row],[declared_monthly_revenue]] &gt; 0, "Stander ", "No Revenue " ))</f>
        <v xml:space="preserve">No Revenue </v>
      </c>
    </row>
    <row r="405" spans="1:16" x14ac:dyDescent="0.2">
      <c r="A405" t="s">
        <v>907</v>
      </c>
      <c r="B405" t="s">
        <v>908</v>
      </c>
      <c r="C405" t="s">
        <v>60</v>
      </c>
      <c r="D405" t="s">
        <v>52</v>
      </c>
      <c r="E405" s="1">
        <v>43224.125</v>
      </c>
      <c r="F405" t="s">
        <v>96</v>
      </c>
      <c r="G405" t="s">
        <v>27</v>
      </c>
      <c r="H405" t="s">
        <v>20</v>
      </c>
      <c r="I405" t="s">
        <v>1796</v>
      </c>
      <c r="J405" t="s">
        <v>1796</v>
      </c>
      <c r="K405" t="s">
        <v>1796</v>
      </c>
      <c r="L405" t="s">
        <v>44</v>
      </c>
      <c r="M405">
        <v>0</v>
      </c>
      <c r="N405">
        <v>0</v>
      </c>
      <c r="O405" t="str">
        <f>_xlfn.XLOOKUP(olist_closed_deals_dataset[[#This Row],[mql_id]], leads!A:A, leads!D:D, "Unknow" )</f>
        <v>organic_search</v>
      </c>
      <c r="P405" t="str">
        <f>IF(olist_closed_deals_dataset[[#This Row],[declared_monthly_revenue]] &gt;= 10000, "High Values ", IF(olist_closed_deals_dataset[[#This Row],[declared_monthly_revenue]] &gt; 0, "Stander ", "No Revenue " ))</f>
        <v xml:space="preserve">No Revenue </v>
      </c>
    </row>
    <row r="406" spans="1:16" x14ac:dyDescent="0.2">
      <c r="A406" t="s">
        <v>909</v>
      </c>
      <c r="B406" t="s">
        <v>910</v>
      </c>
      <c r="C406" t="s">
        <v>16</v>
      </c>
      <c r="D406" t="s">
        <v>17</v>
      </c>
      <c r="E406" s="1">
        <v>43208.589016203703</v>
      </c>
      <c r="F406" t="s">
        <v>49</v>
      </c>
      <c r="G406" t="s">
        <v>19</v>
      </c>
      <c r="H406" t="s">
        <v>20</v>
      </c>
      <c r="I406" t="s">
        <v>1796</v>
      </c>
      <c r="J406" t="s">
        <v>1796</v>
      </c>
      <c r="K406" t="s">
        <v>1796</v>
      </c>
      <c r="L406" t="s">
        <v>44</v>
      </c>
      <c r="M406">
        <v>0</v>
      </c>
      <c r="N406">
        <v>0</v>
      </c>
      <c r="O406" t="str">
        <f>_xlfn.XLOOKUP(olist_closed_deals_dataset[[#This Row],[mql_id]], leads!A:A, leads!D:D, "Unknow" )</f>
        <v>unknown</v>
      </c>
      <c r="P406" t="str">
        <f>IF(olist_closed_deals_dataset[[#This Row],[declared_monthly_revenue]] &gt;= 10000, "High Values ", IF(olist_closed_deals_dataset[[#This Row],[declared_monthly_revenue]] &gt; 0, "Stander ", "No Revenue " ))</f>
        <v xml:space="preserve">No Revenue </v>
      </c>
    </row>
    <row r="407" spans="1:16" x14ac:dyDescent="0.2">
      <c r="A407" t="s">
        <v>911</v>
      </c>
      <c r="B407" t="s">
        <v>912</v>
      </c>
      <c r="C407" t="s">
        <v>37</v>
      </c>
      <c r="D407" t="s">
        <v>102</v>
      </c>
      <c r="E407" s="1">
        <v>43146.609074074076</v>
      </c>
      <c r="F407" t="s">
        <v>49</v>
      </c>
      <c r="G407" t="s">
        <v>39</v>
      </c>
      <c r="H407" t="s">
        <v>20</v>
      </c>
      <c r="I407" t="s">
        <v>1796</v>
      </c>
      <c r="J407" t="s">
        <v>1796</v>
      </c>
      <c r="K407" t="s">
        <v>1796</v>
      </c>
      <c r="L407" t="s">
        <v>44</v>
      </c>
      <c r="M407">
        <v>0</v>
      </c>
      <c r="N407">
        <v>0</v>
      </c>
      <c r="O407" t="str">
        <f>_xlfn.XLOOKUP(olist_closed_deals_dataset[[#This Row],[mql_id]], leads!A:A, leads!D:D, "Unknow" )</f>
        <v>unknown</v>
      </c>
      <c r="P407" t="str">
        <f>IF(olist_closed_deals_dataset[[#This Row],[declared_monthly_revenue]] &gt;= 10000, "High Values ", IF(olist_closed_deals_dataset[[#This Row],[declared_monthly_revenue]] &gt; 0, "Stander ", "No Revenue " ))</f>
        <v xml:space="preserve">No Revenue </v>
      </c>
    </row>
    <row r="408" spans="1:16" x14ac:dyDescent="0.2">
      <c r="A408" t="s">
        <v>913</v>
      </c>
      <c r="B408" t="s">
        <v>914</v>
      </c>
      <c r="C408" t="s">
        <v>24</v>
      </c>
      <c r="D408" t="s">
        <v>17</v>
      </c>
      <c r="E408" s="1">
        <v>43217.683333333334</v>
      </c>
      <c r="F408" t="s">
        <v>26</v>
      </c>
      <c r="G408" t="s">
        <v>19</v>
      </c>
      <c r="H408" t="s">
        <v>43</v>
      </c>
      <c r="I408" t="s">
        <v>1796</v>
      </c>
      <c r="J408" t="s">
        <v>1796</v>
      </c>
      <c r="K408" t="s">
        <v>1796</v>
      </c>
      <c r="L408" t="s">
        <v>21</v>
      </c>
      <c r="M408">
        <v>0</v>
      </c>
      <c r="N408">
        <v>0</v>
      </c>
      <c r="O408" t="str">
        <f>_xlfn.XLOOKUP(olist_closed_deals_dataset[[#This Row],[mql_id]], leads!A:A, leads!D:D, "Unknow" )</f>
        <v>social</v>
      </c>
      <c r="P408" t="str">
        <f>IF(olist_closed_deals_dataset[[#This Row],[declared_monthly_revenue]] &gt;= 10000, "High Values ", IF(olist_closed_deals_dataset[[#This Row],[declared_monthly_revenue]] &gt; 0, "Stander ", "No Revenue " ))</f>
        <v xml:space="preserve">No Revenue </v>
      </c>
    </row>
    <row r="409" spans="1:16" x14ac:dyDescent="0.2">
      <c r="A409" t="s">
        <v>915</v>
      </c>
      <c r="B409" t="s">
        <v>916</v>
      </c>
      <c r="C409" t="s">
        <v>127</v>
      </c>
      <c r="D409" t="s">
        <v>52</v>
      </c>
      <c r="E409" s="1">
        <v>43245.942453703705</v>
      </c>
      <c r="F409" t="s">
        <v>82</v>
      </c>
      <c r="G409" t="s">
        <v>34</v>
      </c>
      <c r="H409" t="s">
        <v>20</v>
      </c>
      <c r="I409" t="s">
        <v>1796</v>
      </c>
      <c r="J409" t="s">
        <v>1796</v>
      </c>
      <c r="K409" t="s">
        <v>1796</v>
      </c>
      <c r="L409" t="s">
        <v>21</v>
      </c>
      <c r="M409">
        <v>0</v>
      </c>
      <c r="N409">
        <v>0</v>
      </c>
      <c r="O409" t="str">
        <f>_xlfn.XLOOKUP(olist_closed_deals_dataset[[#This Row],[mql_id]], leads!A:A, leads!D:D, "Unknow" )</f>
        <v>referral</v>
      </c>
      <c r="P409" t="str">
        <f>IF(olist_closed_deals_dataset[[#This Row],[declared_monthly_revenue]] &gt;= 10000, "High Values ", IF(olist_closed_deals_dataset[[#This Row],[declared_monthly_revenue]] &gt; 0, "Stander ", "No Revenue " ))</f>
        <v xml:space="preserve">No Revenue </v>
      </c>
    </row>
    <row r="410" spans="1:16" x14ac:dyDescent="0.2">
      <c r="A410" t="s">
        <v>917</v>
      </c>
      <c r="B410" t="s">
        <v>918</v>
      </c>
      <c r="C410" t="s">
        <v>141</v>
      </c>
      <c r="D410" t="s">
        <v>71</v>
      </c>
      <c r="E410" s="1">
        <v>43367.865069444444</v>
      </c>
      <c r="F410" t="s">
        <v>415</v>
      </c>
      <c r="G410" t="s">
        <v>34</v>
      </c>
      <c r="H410" t="s">
        <v>122</v>
      </c>
      <c r="I410" t="b">
        <v>1</v>
      </c>
      <c r="J410" t="b">
        <v>1</v>
      </c>
      <c r="K410" t="s">
        <v>86</v>
      </c>
      <c r="L410" t="s">
        <v>21</v>
      </c>
      <c r="M410">
        <v>45</v>
      </c>
      <c r="N410">
        <v>8000000</v>
      </c>
      <c r="O410" t="str">
        <f>_xlfn.XLOOKUP(olist_closed_deals_dataset[[#This Row],[mql_id]], leads!A:A, leads!D:D, "Unknow" )</f>
        <v>paid_search</v>
      </c>
      <c r="P410" t="str">
        <f>IF(olist_closed_deals_dataset[[#This Row],[declared_monthly_revenue]] &gt;= 10000, "High Values ", IF(olist_closed_deals_dataset[[#This Row],[declared_monthly_revenue]] &gt; 0, "Stander ", "No Revenue " ))</f>
        <v xml:space="preserve">High Values </v>
      </c>
    </row>
    <row r="411" spans="1:16" x14ac:dyDescent="0.2">
      <c r="A411" t="s">
        <v>919</v>
      </c>
      <c r="B411" t="s">
        <v>920</v>
      </c>
      <c r="C411" t="s">
        <v>16</v>
      </c>
      <c r="D411" t="s">
        <v>77</v>
      </c>
      <c r="E411" s="1">
        <v>43166.581053240741</v>
      </c>
      <c r="F411" t="s">
        <v>186</v>
      </c>
      <c r="G411" t="s">
        <v>19</v>
      </c>
      <c r="H411" t="s">
        <v>20</v>
      </c>
      <c r="I411" t="s">
        <v>1796</v>
      </c>
      <c r="J411" t="s">
        <v>1796</v>
      </c>
      <c r="K411" t="s">
        <v>1796</v>
      </c>
      <c r="L411" t="s">
        <v>21</v>
      </c>
      <c r="M411">
        <v>0</v>
      </c>
      <c r="N411">
        <v>0</v>
      </c>
      <c r="O411" t="str">
        <f>_xlfn.XLOOKUP(olist_closed_deals_dataset[[#This Row],[mql_id]], leads!A:A, leads!D:D, "Unknow" )</f>
        <v>social</v>
      </c>
      <c r="P411" t="str">
        <f>IF(olist_closed_deals_dataset[[#This Row],[declared_monthly_revenue]] &gt;= 10000, "High Values ", IF(olist_closed_deals_dataset[[#This Row],[declared_monthly_revenue]] &gt; 0, "Stander ", "No Revenue " ))</f>
        <v xml:space="preserve">No Revenue </v>
      </c>
    </row>
    <row r="412" spans="1:16" x14ac:dyDescent="0.2">
      <c r="A412" t="s">
        <v>921</v>
      </c>
      <c r="B412" t="s">
        <v>922</v>
      </c>
      <c r="C412" t="s">
        <v>81</v>
      </c>
      <c r="D412" t="s">
        <v>16</v>
      </c>
      <c r="E412" s="1">
        <v>43241.830092592594</v>
      </c>
      <c r="F412" t="s">
        <v>61</v>
      </c>
      <c r="G412" t="s">
        <v>27</v>
      </c>
      <c r="H412" t="s">
        <v>20</v>
      </c>
      <c r="I412" t="s">
        <v>1796</v>
      </c>
      <c r="J412" t="s">
        <v>1796</v>
      </c>
      <c r="K412" t="s">
        <v>1796</v>
      </c>
      <c r="L412" t="s">
        <v>44</v>
      </c>
      <c r="M412">
        <v>0</v>
      </c>
      <c r="N412">
        <v>0</v>
      </c>
      <c r="O412" t="str">
        <f>_xlfn.XLOOKUP(olist_closed_deals_dataset[[#This Row],[mql_id]], leads!A:A, leads!D:D, "Unknow" )</f>
        <v>paid_search</v>
      </c>
      <c r="P412" t="str">
        <f>IF(olist_closed_deals_dataset[[#This Row],[declared_monthly_revenue]] &gt;= 10000, "High Values ", IF(olist_closed_deals_dataset[[#This Row],[declared_monthly_revenue]] &gt; 0, "Stander ", "No Revenue " ))</f>
        <v xml:space="preserve">No Revenue </v>
      </c>
    </row>
    <row r="413" spans="1:16" x14ac:dyDescent="0.2">
      <c r="A413" t="s">
        <v>923</v>
      </c>
      <c r="B413" t="s">
        <v>924</v>
      </c>
      <c r="C413" t="s">
        <v>37</v>
      </c>
      <c r="D413" t="s">
        <v>81</v>
      </c>
      <c r="E413" s="1">
        <v>43332.879027777781</v>
      </c>
      <c r="F413" t="s">
        <v>53</v>
      </c>
      <c r="G413" t="s">
        <v>39</v>
      </c>
      <c r="H413" t="s">
        <v>1796</v>
      </c>
      <c r="I413" t="s">
        <v>1796</v>
      </c>
      <c r="J413" t="s">
        <v>1796</v>
      </c>
      <c r="K413" t="s">
        <v>1796</v>
      </c>
      <c r="L413" t="s">
        <v>21</v>
      </c>
      <c r="M413">
        <v>20</v>
      </c>
      <c r="N413">
        <v>40000</v>
      </c>
      <c r="O413" t="str">
        <f>_xlfn.XLOOKUP(olist_closed_deals_dataset[[#This Row],[mql_id]], leads!A:A, leads!D:D, "Unknow" )</f>
        <v>paid_search</v>
      </c>
      <c r="P413" t="str">
        <f>IF(olist_closed_deals_dataset[[#This Row],[declared_monthly_revenue]] &gt;= 10000, "High Values ", IF(olist_closed_deals_dataset[[#This Row],[declared_monthly_revenue]] &gt; 0, "Stander ", "No Revenue " ))</f>
        <v xml:space="preserve">High Values </v>
      </c>
    </row>
    <row r="414" spans="1:16" x14ac:dyDescent="0.2">
      <c r="A414" t="s">
        <v>925</v>
      </c>
      <c r="B414" t="s">
        <v>926</v>
      </c>
      <c r="C414" t="s">
        <v>42</v>
      </c>
      <c r="D414" t="s">
        <v>25</v>
      </c>
      <c r="E414" s="1">
        <v>43222.599675925929</v>
      </c>
      <c r="F414" t="s">
        <v>49</v>
      </c>
      <c r="G414" t="s">
        <v>34</v>
      </c>
      <c r="H414" t="s">
        <v>20</v>
      </c>
      <c r="I414" t="s">
        <v>1796</v>
      </c>
      <c r="J414" t="s">
        <v>1796</v>
      </c>
      <c r="K414" t="s">
        <v>1796</v>
      </c>
      <c r="L414" t="s">
        <v>21</v>
      </c>
      <c r="M414">
        <v>0</v>
      </c>
      <c r="N414">
        <v>0</v>
      </c>
      <c r="O414" t="str">
        <f>_xlfn.XLOOKUP(olist_closed_deals_dataset[[#This Row],[mql_id]], leads!A:A, leads!D:D, "Unknow" )</f>
        <v>organic_search</v>
      </c>
      <c r="P414" t="str">
        <f>IF(olist_closed_deals_dataset[[#This Row],[declared_monthly_revenue]] &gt;= 10000, "High Values ", IF(olist_closed_deals_dataset[[#This Row],[declared_monthly_revenue]] &gt; 0, "Stander ", "No Revenue " ))</f>
        <v xml:space="preserve">No Revenue </v>
      </c>
    </row>
    <row r="415" spans="1:16" x14ac:dyDescent="0.2">
      <c r="A415" t="s">
        <v>927</v>
      </c>
      <c r="B415" t="s">
        <v>928</v>
      </c>
      <c r="C415" t="s">
        <v>56</v>
      </c>
      <c r="D415" t="s">
        <v>52</v>
      </c>
      <c r="E415" s="1">
        <v>43244.699571759258</v>
      </c>
      <c r="F415" t="s">
        <v>96</v>
      </c>
      <c r="G415" t="s">
        <v>112</v>
      </c>
      <c r="H415" t="s">
        <v>20</v>
      </c>
      <c r="I415" t="s">
        <v>1796</v>
      </c>
      <c r="J415" t="s">
        <v>1796</v>
      </c>
      <c r="K415" t="s">
        <v>1796</v>
      </c>
      <c r="L415" t="s">
        <v>21</v>
      </c>
      <c r="M415">
        <v>0</v>
      </c>
      <c r="N415">
        <v>0</v>
      </c>
      <c r="O415" t="str">
        <f>_xlfn.XLOOKUP(olist_closed_deals_dataset[[#This Row],[mql_id]], leads!A:A, leads!D:D, "Unknow" )</f>
        <v>organic_search</v>
      </c>
      <c r="P415" t="str">
        <f>IF(olist_closed_deals_dataset[[#This Row],[declared_monthly_revenue]] &gt;= 10000, "High Values ", IF(olist_closed_deals_dataset[[#This Row],[declared_monthly_revenue]] &gt; 0, "Stander ", "No Revenue " ))</f>
        <v xml:space="preserve">No Revenue </v>
      </c>
    </row>
    <row r="416" spans="1:16" x14ac:dyDescent="0.2">
      <c r="A416" t="s">
        <v>929</v>
      </c>
      <c r="B416" t="s">
        <v>930</v>
      </c>
      <c r="C416" t="s">
        <v>71</v>
      </c>
      <c r="D416" t="s">
        <v>25</v>
      </c>
      <c r="E416" s="1">
        <v>43118.835277777776</v>
      </c>
      <c r="F416" t="s">
        <v>68</v>
      </c>
      <c r="G416" t="s">
        <v>34</v>
      </c>
      <c r="H416" t="s">
        <v>1796</v>
      </c>
      <c r="I416" t="s">
        <v>1796</v>
      </c>
      <c r="J416" t="s">
        <v>1796</v>
      </c>
      <c r="K416" t="s">
        <v>1796</v>
      </c>
      <c r="L416" t="s">
        <v>21</v>
      </c>
      <c r="M416">
        <v>0</v>
      </c>
      <c r="N416">
        <v>0</v>
      </c>
      <c r="O416" t="str">
        <f>_xlfn.XLOOKUP(olist_closed_deals_dataset[[#This Row],[mql_id]], leads!A:A, leads!D:D, "Unknow" )</f>
        <v>organic_search</v>
      </c>
      <c r="P416" t="str">
        <f>IF(olist_closed_deals_dataset[[#This Row],[declared_monthly_revenue]] &gt;= 10000, "High Values ", IF(olist_closed_deals_dataset[[#This Row],[declared_monthly_revenue]] &gt; 0, "Stander ", "No Revenue " ))</f>
        <v xml:space="preserve">No Revenue </v>
      </c>
    </row>
    <row r="417" spans="1:16" x14ac:dyDescent="0.2">
      <c r="A417" t="s">
        <v>931</v>
      </c>
      <c r="B417" t="s">
        <v>932</v>
      </c>
      <c r="C417" t="s">
        <v>42</v>
      </c>
      <c r="D417" t="s">
        <v>48</v>
      </c>
      <c r="E417" s="1">
        <v>43231.725185185183</v>
      </c>
      <c r="F417" t="s">
        <v>138</v>
      </c>
      <c r="G417" t="s">
        <v>19</v>
      </c>
      <c r="H417" t="s">
        <v>43</v>
      </c>
      <c r="I417" t="s">
        <v>1796</v>
      </c>
      <c r="J417" t="s">
        <v>1796</v>
      </c>
      <c r="K417" t="s">
        <v>1796</v>
      </c>
      <c r="L417" t="s">
        <v>21</v>
      </c>
      <c r="M417">
        <v>0</v>
      </c>
      <c r="N417">
        <v>0</v>
      </c>
      <c r="O417" t="str">
        <f>_xlfn.XLOOKUP(olist_closed_deals_dataset[[#This Row],[mql_id]], leads!A:A, leads!D:D, "Unknow" )</f>
        <v>direct_traffic</v>
      </c>
      <c r="P417" t="str">
        <f>IF(olist_closed_deals_dataset[[#This Row],[declared_monthly_revenue]] &gt;= 10000, "High Values ", IF(olist_closed_deals_dataset[[#This Row],[declared_monthly_revenue]] &gt; 0, "Stander ", "No Revenue " ))</f>
        <v xml:space="preserve">No Revenue </v>
      </c>
    </row>
    <row r="418" spans="1:16" x14ac:dyDescent="0.2">
      <c r="A418" t="s">
        <v>933</v>
      </c>
      <c r="B418" t="s">
        <v>934</v>
      </c>
      <c r="C418" t="s">
        <v>42</v>
      </c>
      <c r="D418" t="s">
        <v>17</v>
      </c>
      <c r="E418" s="1">
        <v>43145.492002314815</v>
      </c>
      <c r="F418" t="s">
        <v>68</v>
      </c>
      <c r="G418" t="s">
        <v>34</v>
      </c>
      <c r="H418" t="s">
        <v>1796</v>
      </c>
      <c r="I418" t="s">
        <v>1796</v>
      </c>
      <c r="J418" t="s">
        <v>1796</v>
      </c>
      <c r="K418" t="s">
        <v>1796</v>
      </c>
      <c r="L418" t="s">
        <v>21</v>
      </c>
      <c r="M418">
        <v>0</v>
      </c>
      <c r="N418">
        <v>0</v>
      </c>
      <c r="O418" t="str">
        <f>_xlfn.XLOOKUP(olist_closed_deals_dataset[[#This Row],[mql_id]], leads!A:A, leads!D:D, "Unknow" )</f>
        <v>unknown</v>
      </c>
      <c r="P418" t="str">
        <f>IF(olist_closed_deals_dataset[[#This Row],[declared_monthly_revenue]] &gt;= 10000, "High Values ", IF(olist_closed_deals_dataset[[#This Row],[declared_monthly_revenue]] &gt; 0, "Stander ", "No Revenue " ))</f>
        <v xml:space="preserve">No Revenue </v>
      </c>
    </row>
    <row r="419" spans="1:16" x14ac:dyDescent="0.2">
      <c r="A419" t="s">
        <v>935</v>
      </c>
      <c r="B419" t="s">
        <v>936</v>
      </c>
      <c r="C419" t="s">
        <v>71</v>
      </c>
      <c r="D419" t="s">
        <v>25</v>
      </c>
      <c r="E419" s="1">
        <v>43124.718425925923</v>
      </c>
      <c r="F419" t="s">
        <v>103</v>
      </c>
      <c r="G419" t="s">
        <v>27</v>
      </c>
      <c r="H419" t="s">
        <v>1796</v>
      </c>
      <c r="I419" t="s">
        <v>1796</v>
      </c>
      <c r="J419" t="s">
        <v>1796</v>
      </c>
      <c r="K419" t="s">
        <v>1796</v>
      </c>
      <c r="L419" t="s">
        <v>44</v>
      </c>
      <c r="M419">
        <v>0</v>
      </c>
      <c r="N419">
        <v>0</v>
      </c>
      <c r="O419" t="str">
        <f>_xlfn.XLOOKUP(olist_closed_deals_dataset[[#This Row],[mql_id]], leads!A:A, leads!D:D, "Unknow" )</f>
        <v>unknown</v>
      </c>
      <c r="P419" t="str">
        <f>IF(olist_closed_deals_dataset[[#This Row],[declared_monthly_revenue]] &gt;= 10000, "High Values ", IF(olist_closed_deals_dataset[[#This Row],[declared_monthly_revenue]] &gt; 0, "Stander ", "No Revenue " ))</f>
        <v xml:space="preserve">No Revenue </v>
      </c>
    </row>
    <row r="420" spans="1:16" x14ac:dyDescent="0.2">
      <c r="A420" t="s">
        <v>937</v>
      </c>
      <c r="B420" t="s">
        <v>938</v>
      </c>
      <c r="C420" t="s">
        <v>81</v>
      </c>
      <c r="D420" t="s">
        <v>89</v>
      </c>
      <c r="E420" s="1">
        <v>43188.754791666666</v>
      </c>
      <c r="F420" t="s">
        <v>82</v>
      </c>
      <c r="G420" t="s">
        <v>19</v>
      </c>
      <c r="H420" t="s">
        <v>20</v>
      </c>
      <c r="I420" t="s">
        <v>1796</v>
      </c>
      <c r="J420" t="s">
        <v>1796</v>
      </c>
      <c r="K420" t="s">
        <v>1796</v>
      </c>
      <c r="L420" t="s">
        <v>21</v>
      </c>
      <c r="M420">
        <v>0</v>
      </c>
      <c r="N420">
        <v>0</v>
      </c>
      <c r="O420" t="str">
        <f>_xlfn.XLOOKUP(olist_closed_deals_dataset[[#This Row],[mql_id]], leads!A:A, leads!D:D, "Unknow" )</f>
        <v>unknown</v>
      </c>
      <c r="P420" t="str">
        <f>IF(olist_closed_deals_dataset[[#This Row],[declared_monthly_revenue]] &gt;= 10000, "High Values ", IF(olist_closed_deals_dataset[[#This Row],[declared_monthly_revenue]] &gt; 0, "Stander ", "No Revenue " ))</f>
        <v xml:space="preserve">No Revenue </v>
      </c>
    </row>
    <row r="421" spans="1:16" x14ac:dyDescent="0.2">
      <c r="A421" t="s">
        <v>939</v>
      </c>
      <c r="B421" t="s">
        <v>940</v>
      </c>
      <c r="C421" t="s">
        <v>81</v>
      </c>
      <c r="D421" t="s">
        <v>48</v>
      </c>
      <c r="E421" s="1">
        <v>43159.125</v>
      </c>
      <c r="F421" t="s">
        <v>138</v>
      </c>
      <c r="G421" t="s">
        <v>34</v>
      </c>
      <c r="H421" t="s">
        <v>1796</v>
      </c>
      <c r="I421" t="s">
        <v>1796</v>
      </c>
      <c r="J421" t="s">
        <v>1796</v>
      </c>
      <c r="K421" t="s">
        <v>1796</v>
      </c>
      <c r="L421" t="s">
        <v>44</v>
      </c>
      <c r="M421">
        <v>0</v>
      </c>
      <c r="N421">
        <v>0</v>
      </c>
      <c r="O421" t="str">
        <f>_xlfn.XLOOKUP(olist_closed_deals_dataset[[#This Row],[mql_id]], leads!A:A, leads!D:D, "Unknow" )</f>
        <v>organic_search</v>
      </c>
      <c r="P421" t="str">
        <f>IF(olist_closed_deals_dataset[[#This Row],[declared_monthly_revenue]] &gt;= 10000, "High Values ", IF(olist_closed_deals_dataset[[#This Row],[declared_monthly_revenue]] &gt; 0, "Stander ", "No Revenue " ))</f>
        <v xml:space="preserve">No Revenue </v>
      </c>
    </row>
    <row r="422" spans="1:16" x14ac:dyDescent="0.2">
      <c r="A422" t="s">
        <v>941</v>
      </c>
      <c r="B422" t="s">
        <v>942</v>
      </c>
      <c r="C422" t="s">
        <v>81</v>
      </c>
      <c r="D422" t="s">
        <v>25</v>
      </c>
      <c r="E422" s="1">
        <v>43158.516122685185</v>
      </c>
      <c r="F422" t="s">
        <v>494</v>
      </c>
      <c r="G422" t="s">
        <v>34</v>
      </c>
      <c r="H422" t="s">
        <v>20</v>
      </c>
      <c r="I422" t="s">
        <v>1796</v>
      </c>
      <c r="J422" t="s">
        <v>1796</v>
      </c>
      <c r="K422" t="s">
        <v>1796</v>
      </c>
      <c r="L422" t="s">
        <v>21</v>
      </c>
      <c r="M422">
        <v>0</v>
      </c>
      <c r="N422">
        <v>0</v>
      </c>
      <c r="O422" t="str">
        <f>_xlfn.XLOOKUP(olist_closed_deals_dataset[[#This Row],[mql_id]], leads!A:A, leads!D:D, "Unknow" )</f>
        <v>organic_search</v>
      </c>
      <c r="P422" t="str">
        <f>IF(olist_closed_deals_dataset[[#This Row],[declared_monthly_revenue]] &gt;= 10000, "High Values ", IF(olist_closed_deals_dataset[[#This Row],[declared_monthly_revenue]] &gt; 0, "Stander ", "No Revenue " ))</f>
        <v xml:space="preserve">No Revenue </v>
      </c>
    </row>
    <row r="423" spans="1:16" x14ac:dyDescent="0.2">
      <c r="A423" t="s">
        <v>943</v>
      </c>
      <c r="B423" t="s">
        <v>944</v>
      </c>
      <c r="C423" t="s">
        <v>42</v>
      </c>
      <c r="D423" t="s">
        <v>17</v>
      </c>
      <c r="E423" s="1">
        <v>43178.73337962963</v>
      </c>
      <c r="F423" t="s">
        <v>26</v>
      </c>
      <c r="G423" t="s">
        <v>19</v>
      </c>
      <c r="H423" t="s">
        <v>20</v>
      </c>
      <c r="I423" t="s">
        <v>1796</v>
      </c>
      <c r="J423" t="s">
        <v>1796</v>
      </c>
      <c r="K423" t="s">
        <v>1796</v>
      </c>
      <c r="L423" t="s">
        <v>21</v>
      </c>
      <c r="M423">
        <v>0</v>
      </c>
      <c r="N423">
        <v>0</v>
      </c>
      <c r="O423" t="str">
        <f>_xlfn.XLOOKUP(olist_closed_deals_dataset[[#This Row],[mql_id]], leads!A:A, leads!D:D, "Unknow" )</f>
        <v>direct_traffic</v>
      </c>
      <c r="P423" t="str">
        <f>IF(olist_closed_deals_dataset[[#This Row],[declared_monthly_revenue]] &gt;= 10000, "High Values ", IF(olist_closed_deals_dataset[[#This Row],[declared_monthly_revenue]] &gt; 0, "Stander ", "No Revenue " ))</f>
        <v xml:space="preserve">No Revenue </v>
      </c>
    </row>
    <row r="424" spans="1:16" x14ac:dyDescent="0.2">
      <c r="A424" t="s">
        <v>945</v>
      </c>
      <c r="B424" t="s">
        <v>946</v>
      </c>
      <c r="C424" t="s">
        <v>81</v>
      </c>
      <c r="D424" t="s">
        <v>17</v>
      </c>
      <c r="E424" s="1">
        <v>43209.716180555559</v>
      </c>
      <c r="F424" t="s">
        <v>297</v>
      </c>
      <c r="G424" t="s">
        <v>19</v>
      </c>
      <c r="H424" t="s">
        <v>20</v>
      </c>
      <c r="I424" t="s">
        <v>1796</v>
      </c>
      <c r="J424" t="s">
        <v>1796</v>
      </c>
      <c r="K424" t="s">
        <v>1796</v>
      </c>
      <c r="L424" t="s">
        <v>44</v>
      </c>
      <c r="M424">
        <v>0</v>
      </c>
      <c r="N424">
        <v>0</v>
      </c>
      <c r="O424" t="str">
        <f>_xlfn.XLOOKUP(olist_closed_deals_dataset[[#This Row],[mql_id]], leads!A:A, leads!D:D, "Unknow" )</f>
        <v>social</v>
      </c>
      <c r="P424" t="str">
        <f>IF(olist_closed_deals_dataset[[#This Row],[declared_monthly_revenue]] &gt;= 10000, "High Values ", IF(olist_closed_deals_dataset[[#This Row],[declared_monthly_revenue]] &gt; 0, "Stander ", "No Revenue " ))</f>
        <v xml:space="preserve">No Revenue </v>
      </c>
    </row>
    <row r="425" spans="1:16" x14ac:dyDescent="0.2">
      <c r="A425" t="s">
        <v>947</v>
      </c>
      <c r="B425" t="s">
        <v>948</v>
      </c>
      <c r="C425" t="s">
        <v>71</v>
      </c>
      <c r="D425" t="s">
        <v>25</v>
      </c>
      <c r="E425" s="1">
        <v>43208.792604166665</v>
      </c>
      <c r="F425" t="s">
        <v>115</v>
      </c>
      <c r="G425" t="s">
        <v>112</v>
      </c>
      <c r="H425" t="s">
        <v>1796</v>
      </c>
      <c r="I425" t="s">
        <v>1796</v>
      </c>
      <c r="J425" t="s">
        <v>1796</v>
      </c>
      <c r="K425" t="s">
        <v>1796</v>
      </c>
      <c r="L425" t="s">
        <v>44</v>
      </c>
      <c r="M425">
        <v>0</v>
      </c>
      <c r="N425">
        <v>0</v>
      </c>
      <c r="O425" t="str">
        <f>_xlfn.XLOOKUP(olist_closed_deals_dataset[[#This Row],[mql_id]], leads!A:A, leads!D:D, "Unknow" )</f>
        <v>unknown</v>
      </c>
      <c r="P425" t="str">
        <f>IF(olist_closed_deals_dataset[[#This Row],[declared_monthly_revenue]] &gt;= 10000, "High Values ", IF(olist_closed_deals_dataset[[#This Row],[declared_monthly_revenue]] &gt; 0, "Stander ", "No Revenue " ))</f>
        <v xml:space="preserve">No Revenue </v>
      </c>
    </row>
    <row r="426" spans="1:16" x14ac:dyDescent="0.2">
      <c r="A426" t="s">
        <v>949</v>
      </c>
      <c r="B426" t="s">
        <v>950</v>
      </c>
      <c r="C426" t="s">
        <v>81</v>
      </c>
      <c r="D426" t="s">
        <v>71</v>
      </c>
      <c r="E426" s="1">
        <v>43224.125</v>
      </c>
      <c r="F426" t="s">
        <v>96</v>
      </c>
      <c r="G426" t="s">
        <v>112</v>
      </c>
      <c r="H426" t="s">
        <v>28</v>
      </c>
      <c r="I426" t="s">
        <v>1796</v>
      </c>
      <c r="J426" t="s">
        <v>1796</v>
      </c>
      <c r="K426" t="s">
        <v>1796</v>
      </c>
      <c r="L426" t="s">
        <v>21</v>
      </c>
      <c r="M426">
        <v>0</v>
      </c>
      <c r="N426">
        <v>0</v>
      </c>
      <c r="O426" t="str">
        <f>_xlfn.XLOOKUP(olist_closed_deals_dataset[[#This Row],[mql_id]], leads!A:A, leads!D:D, "Unknow" )</f>
        <v>social</v>
      </c>
      <c r="P426" t="str">
        <f>IF(olist_closed_deals_dataset[[#This Row],[declared_monthly_revenue]] &gt;= 10000, "High Values ", IF(olist_closed_deals_dataset[[#This Row],[declared_monthly_revenue]] &gt; 0, "Stander ", "No Revenue " ))</f>
        <v xml:space="preserve">No Revenue </v>
      </c>
    </row>
    <row r="427" spans="1:16" x14ac:dyDescent="0.2">
      <c r="A427" t="s">
        <v>951</v>
      </c>
      <c r="B427" t="s">
        <v>952</v>
      </c>
      <c r="C427" t="s">
        <v>71</v>
      </c>
      <c r="D427" t="s">
        <v>32</v>
      </c>
      <c r="E427" s="1">
        <v>43150.848217592589</v>
      </c>
      <c r="F427" t="s">
        <v>53</v>
      </c>
      <c r="G427" t="s">
        <v>27</v>
      </c>
      <c r="H427" t="s">
        <v>1796</v>
      </c>
      <c r="I427" t="s">
        <v>1796</v>
      </c>
      <c r="J427" t="s">
        <v>1796</v>
      </c>
      <c r="K427" t="s">
        <v>1796</v>
      </c>
      <c r="L427" t="s">
        <v>21</v>
      </c>
      <c r="M427">
        <v>0</v>
      </c>
      <c r="N427">
        <v>0</v>
      </c>
      <c r="O427" t="str">
        <f>_xlfn.XLOOKUP(olist_closed_deals_dataset[[#This Row],[mql_id]], leads!A:A, leads!D:D, "Unknow" )</f>
        <v>unknown</v>
      </c>
      <c r="P427" t="str">
        <f>IF(olist_closed_deals_dataset[[#This Row],[declared_monthly_revenue]] &gt;= 10000, "High Values ", IF(olist_closed_deals_dataset[[#This Row],[declared_monthly_revenue]] &gt; 0, "Stander ", "No Revenue " ))</f>
        <v xml:space="preserve">No Revenue </v>
      </c>
    </row>
    <row r="428" spans="1:16" x14ac:dyDescent="0.2">
      <c r="A428" t="s">
        <v>953</v>
      </c>
      <c r="B428" t="s">
        <v>954</v>
      </c>
      <c r="C428" t="s">
        <v>42</v>
      </c>
      <c r="D428" t="s">
        <v>52</v>
      </c>
      <c r="E428" s="1">
        <v>43227.765729166669</v>
      </c>
      <c r="F428" t="s">
        <v>26</v>
      </c>
      <c r="G428" t="s">
        <v>19</v>
      </c>
      <c r="H428" t="s">
        <v>43</v>
      </c>
      <c r="I428" t="s">
        <v>1796</v>
      </c>
      <c r="J428" t="s">
        <v>1796</v>
      </c>
      <c r="K428" t="s">
        <v>1796</v>
      </c>
      <c r="L428" t="s">
        <v>21</v>
      </c>
      <c r="M428">
        <v>0</v>
      </c>
      <c r="N428">
        <v>0</v>
      </c>
      <c r="O428" t="str">
        <f>_xlfn.XLOOKUP(olist_closed_deals_dataset[[#This Row],[mql_id]], leads!A:A, leads!D:D, "Unknow" )</f>
        <v>social</v>
      </c>
      <c r="P428" t="str">
        <f>IF(olist_closed_deals_dataset[[#This Row],[declared_monthly_revenue]] &gt;= 10000, "High Values ", IF(olist_closed_deals_dataset[[#This Row],[declared_monthly_revenue]] &gt; 0, "Stander ", "No Revenue " ))</f>
        <v xml:space="preserve">No Revenue </v>
      </c>
    </row>
    <row r="429" spans="1:16" x14ac:dyDescent="0.2">
      <c r="A429" t="s">
        <v>955</v>
      </c>
      <c r="B429" t="s">
        <v>956</v>
      </c>
      <c r="C429" t="s">
        <v>64</v>
      </c>
      <c r="D429" t="s">
        <v>17</v>
      </c>
      <c r="E429" s="1">
        <v>43217.125</v>
      </c>
      <c r="F429" t="s">
        <v>38</v>
      </c>
      <c r="G429" t="s">
        <v>57</v>
      </c>
      <c r="H429" t="s">
        <v>28</v>
      </c>
      <c r="I429" t="s">
        <v>1796</v>
      </c>
      <c r="J429" t="s">
        <v>1796</v>
      </c>
      <c r="K429" t="s">
        <v>1796</v>
      </c>
      <c r="L429" t="s">
        <v>21</v>
      </c>
      <c r="M429">
        <v>0</v>
      </c>
      <c r="N429">
        <v>0</v>
      </c>
      <c r="O429" t="str">
        <f>_xlfn.XLOOKUP(olist_closed_deals_dataset[[#This Row],[mql_id]], leads!A:A, leads!D:D, "Unknow" )</f>
        <v>paid_search</v>
      </c>
      <c r="P429" t="str">
        <f>IF(olist_closed_deals_dataset[[#This Row],[declared_monthly_revenue]] &gt;= 10000, "High Values ", IF(olist_closed_deals_dataset[[#This Row],[declared_monthly_revenue]] &gt; 0, "Stander ", "No Revenue " ))</f>
        <v xml:space="preserve">No Revenue </v>
      </c>
    </row>
    <row r="430" spans="1:16" x14ac:dyDescent="0.2">
      <c r="A430" t="s">
        <v>957</v>
      </c>
      <c r="B430" t="s">
        <v>958</v>
      </c>
      <c r="C430" t="s">
        <v>56</v>
      </c>
      <c r="D430" t="s">
        <v>16</v>
      </c>
      <c r="E430" s="1">
        <v>43234.844409722224</v>
      </c>
      <c r="F430" t="s">
        <v>186</v>
      </c>
      <c r="G430" t="s">
        <v>34</v>
      </c>
      <c r="H430" t="s">
        <v>20</v>
      </c>
      <c r="I430" t="s">
        <v>1796</v>
      </c>
      <c r="J430" t="s">
        <v>1796</v>
      </c>
      <c r="K430" t="s">
        <v>1796</v>
      </c>
      <c r="L430" t="s">
        <v>21</v>
      </c>
      <c r="M430">
        <v>0</v>
      </c>
      <c r="N430">
        <v>0</v>
      </c>
      <c r="O430" t="str">
        <f>_xlfn.XLOOKUP(olist_closed_deals_dataset[[#This Row],[mql_id]], leads!A:A, leads!D:D, "Unknow" )</f>
        <v>direct_traffic</v>
      </c>
      <c r="P430" t="str">
        <f>IF(olist_closed_deals_dataset[[#This Row],[declared_monthly_revenue]] &gt;= 10000, "High Values ", IF(olist_closed_deals_dataset[[#This Row],[declared_monthly_revenue]] &gt; 0, "Stander ", "No Revenue " ))</f>
        <v xml:space="preserve">No Revenue </v>
      </c>
    </row>
    <row r="431" spans="1:16" x14ac:dyDescent="0.2">
      <c r="A431" t="s">
        <v>959</v>
      </c>
      <c r="B431" t="s">
        <v>960</v>
      </c>
      <c r="C431" t="s">
        <v>65</v>
      </c>
      <c r="D431" t="s">
        <v>52</v>
      </c>
      <c r="E431" s="1">
        <v>43181.630185185182</v>
      </c>
      <c r="F431" t="s">
        <v>68</v>
      </c>
      <c r="G431" t="s">
        <v>34</v>
      </c>
      <c r="H431" t="s">
        <v>20</v>
      </c>
      <c r="I431" t="s">
        <v>1796</v>
      </c>
      <c r="J431" t="s">
        <v>1796</v>
      </c>
      <c r="K431" t="s">
        <v>1796</v>
      </c>
      <c r="L431" t="s">
        <v>21</v>
      </c>
      <c r="M431">
        <v>0</v>
      </c>
      <c r="N431">
        <v>0</v>
      </c>
      <c r="O431" t="str">
        <f>_xlfn.XLOOKUP(olist_closed_deals_dataset[[#This Row],[mql_id]], leads!A:A, leads!D:D, "Unknow" )</f>
        <v>organic_search</v>
      </c>
      <c r="P431" t="str">
        <f>IF(olist_closed_deals_dataset[[#This Row],[declared_monthly_revenue]] &gt;= 10000, "High Values ", IF(olist_closed_deals_dataset[[#This Row],[declared_monthly_revenue]] &gt; 0, "Stander ", "No Revenue " ))</f>
        <v xml:space="preserve">No Revenue </v>
      </c>
    </row>
    <row r="432" spans="1:16" x14ac:dyDescent="0.2">
      <c r="A432" t="s">
        <v>961</v>
      </c>
      <c r="B432" t="s">
        <v>962</v>
      </c>
      <c r="C432" t="s">
        <v>24</v>
      </c>
      <c r="D432" t="s">
        <v>95</v>
      </c>
      <c r="E432" s="1">
        <v>43206.707013888888</v>
      </c>
      <c r="F432" t="s">
        <v>68</v>
      </c>
      <c r="G432" t="s">
        <v>19</v>
      </c>
      <c r="H432" t="s">
        <v>28</v>
      </c>
      <c r="I432" t="s">
        <v>1796</v>
      </c>
      <c r="J432" t="s">
        <v>1796</v>
      </c>
      <c r="K432" t="s">
        <v>1796</v>
      </c>
      <c r="L432" t="s">
        <v>44</v>
      </c>
      <c r="M432">
        <v>0</v>
      </c>
      <c r="N432">
        <v>0</v>
      </c>
      <c r="O432" t="str">
        <f>_xlfn.XLOOKUP(olist_closed_deals_dataset[[#This Row],[mql_id]], leads!A:A, leads!D:D, "Unknow" )</f>
        <v>social</v>
      </c>
      <c r="P432" t="str">
        <f>IF(olist_closed_deals_dataset[[#This Row],[declared_monthly_revenue]] &gt;= 10000, "High Values ", IF(olist_closed_deals_dataset[[#This Row],[declared_monthly_revenue]] &gt; 0, "Stander ", "No Revenue " ))</f>
        <v xml:space="preserve">No Revenue </v>
      </c>
    </row>
    <row r="433" spans="1:16" x14ac:dyDescent="0.2">
      <c r="A433" t="s">
        <v>963</v>
      </c>
      <c r="B433" t="s">
        <v>964</v>
      </c>
      <c r="C433" t="s">
        <v>37</v>
      </c>
      <c r="D433" t="s">
        <v>17</v>
      </c>
      <c r="E433" s="1">
        <v>43175.593287037038</v>
      </c>
      <c r="F433" t="s">
        <v>26</v>
      </c>
      <c r="G433" t="s">
        <v>19</v>
      </c>
      <c r="H433" t="s">
        <v>28</v>
      </c>
      <c r="I433" t="s">
        <v>1796</v>
      </c>
      <c r="J433" t="s">
        <v>1796</v>
      </c>
      <c r="K433" t="s">
        <v>1796</v>
      </c>
      <c r="L433" t="s">
        <v>21</v>
      </c>
      <c r="M433">
        <v>0</v>
      </c>
      <c r="N433">
        <v>0</v>
      </c>
      <c r="O433" t="str">
        <f>_xlfn.XLOOKUP(olist_closed_deals_dataset[[#This Row],[mql_id]], leads!A:A, leads!D:D, "Unknow" )</f>
        <v>paid_search</v>
      </c>
      <c r="P433" t="str">
        <f>IF(olist_closed_deals_dataset[[#This Row],[declared_monthly_revenue]] &gt;= 10000, "High Values ", IF(olist_closed_deals_dataset[[#This Row],[declared_monthly_revenue]] &gt; 0, "Stander ", "No Revenue " ))</f>
        <v xml:space="preserve">No Revenue </v>
      </c>
    </row>
    <row r="434" spans="1:16" x14ac:dyDescent="0.2">
      <c r="A434" t="s">
        <v>965</v>
      </c>
      <c r="B434" t="s">
        <v>966</v>
      </c>
      <c r="C434" t="s">
        <v>64</v>
      </c>
      <c r="D434" t="s">
        <v>32</v>
      </c>
      <c r="E434" s="1">
        <v>43196.706006944441</v>
      </c>
      <c r="F434" t="s">
        <v>26</v>
      </c>
      <c r="G434" t="s">
        <v>19</v>
      </c>
      <c r="H434" t="s">
        <v>28</v>
      </c>
      <c r="I434" t="s">
        <v>1796</v>
      </c>
      <c r="J434" t="s">
        <v>1796</v>
      </c>
      <c r="K434" t="s">
        <v>1796</v>
      </c>
      <c r="L434" t="s">
        <v>21</v>
      </c>
      <c r="M434">
        <v>0</v>
      </c>
      <c r="N434">
        <v>0</v>
      </c>
      <c r="O434" t="str">
        <f>_xlfn.XLOOKUP(olist_closed_deals_dataset[[#This Row],[mql_id]], leads!A:A, leads!D:D, "Unknow" )</f>
        <v>organic_search</v>
      </c>
      <c r="P434" t="str">
        <f>IF(olist_closed_deals_dataset[[#This Row],[declared_monthly_revenue]] &gt;= 10000, "High Values ", IF(olist_closed_deals_dataset[[#This Row],[declared_monthly_revenue]] &gt; 0, "Stander ", "No Revenue " ))</f>
        <v xml:space="preserve">No Revenue </v>
      </c>
    </row>
    <row r="435" spans="1:16" x14ac:dyDescent="0.2">
      <c r="A435" t="s">
        <v>967</v>
      </c>
      <c r="B435" t="s">
        <v>968</v>
      </c>
      <c r="C435" t="s">
        <v>42</v>
      </c>
      <c r="D435" t="s">
        <v>32</v>
      </c>
      <c r="E435" s="1">
        <v>43174.530393518522</v>
      </c>
      <c r="F435" t="s">
        <v>115</v>
      </c>
      <c r="G435" t="s">
        <v>27</v>
      </c>
      <c r="H435" t="s">
        <v>20</v>
      </c>
      <c r="I435" t="s">
        <v>1796</v>
      </c>
      <c r="J435" t="s">
        <v>1796</v>
      </c>
      <c r="K435" t="s">
        <v>1796</v>
      </c>
      <c r="L435" t="s">
        <v>1796</v>
      </c>
      <c r="M435">
        <v>0</v>
      </c>
      <c r="N435">
        <v>0</v>
      </c>
      <c r="O435" t="str">
        <f>_xlfn.XLOOKUP(olist_closed_deals_dataset[[#This Row],[mql_id]], leads!A:A, leads!D:D, "Unknow" )</f>
        <v>organic_search</v>
      </c>
      <c r="P435" t="str">
        <f>IF(olist_closed_deals_dataset[[#This Row],[declared_monthly_revenue]] &gt;= 10000, "High Values ", IF(olist_closed_deals_dataset[[#This Row],[declared_monthly_revenue]] &gt; 0, "Stander ", "No Revenue " ))</f>
        <v xml:space="preserve">No Revenue </v>
      </c>
    </row>
    <row r="436" spans="1:16" x14ac:dyDescent="0.2">
      <c r="A436" t="s">
        <v>969</v>
      </c>
      <c r="B436" t="s">
        <v>970</v>
      </c>
      <c r="C436" t="s">
        <v>37</v>
      </c>
      <c r="D436" t="s">
        <v>48</v>
      </c>
      <c r="E436" s="1">
        <v>43166.794768518521</v>
      </c>
      <c r="F436" t="s">
        <v>111</v>
      </c>
      <c r="G436" t="s">
        <v>39</v>
      </c>
      <c r="H436" t="s">
        <v>28</v>
      </c>
      <c r="I436" t="s">
        <v>1796</v>
      </c>
      <c r="J436" t="s">
        <v>1796</v>
      </c>
      <c r="K436" t="s">
        <v>1796</v>
      </c>
      <c r="L436" t="s">
        <v>44</v>
      </c>
      <c r="M436">
        <v>0</v>
      </c>
      <c r="N436">
        <v>0</v>
      </c>
      <c r="O436" t="str">
        <f>_xlfn.XLOOKUP(olist_closed_deals_dataset[[#This Row],[mql_id]], leads!A:A, leads!D:D, "Unknow" )</f>
        <v>organic_search</v>
      </c>
      <c r="P436" t="str">
        <f>IF(olist_closed_deals_dataset[[#This Row],[declared_monthly_revenue]] &gt;= 10000, "High Values ", IF(olist_closed_deals_dataset[[#This Row],[declared_monthly_revenue]] &gt; 0, "Stander ", "No Revenue " ))</f>
        <v xml:space="preserve">No Revenue </v>
      </c>
    </row>
    <row r="437" spans="1:16" x14ac:dyDescent="0.2">
      <c r="A437" t="s">
        <v>971</v>
      </c>
      <c r="B437" t="s">
        <v>972</v>
      </c>
      <c r="C437" t="s">
        <v>65</v>
      </c>
      <c r="D437" t="s">
        <v>74</v>
      </c>
      <c r="E437" s="1">
        <v>43168.534259259257</v>
      </c>
      <c r="F437" t="s">
        <v>221</v>
      </c>
      <c r="G437" t="s">
        <v>19</v>
      </c>
      <c r="H437" t="s">
        <v>1796</v>
      </c>
      <c r="I437" t="s">
        <v>1796</v>
      </c>
      <c r="J437" t="s">
        <v>1796</v>
      </c>
      <c r="K437" t="s">
        <v>1796</v>
      </c>
      <c r="L437" t="s">
        <v>21</v>
      </c>
      <c r="M437">
        <v>0</v>
      </c>
      <c r="N437">
        <v>0</v>
      </c>
      <c r="O437" t="str">
        <f>_xlfn.XLOOKUP(olist_closed_deals_dataset[[#This Row],[mql_id]], leads!A:A, leads!D:D, "Unknow" )</f>
        <v>organic_search</v>
      </c>
      <c r="P437" t="str">
        <f>IF(olist_closed_deals_dataset[[#This Row],[declared_monthly_revenue]] &gt;= 10000, "High Values ", IF(olist_closed_deals_dataset[[#This Row],[declared_monthly_revenue]] &gt; 0, "Stander ", "No Revenue " ))</f>
        <v xml:space="preserve">No Revenue </v>
      </c>
    </row>
    <row r="438" spans="1:16" x14ac:dyDescent="0.2">
      <c r="A438" t="s">
        <v>973</v>
      </c>
      <c r="B438" t="s">
        <v>974</v>
      </c>
      <c r="C438" t="s">
        <v>64</v>
      </c>
      <c r="D438" t="s">
        <v>17</v>
      </c>
      <c r="E438" s="1">
        <v>43185.871099537035</v>
      </c>
      <c r="F438" t="s">
        <v>103</v>
      </c>
      <c r="G438" t="s">
        <v>19</v>
      </c>
      <c r="H438" t="s">
        <v>20</v>
      </c>
      <c r="I438" t="s">
        <v>1796</v>
      </c>
      <c r="J438" t="s">
        <v>1796</v>
      </c>
      <c r="K438" t="s">
        <v>1796</v>
      </c>
      <c r="L438" t="s">
        <v>44</v>
      </c>
      <c r="M438">
        <v>0</v>
      </c>
      <c r="N438">
        <v>0</v>
      </c>
      <c r="O438" t="str">
        <f>_xlfn.XLOOKUP(olist_closed_deals_dataset[[#This Row],[mql_id]], leads!A:A, leads!D:D, "Unknow" )</f>
        <v>social</v>
      </c>
      <c r="P438" t="str">
        <f>IF(olist_closed_deals_dataset[[#This Row],[declared_monthly_revenue]] &gt;= 10000, "High Values ", IF(olist_closed_deals_dataset[[#This Row],[declared_monthly_revenue]] &gt; 0, "Stander ", "No Revenue " ))</f>
        <v xml:space="preserve">No Revenue </v>
      </c>
    </row>
    <row r="439" spans="1:16" x14ac:dyDescent="0.2">
      <c r="A439" t="s">
        <v>975</v>
      </c>
      <c r="B439" t="s">
        <v>976</v>
      </c>
      <c r="C439" t="s">
        <v>37</v>
      </c>
      <c r="D439" t="s">
        <v>77</v>
      </c>
      <c r="E439" s="1">
        <v>43180.678379629629</v>
      </c>
      <c r="F439" t="s">
        <v>415</v>
      </c>
      <c r="G439" t="s">
        <v>27</v>
      </c>
      <c r="H439" t="s">
        <v>28</v>
      </c>
      <c r="I439" t="s">
        <v>1796</v>
      </c>
      <c r="J439" t="s">
        <v>1796</v>
      </c>
      <c r="K439" t="s">
        <v>1796</v>
      </c>
      <c r="L439" t="s">
        <v>21</v>
      </c>
      <c r="M439">
        <v>0</v>
      </c>
      <c r="N439">
        <v>0</v>
      </c>
      <c r="O439" t="str">
        <f>_xlfn.XLOOKUP(olist_closed_deals_dataset[[#This Row],[mql_id]], leads!A:A, leads!D:D, "Unknow" )</f>
        <v>organic_search</v>
      </c>
      <c r="P439" t="str">
        <f>IF(olist_closed_deals_dataset[[#This Row],[declared_monthly_revenue]] &gt;= 10000, "High Values ", IF(olist_closed_deals_dataset[[#This Row],[declared_monthly_revenue]] &gt; 0, "Stander ", "No Revenue " ))</f>
        <v xml:space="preserve">No Revenue </v>
      </c>
    </row>
    <row r="440" spans="1:16" x14ac:dyDescent="0.2">
      <c r="A440" t="s">
        <v>977</v>
      </c>
      <c r="B440" t="s">
        <v>978</v>
      </c>
      <c r="C440" t="s">
        <v>42</v>
      </c>
      <c r="D440" t="s">
        <v>25</v>
      </c>
      <c r="E440" s="1">
        <v>43171.542164351849</v>
      </c>
      <c r="F440" t="s">
        <v>186</v>
      </c>
      <c r="G440" t="s">
        <v>39</v>
      </c>
      <c r="H440" t="s">
        <v>1796</v>
      </c>
      <c r="I440" t="s">
        <v>1796</v>
      </c>
      <c r="J440" t="s">
        <v>1796</v>
      </c>
      <c r="K440" t="s">
        <v>1796</v>
      </c>
      <c r="L440" t="s">
        <v>44</v>
      </c>
      <c r="M440">
        <v>0</v>
      </c>
      <c r="N440">
        <v>0</v>
      </c>
      <c r="O440" t="str">
        <f>_xlfn.XLOOKUP(olist_closed_deals_dataset[[#This Row],[mql_id]], leads!A:A, leads!D:D, "Unknow" )</f>
        <v>unknown</v>
      </c>
      <c r="P440" t="str">
        <f>IF(olist_closed_deals_dataset[[#This Row],[declared_monthly_revenue]] &gt;= 10000, "High Values ", IF(olist_closed_deals_dataset[[#This Row],[declared_monthly_revenue]] &gt; 0, "Stander ", "No Revenue " ))</f>
        <v xml:space="preserve">No Revenue </v>
      </c>
    </row>
    <row r="441" spans="1:16" x14ac:dyDescent="0.2">
      <c r="A441" t="s">
        <v>979</v>
      </c>
      <c r="B441" t="s">
        <v>980</v>
      </c>
      <c r="C441" t="s">
        <v>56</v>
      </c>
      <c r="D441" t="s">
        <v>71</v>
      </c>
      <c r="E441" s="1">
        <v>43222.728680555556</v>
      </c>
      <c r="F441" t="s">
        <v>53</v>
      </c>
      <c r="G441" t="s">
        <v>57</v>
      </c>
      <c r="H441" t="s">
        <v>20</v>
      </c>
      <c r="I441" t="s">
        <v>1796</v>
      </c>
      <c r="J441" t="s">
        <v>1796</v>
      </c>
      <c r="K441" t="s">
        <v>1796</v>
      </c>
      <c r="L441" t="s">
        <v>21</v>
      </c>
      <c r="M441">
        <v>0</v>
      </c>
      <c r="N441">
        <v>0</v>
      </c>
      <c r="O441" t="str">
        <f>_xlfn.XLOOKUP(olist_closed_deals_dataset[[#This Row],[mql_id]], leads!A:A, leads!D:D, "Unknow" )</f>
        <v>unknown</v>
      </c>
      <c r="P441" t="str">
        <f>IF(olist_closed_deals_dataset[[#This Row],[declared_monthly_revenue]] &gt;= 10000, "High Values ", IF(olist_closed_deals_dataset[[#This Row],[declared_monthly_revenue]] &gt; 0, "Stander ", "No Revenue " ))</f>
        <v xml:space="preserve">No Revenue </v>
      </c>
    </row>
    <row r="442" spans="1:16" x14ac:dyDescent="0.2">
      <c r="A442" t="s">
        <v>981</v>
      </c>
      <c r="B442" t="s">
        <v>982</v>
      </c>
      <c r="C442" t="s">
        <v>42</v>
      </c>
      <c r="D442" t="s">
        <v>42</v>
      </c>
      <c r="E442" s="1">
        <v>43290.125</v>
      </c>
      <c r="F442" t="s">
        <v>82</v>
      </c>
      <c r="G442" t="s">
        <v>19</v>
      </c>
      <c r="H442" t="s">
        <v>20</v>
      </c>
      <c r="I442" t="s">
        <v>1796</v>
      </c>
      <c r="J442" t="s">
        <v>1796</v>
      </c>
      <c r="K442" t="s">
        <v>1796</v>
      </c>
      <c r="L442" t="s">
        <v>1796</v>
      </c>
      <c r="M442">
        <v>0</v>
      </c>
      <c r="N442">
        <v>0</v>
      </c>
      <c r="O442" t="str">
        <f>_xlfn.XLOOKUP(olist_closed_deals_dataset[[#This Row],[mql_id]], leads!A:A, leads!D:D, "Unknow" )</f>
        <v>unknown</v>
      </c>
      <c r="P442" t="str">
        <f>IF(olist_closed_deals_dataset[[#This Row],[declared_monthly_revenue]] &gt;= 10000, "High Values ", IF(olist_closed_deals_dataset[[#This Row],[declared_monthly_revenue]] &gt; 0, "Stander ", "No Revenue " ))</f>
        <v xml:space="preserve">No Revenue </v>
      </c>
    </row>
    <row r="443" spans="1:16" x14ac:dyDescent="0.2">
      <c r="A443" t="s">
        <v>983</v>
      </c>
      <c r="B443" t="s">
        <v>984</v>
      </c>
      <c r="C443" t="s">
        <v>159</v>
      </c>
      <c r="D443" t="s">
        <v>48</v>
      </c>
      <c r="E443" s="1">
        <v>43250.565381944441</v>
      </c>
      <c r="F443" t="s">
        <v>49</v>
      </c>
      <c r="G443" t="s">
        <v>27</v>
      </c>
      <c r="H443" t="s">
        <v>28</v>
      </c>
      <c r="I443" t="s">
        <v>1796</v>
      </c>
      <c r="J443" t="s">
        <v>1796</v>
      </c>
      <c r="K443" t="s">
        <v>1796</v>
      </c>
      <c r="L443" t="s">
        <v>21</v>
      </c>
      <c r="M443">
        <v>0</v>
      </c>
      <c r="N443">
        <v>0</v>
      </c>
      <c r="O443" t="str">
        <f>_xlfn.XLOOKUP(olist_closed_deals_dataset[[#This Row],[mql_id]], leads!A:A, leads!D:D, "Unknow" )</f>
        <v>organic_search</v>
      </c>
      <c r="P443" t="str">
        <f>IF(olist_closed_deals_dataset[[#This Row],[declared_monthly_revenue]] &gt;= 10000, "High Values ", IF(olist_closed_deals_dataset[[#This Row],[declared_monthly_revenue]] &gt; 0, "Stander ", "No Revenue " ))</f>
        <v xml:space="preserve">No Revenue </v>
      </c>
    </row>
    <row r="444" spans="1:16" x14ac:dyDescent="0.2">
      <c r="A444" t="s">
        <v>985</v>
      </c>
      <c r="B444" t="s">
        <v>986</v>
      </c>
      <c r="C444" t="s">
        <v>60</v>
      </c>
      <c r="D444" t="s">
        <v>74</v>
      </c>
      <c r="E444" s="1">
        <v>43229.702847222223</v>
      </c>
      <c r="F444" t="s">
        <v>96</v>
      </c>
      <c r="G444" t="s">
        <v>57</v>
      </c>
      <c r="H444" t="s">
        <v>20</v>
      </c>
      <c r="I444" t="s">
        <v>1796</v>
      </c>
      <c r="J444" t="s">
        <v>1796</v>
      </c>
      <c r="K444" t="s">
        <v>1796</v>
      </c>
      <c r="L444" t="s">
        <v>44</v>
      </c>
      <c r="M444">
        <v>0</v>
      </c>
      <c r="N444">
        <v>0</v>
      </c>
      <c r="O444" t="str">
        <f>_xlfn.XLOOKUP(olist_closed_deals_dataset[[#This Row],[mql_id]], leads!A:A, leads!D:D, "Unknow" )</f>
        <v>organic_search</v>
      </c>
      <c r="P444" t="str">
        <f>IF(olist_closed_deals_dataset[[#This Row],[declared_monthly_revenue]] &gt;= 10000, "High Values ", IF(olist_closed_deals_dataset[[#This Row],[declared_monthly_revenue]] &gt; 0, "Stander ", "No Revenue " ))</f>
        <v xml:space="preserve">No Revenue </v>
      </c>
    </row>
    <row r="445" spans="1:16" x14ac:dyDescent="0.2">
      <c r="A445" t="s">
        <v>987</v>
      </c>
      <c r="B445" t="s">
        <v>988</v>
      </c>
      <c r="C445" t="s">
        <v>127</v>
      </c>
      <c r="D445" t="s">
        <v>65</v>
      </c>
      <c r="E445" s="1">
        <v>43210.867071759261</v>
      </c>
      <c r="F445" t="s">
        <v>111</v>
      </c>
      <c r="G445" t="s">
        <v>34</v>
      </c>
      <c r="H445" t="s">
        <v>20</v>
      </c>
      <c r="I445" t="s">
        <v>1796</v>
      </c>
      <c r="J445" t="s">
        <v>1796</v>
      </c>
      <c r="K445" t="s">
        <v>1796</v>
      </c>
      <c r="L445" t="s">
        <v>21</v>
      </c>
      <c r="M445">
        <v>0</v>
      </c>
      <c r="N445">
        <v>0</v>
      </c>
      <c r="O445" t="str">
        <f>_xlfn.XLOOKUP(olist_closed_deals_dataset[[#This Row],[mql_id]], leads!A:A, leads!D:D, "Unknow" )</f>
        <v>unknown</v>
      </c>
      <c r="P445" t="str">
        <f>IF(olist_closed_deals_dataset[[#This Row],[declared_monthly_revenue]] &gt;= 10000, "High Values ", IF(olist_closed_deals_dataset[[#This Row],[declared_monthly_revenue]] &gt; 0, "Stander ", "No Revenue " ))</f>
        <v xml:space="preserve">No Revenue </v>
      </c>
    </row>
    <row r="446" spans="1:16" x14ac:dyDescent="0.2">
      <c r="A446" t="s">
        <v>989</v>
      </c>
      <c r="B446" t="s">
        <v>990</v>
      </c>
      <c r="C446" t="s">
        <v>65</v>
      </c>
      <c r="D446" t="s">
        <v>17</v>
      </c>
      <c r="E446" s="1">
        <v>43167.626250000001</v>
      </c>
      <c r="F446" t="s">
        <v>96</v>
      </c>
      <c r="G446" t="s">
        <v>39</v>
      </c>
      <c r="H446" t="s">
        <v>43</v>
      </c>
      <c r="I446" t="s">
        <v>1796</v>
      </c>
      <c r="J446" t="s">
        <v>1796</v>
      </c>
      <c r="K446" t="s">
        <v>1796</v>
      </c>
      <c r="L446" t="s">
        <v>44</v>
      </c>
      <c r="M446">
        <v>0</v>
      </c>
      <c r="N446">
        <v>0</v>
      </c>
      <c r="O446" t="str">
        <f>_xlfn.XLOOKUP(olist_closed_deals_dataset[[#This Row],[mql_id]], leads!A:A, leads!D:D, "Unknow" )</f>
        <v>unknown</v>
      </c>
      <c r="P446" t="str">
        <f>IF(olist_closed_deals_dataset[[#This Row],[declared_monthly_revenue]] &gt;= 10000, "High Values ", IF(olist_closed_deals_dataset[[#This Row],[declared_monthly_revenue]] &gt; 0, "Stander ", "No Revenue " ))</f>
        <v xml:space="preserve">No Revenue </v>
      </c>
    </row>
    <row r="447" spans="1:16" x14ac:dyDescent="0.2">
      <c r="A447" t="s">
        <v>991</v>
      </c>
      <c r="B447" t="s">
        <v>992</v>
      </c>
      <c r="C447" t="s">
        <v>81</v>
      </c>
      <c r="D447" t="s">
        <v>48</v>
      </c>
      <c r="E447" s="1">
        <v>43118.47388888889</v>
      </c>
      <c r="F447" t="s">
        <v>18</v>
      </c>
      <c r="G447" t="s">
        <v>1797</v>
      </c>
      <c r="H447" t="s">
        <v>1796</v>
      </c>
      <c r="I447" t="s">
        <v>1796</v>
      </c>
      <c r="J447" t="s">
        <v>1796</v>
      </c>
      <c r="K447" t="s">
        <v>1796</v>
      </c>
      <c r="L447" t="s">
        <v>21</v>
      </c>
      <c r="M447">
        <v>0</v>
      </c>
      <c r="N447">
        <v>0</v>
      </c>
      <c r="O447" t="str">
        <f>_xlfn.XLOOKUP(olist_closed_deals_dataset[[#This Row],[mql_id]], leads!A:A, leads!D:D, "Unknow" )</f>
        <v>direct_traffic</v>
      </c>
      <c r="P447" t="str">
        <f>IF(olist_closed_deals_dataset[[#This Row],[declared_monthly_revenue]] &gt;= 10000, "High Values ", IF(olist_closed_deals_dataset[[#This Row],[declared_monthly_revenue]] &gt; 0, "Stander ", "No Revenue " ))</f>
        <v xml:space="preserve">No Revenue </v>
      </c>
    </row>
    <row r="448" spans="1:16" x14ac:dyDescent="0.2">
      <c r="A448" t="s">
        <v>993</v>
      </c>
      <c r="B448" t="s">
        <v>994</v>
      </c>
      <c r="C448" t="s">
        <v>37</v>
      </c>
      <c r="D448" t="s">
        <v>74</v>
      </c>
      <c r="E448" s="1">
        <v>43199.765810185185</v>
      </c>
      <c r="F448" t="s">
        <v>96</v>
      </c>
      <c r="G448" t="s">
        <v>19</v>
      </c>
      <c r="H448" t="s">
        <v>20</v>
      </c>
      <c r="I448" t="s">
        <v>1796</v>
      </c>
      <c r="J448" t="s">
        <v>1796</v>
      </c>
      <c r="K448" t="s">
        <v>1796</v>
      </c>
      <c r="L448" t="s">
        <v>44</v>
      </c>
      <c r="M448">
        <v>0</v>
      </c>
      <c r="N448">
        <v>0</v>
      </c>
      <c r="O448" t="str">
        <f>_xlfn.XLOOKUP(olist_closed_deals_dataset[[#This Row],[mql_id]], leads!A:A, leads!D:D, "Unknow" )</f>
        <v>organic_search</v>
      </c>
      <c r="P448" t="str">
        <f>IF(olist_closed_deals_dataset[[#This Row],[declared_monthly_revenue]] &gt;= 10000, "High Values ", IF(olist_closed_deals_dataset[[#This Row],[declared_monthly_revenue]] &gt; 0, "Stander ", "No Revenue " ))</f>
        <v xml:space="preserve">No Revenue </v>
      </c>
    </row>
    <row r="449" spans="1:16" x14ac:dyDescent="0.2">
      <c r="A449" t="s">
        <v>995</v>
      </c>
      <c r="B449" t="s">
        <v>996</v>
      </c>
      <c r="C449" t="s">
        <v>81</v>
      </c>
      <c r="D449" t="s">
        <v>77</v>
      </c>
      <c r="E449" s="1">
        <v>43133.69734953704</v>
      </c>
      <c r="F449" t="s">
        <v>138</v>
      </c>
      <c r="G449" t="s">
        <v>1797</v>
      </c>
      <c r="H449" t="s">
        <v>1796</v>
      </c>
      <c r="I449" t="s">
        <v>1796</v>
      </c>
      <c r="J449" t="s">
        <v>1796</v>
      </c>
      <c r="K449" t="s">
        <v>1796</v>
      </c>
      <c r="L449" t="s">
        <v>21</v>
      </c>
      <c r="M449">
        <v>0</v>
      </c>
      <c r="N449">
        <v>0</v>
      </c>
      <c r="O449" t="str">
        <f>_xlfn.XLOOKUP(olist_closed_deals_dataset[[#This Row],[mql_id]], leads!A:A, leads!D:D, "Unknow" )</f>
        <v>unknown</v>
      </c>
      <c r="P449" t="str">
        <f>IF(olist_closed_deals_dataset[[#This Row],[declared_monthly_revenue]] &gt;= 10000, "High Values ", IF(olist_closed_deals_dataset[[#This Row],[declared_monthly_revenue]] &gt; 0, "Stander ", "No Revenue " ))</f>
        <v xml:space="preserve">No Revenue </v>
      </c>
    </row>
    <row r="450" spans="1:16" x14ac:dyDescent="0.2">
      <c r="A450" t="s">
        <v>997</v>
      </c>
      <c r="B450" t="s">
        <v>998</v>
      </c>
      <c r="C450" t="s">
        <v>81</v>
      </c>
      <c r="D450" t="s">
        <v>89</v>
      </c>
      <c r="E450" s="1">
        <v>43154.502766203703</v>
      </c>
      <c r="F450" t="s">
        <v>92</v>
      </c>
      <c r="G450" t="s">
        <v>19</v>
      </c>
      <c r="H450" t="s">
        <v>43</v>
      </c>
      <c r="I450" t="s">
        <v>1796</v>
      </c>
      <c r="J450" t="s">
        <v>1796</v>
      </c>
      <c r="K450" t="s">
        <v>1796</v>
      </c>
      <c r="L450" t="s">
        <v>21</v>
      </c>
      <c r="M450">
        <v>0</v>
      </c>
      <c r="N450">
        <v>0</v>
      </c>
      <c r="O450" t="str">
        <f>_xlfn.XLOOKUP(olist_closed_deals_dataset[[#This Row],[mql_id]], leads!A:A, leads!D:D, "Unknow" )</f>
        <v>unknown</v>
      </c>
      <c r="P450" t="str">
        <f>IF(olist_closed_deals_dataset[[#This Row],[declared_monthly_revenue]] &gt;= 10000, "High Values ", IF(olist_closed_deals_dataset[[#This Row],[declared_monthly_revenue]] &gt; 0, "Stander ", "No Revenue " ))</f>
        <v xml:space="preserve">No Revenue </v>
      </c>
    </row>
    <row r="451" spans="1:16" x14ac:dyDescent="0.2">
      <c r="A451" t="s">
        <v>999</v>
      </c>
      <c r="B451" t="s">
        <v>1000</v>
      </c>
      <c r="C451" t="s">
        <v>127</v>
      </c>
      <c r="D451" t="s">
        <v>32</v>
      </c>
      <c r="E451" s="1">
        <v>43327.798333333332</v>
      </c>
      <c r="F451" t="s">
        <v>494</v>
      </c>
      <c r="G451" t="s">
        <v>19</v>
      </c>
      <c r="H451" t="s">
        <v>28</v>
      </c>
      <c r="I451" t="s">
        <v>1796</v>
      </c>
      <c r="J451" t="s">
        <v>1796</v>
      </c>
      <c r="K451" t="s">
        <v>1796</v>
      </c>
      <c r="L451" t="s">
        <v>44</v>
      </c>
      <c r="M451">
        <v>22</v>
      </c>
      <c r="N451">
        <v>0</v>
      </c>
      <c r="O451" t="str">
        <f>_xlfn.XLOOKUP(olist_closed_deals_dataset[[#This Row],[mql_id]], leads!A:A, leads!D:D, "Unknow" )</f>
        <v>organic_search</v>
      </c>
      <c r="P451" t="str">
        <f>IF(olist_closed_deals_dataset[[#This Row],[declared_monthly_revenue]] &gt;= 10000, "High Values ", IF(olist_closed_deals_dataset[[#This Row],[declared_monthly_revenue]] &gt; 0, "Stander ", "No Revenue " ))</f>
        <v xml:space="preserve">No Revenue </v>
      </c>
    </row>
    <row r="452" spans="1:16" x14ac:dyDescent="0.2">
      <c r="A452" t="s">
        <v>1001</v>
      </c>
      <c r="B452" t="s">
        <v>1002</v>
      </c>
      <c r="C452" t="s">
        <v>16</v>
      </c>
      <c r="D452" t="s">
        <v>48</v>
      </c>
      <c r="E452" s="1">
        <v>43168.125</v>
      </c>
      <c r="F452" t="s">
        <v>96</v>
      </c>
      <c r="G452" t="s">
        <v>19</v>
      </c>
      <c r="H452" t="s">
        <v>43</v>
      </c>
      <c r="I452" t="s">
        <v>1796</v>
      </c>
      <c r="J452" t="s">
        <v>1796</v>
      </c>
      <c r="K452" t="s">
        <v>1796</v>
      </c>
      <c r="L452" t="s">
        <v>21</v>
      </c>
      <c r="M452">
        <v>0</v>
      </c>
      <c r="N452">
        <v>0</v>
      </c>
      <c r="O452" t="str">
        <f>_xlfn.XLOOKUP(olist_closed_deals_dataset[[#This Row],[mql_id]], leads!A:A, leads!D:D, "Unknow" )</f>
        <v>unknown</v>
      </c>
      <c r="P452" t="str">
        <f>IF(olist_closed_deals_dataset[[#This Row],[declared_monthly_revenue]] &gt;= 10000, "High Values ", IF(olist_closed_deals_dataset[[#This Row],[declared_monthly_revenue]] &gt; 0, "Stander ", "No Revenue " ))</f>
        <v xml:space="preserve">No Revenue </v>
      </c>
    </row>
    <row r="453" spans="1:16" x14ac:dyDescent="0.2">
      <c r="A453" t="s">
        <v>1003</v>
      </c>
      <c r="B453" t="s">
        <v>1004</v>
      </c>
      <c r="C453" t="s">
        <v>224</v>
      </c>
      <c r="D453" t="s">
        <v>81</v>
      </c>
      <c r="E453" s="1">
        <v>43383.691516203704</v>
      </c>
      <c r="F453" t="s">
        <v>111</v>
      </c>
      <c r="G453" t="s">
        <v>57</v>
      </c>
      <c r="H453" t="s">
        <v>43</v>
      </c>
      <c r="I453" t="b">
        <v>1</v>
      </c>
      <c r="J453" t="b">
        <v>1</v>
      </c>
      <c r="K453" t="s">
        <v>142</v>
      </c>
      <c r="L453" t="s">
        <v>44</v>
      </c>
      <c r="M453">
        <v>15</v>
      </c>
      <c r="N453">
        <v>0</v>
      </c>
      <c r="O453" t="str">
        <f>_xlfn.XLOOKUP(olist_closed_deals_dataset[[#This Row],[mql_id]], leads!A:A, leads!D:D, "Unknow" )</f>
        <v>direct_traffic</v>
      </c>
      <c r="P453" t="str">
        <f>IF(olist_closed_deals_dataset[[#This Row],[declared_monthly_revenue]] &gt;= 10000, "High Values ", IF(olist_closed_deals_dataset[[#This Row],[declared_monthly_revenue]] &gt; 0, "Stander ", "No Revenue " ))</f>
        <v xml:space="preserve">No Revenue </v>
      </c>
    </row>
    <row r="454" spans="1:16" x14ac:dyDescent="0.2">
      <c r="A454" t="s">
        <v>1005</v>
      </c>
      <c r="B454" t="s">
        <v>1006</v>
      </c>
      <c r="C454" t="s">
        <v>56</v>
      </c>
      <c r="D454" t="s">
        <v>32</v>
      </c>
      <c r="E454" s="1">
        <v>43210.841238425928</v>
      </c>
      <c r="F454" t="s">
        <v>61</v>
      </c>
      <c r="G454" t="s">
        <v>34</v>
      </c>
      <c r="H454" t="s">
        <v>20</v>
      </c>
      <c r="I454" t="s">
        <v>1796</v>
      </c>
      <c r="J454" t="s">
        <v>1796</v>
      </c>
      <c r="K454" t="s">
        <v>1796</v>
      </c>
      <c r="L454" t="s">
        <v>21</v>
      </c>
      <c r="M454">
        <v>0</v>
      </c>
      <c r="N454">
        <v>0</v>
      </c>
      <c r="O454" t="str">
        <f>_xlfn.XLOOKUP(olist_closed_deals_dataset[[#This Row],[mql_id]], leads!A:A, leads!D:D, "Unknow" )</f>
        <v>organic_search</v>
      </c>
      <c r="P454" t="str">
        <f>IF(olist_closed_deals_dataset[[#This Row],[declared_monthly_revenue]] &gt;= 10000, "High Values ", IF(olist_closed_deals_dataset[[#This Row],[declared_monthly_revenue]] &gt; 0, "Stander ", "No Revenue " ))</f>
        <v xml:space="preserve">No Revenue </v>
      </c>
    </row>
    <row r="455" spans="1:16" x14ac:dyDescent="0.2">
      <c r="A455" t="s">
        <v>1007</v>
      </c>
      <c r="B455" t="s">
        <v>1008</v>
      </c>
      <c r="C455" t="s">
        <v>37</v>
      </c>
      <c r="D455" t="s">
        <v>17</v>
      </c>
      <c r="E455" s="1">
        <v>43174.717638888891</v>
      </c>
      <c r="F455" t="s">
        <v>96</v>
      </c>
      <c r="G455" t="s">
        <v>19</v>
      </c>
      <c r="H455" t="s">
        <v>28</v>
      </c>
      <c r="I455" t="s">
        <v>1796</v>
      </c>
      <c r="J455" t="s">
        <v>1796</v>
      </c>
      <c r="K455" t="s">
        <v>1796</v>
      </c>
      <c r="L455" t="s">
        <v>44</v>
      </c>
      <c r="M455">
        <v>0</v>
      </c>
      <c r="N455">
        <v>0</v>
      </c>
      <c r="O455" t="str">
        <f>_xlfn.XLOOKUP(olist_closed_deals_dataset[[#This Row],[mql_id]], leads!A:A, leads!D:D, "Unknow" )</f>
        <v>organic_search</v>
      </c>
      <c r="P455" t="str">
        <f>IF(olist_closed_deals_dataset[[#This Row],[declared_monthly_revenue]] &gt;= 10000, "High Values ", IF(olist_closed_deals_dataset[[#This Row],[declared_monthly_revenue]] &gt; 0, "Stander ", "No Revenue " ))</f>
        <v xml:space="preserve">No Revenue </v>
      </c>
    </row>
    <row r="456" spans="1:16" x14ac:dyDescent="0.2">
      <c r="A456" t="s">
        <v>1009</v>
      </c>
      <c r="B456" t="s">
        <v>1010</v>
      </c>
      <c r="C456" t="s">
        <v>81</v>
      </c>
      <c r="D456" t="s">
        <v>17</v>
      </c>
      <c r="E456" s="1">
        <v>43199.878252314818</v>
      </c>
      <c r="F456" t="s">
        <v>138</v>
      </c>
      <c r="G456" t="s">
        <v>19</v>
      </c>
      <c r="H456" t="s">
        <v>1796</v>
      </c>
      <c r="I456" t="s">
        <v>1796</v>
      </c>
      <c r="J456" t="s">
        <v>1796</v>
      </c>
      <c r="K456" t="s">
        <v>1796</v>
      </c>
      <c r="L456" t="s">
        <v>21</v>
      </c>
      <c r="M456">
        <v>0</v>
      </c>
      <c r="N456">
        <v>0</v>
      </c>
      <c r="O456" t="str">
        <f>_xlfn.XLOOKUP(olist_closed_deals_dataset[[#This Row],[mql_id]], leads!A:A, leads!D:D, "Unknow" )</f>
        <v>organic_search</v>
      </c>
      <c r="P456" t="str">
        <f>IF(olist_closed_deals_dataset[[#This Row],[declared_monthly_revenue]] &gt;= 10000, "High Values ", IF(olist_closed_deals_dataset[[#This Row],[declared_monthly_revenue]] &gt; 0, "Stander ", "No Revenue " ))</f>
        <v xml:space="preserve">No Revenue </v>
      </c>
    </row>
    <row r="457" spans="1:16" x14ac:dyDescent="0.2">
      <c r="A457" t="s">
        <v>1011</v>
      </c>
      <c r="B457" t="s">
        <v>1012</v>
      </c>
      <c r="C457" t="s">
        <v>56</v>
      </c>
      <c r="D457" t="s">
        <v>16</v>
      </c>
      <c r="E457" s="1">
        <v>43270.878391203703</v>
      </c>
      <c r="F457" t="s">
        <v>111</v>
      </c>
      <c r="G457" t="s">
        <v>57</v>
      </c>
      <c r="H457" t="s">
        <v>28</v>
      </c>
      <c r="I457" t="s">
        <v>1796</v>
      </c>
      <c r="J457" t="s">
        <v>1796</v>
      </c>
      <c r="K457" t="s">
        <v>1796</v>
      </c>
      <c r="L457" t="s">
        <v>21</v>
      </c>
      <c r="M457">
        <v>0</v>
      </c>
      <c r="N457">
        <v>0</v>
      </c>
      <c r="O457" t="str">
        <f>_xlfn.XLOOKUP(olist_closed_deals_dataset[[#This Row],[mql_id]], leads!A:A, leads!D:D, "Unknow" )</f>
        <v>organic_search</v>
      </c>
      <c r="P457" t="str">
        <f>IF(olist_closed_deals_dataset[[#This Row],[declared_monthly_revenue]] &gt;= 10000, "High Values ", IF(olist_closed_deals_dataset[[#This Row],[declared_monthly_revenue]] &gt; 0, "Stander ", "No Revenue " ))</f>
        <v xml:space="preserve">No Revenue </v>
      </c>
    </row>
    <row r="458" spans="1:16" x14ac:dyDescent="0.2">
      <c r="A458" t="s">
        <v>1013</v>
      </c>
      <c r="B458" t="s">
        <v>1014</v>
      </c>
      <c r="C458" t="s">
        <v>65</v>
      </c>
      <c r="D458" t="s">
        <v>32</v>
      </c>
      <c r="E458" s="1">
        <v>43202.524872685186</v>
      </c>
      <c r="F458" t="s">
        <v>82</v>
      </c>
      <c r="G458" t="s">
        <v>27</v>
      </c>
      <c r="H458" t="s">
        <v>20</v>
      </c>
      <c r="I458" t="s">
        <v>1796</v>
      </c>
      <c r="J458" t="s">
        <v>1796</v>
      </c>
      <c r="K458" t="s">
        <v>1796</v>
      </c>
      <c r="L458" t="s">
        <v>21</v>
      </c>
      <c r="M458">
        <v>0</v>
      </c>
      <c r="N458">
        <v>0</v>
      </c>
      <c r="O458" t="str">
        <f>_xlfn.XLOOKUP(olist_closed_deals_dataset[[#This Row],[mql_id]], leads!A:A, leads!D:D, "Unknow" )</f>
        <v>paid_search</v>
      </c>
      <c r="P458" t="str">
        <f>IF(olist_closed_deals_dataset[[#This Row],[declared_monthly_revenue]] &gt;= 10000, "High Values ", IF(olist_closed_deals_dataset[[#This Row],[declared_monthly_revenue]] &gt; 0, "Stander ", "No Revenue " ))</f>
        <v xml:space="preserve">No Revenue </v>
      </c>
    </row>
    <row r="459" spans="1:16" x14ac:dyDescent="0.2">
      <c r="A459" t="s">
        <v>1015</v>
      </c>
      <c r="B459" t="s">
        <v>1016</v>
      </c>
      <c r="C459" t="s">
        <v>16</v>
      </c>
      <c r="D459" t="s">
        <v>17</v>
      </c>
      <c r="E459" s="1">
        <v>43213.861157407409</v>
      </c>
      <c r="F459" t="s">
        <v>26</v>
      </c>
      <c r="G459" t="s">
        <v>19</v>
      </c>
      <c r="H459" t="s">
        <v>20</v>
      </c>
      <c r="I459" t="s">
        <v>1796</v>
      </c>
      <c r="J459" t="s">
        <v>1796</v>
      </c>
      <c r="K459" t="s">
        <v>1796</v>
      </c>
      <c r="L459" t="s">
        <v>21</v>
      </c>
      <c r="M459">
        <v>0</v>
      </c>
      <c r="N459">
        <v>0</v>
      </c>
      <c r="O459" t="str">
        <f>_xlfn.XLOOKUP(olist_closed_deals_dataset[[#This Row],[mql_id]], leads!A:A, leads!D:D, "Unknow" )</f>
        <v>unknown</v>
      </c>
      <c r="P459" t="str">
        <f>IF(olist_closed_deals_dataset[[#This Row],[declared_monthly_revenue]] &gt;= 10000, "High Values ", IF(olist_closed_deals_dataset[[#This Row],[declared_monthly_revenue]] &gt; 0, "Stander ", "No Revenue " ))</f>
        <v xml:space="preserve">No Revenue </v>
      </c>
    </row>
    <row r="460" spans="1:16" x14ac:dyDescent="0.2">
      <c r="A460" t="s">
        <v>1017</v>
      </c>
      <c r="B460" t="s">
        <v>1018</v>
      </c>
      <c r="C460" t="s">
        <v>71</v>
      </c>
      <c r="D460" t="s">
        <v>25</v>
      </c>
      <c r="E460" s="1">
        <v>43129.510914351849</v>
      </c>
      <c r="F460" t="s">
        <v>61</v>
      </c>
      <c r="G460" t="s">
        <v>19</v>
      </c>
      <c r="H460" t="s">
        <v>1796</v>
      </c>
      <c r="I460" t="s">
        <v>1796</v>
      </c>
      <c r="J460" t="s">
        <v>1796</v>
      </c>
      <c r="K460" t="s">
        <v>1796</v>
      </c>
      <c r="L460" t="s">
        <v>21</v>
      </c>
      <c r="M460">
        <v>0</v>
      </c>
      <c r="N460">
        <v>0</v>
      </c>
      <c r="O460" t="str">
        <f>_xlfn.XLOOKUP(olist_closed_deals_dataset[[#This Row],[mql_id]], leads!A:A, leads!D:D, "Unknow" )</f>
        <v>unknown</v>
      </c>
      <c r="P460" t="str">
        <f>IF(olist_closed_deals_dataset[[#This Row],[declared_monthly_revenue]] &gt;= 10000, "High Values ", IF(olist_closed_deals_dataset[[#This Row],[declared_monthly_revenue]] &gt; 0, "Stander ", "No Revenue " ))</f>
        <v xml:space="preserve">No Revenue </v>
      </c>
    </row>
    <row r="461" spans="1:16" x14ac:dyDescent="0.2">
      <c r="A461" t="s">
        <v>1019</v>
      </c>
      <c r="B461" t="s">
        <v>1020</v>
      </c>
      <c r="C461" t="s">
        <v>81</v>
      </c>
      <c r="D461" t="s">
        <v>89</v>
      </c>
      <c r="E461" s="1">
        <v>43200.803506944445</v>
      </c>
      <c r="F461" t="s">
        <v>49</v>
      </c>
      <c r="G461" t="s">
        <v>39</v>
      </c>
      <c r="H461" t="s">
        <v>1796</v>
      </c>
      <c r="I461" t="s">
        <v>1796</v>
      </c>
      <c r="J461" t="s">
        <v>1796</v>
      </c>
      <c r="K461" t="s">
        <v>1796</v>
      </c>
      <c r="L461" t="s">
        <v>21</v>
      </c>
      <c r="M461">
        <v>0</v>
      </c>
      <c r="N461">
        <v>0</v>
      </c>
      <c r="O461" t="str">
        <f>_xlfn.XLOOKUP(olist_closed_deals_dataset[[#This Row],[mql_id]], leads!A:A, leads!D:D, "Unknow" )</f>
        <v>paid_search</v>
      </c>
      <c r="P461" t="str">
        <f>IF(olist_closed_deals_dataset[[#This Row],[declared_monthly_revenue]] &gt;= 10000, "High Values ", IF(olist_closed_deals_dataset[[#This Row],[declared_monthly_revenue]] &gt; 0, "Stander ", "No Revenue " ))</f>
        <v xml:space="preserve">No Revenue </v>
      </c>
    </row>
    <row r="462" spans="1:16" x14ac:dyDescent="0.2">
      <c r="A462" t="s">
        <v>1021</v>
      </c>
      <c r="B462" t="s">
        <v>1022</v>
      </c>
      <c r="C462" t="s">
        <v>42</v>
      </c>
      <c r="D462" t="s">
        <v>48</v>
      </c>
      <c r="E462" s="1">
        <v>43231.714837962965</v>
      </c>
      <c r="F462" t="s">
        <v>131</v>
      </c>
      <c r="G462" t="s">
        <v>19</v>
      </c>
      <c r="H462" t="s">
        <v>20</v>
      </c>
      <c r="I462" t="s">
        <v>1796</v>
      </c>
      <c r="J462" t="s">
        <v>1796</v>
      </c>
      <c r="K462" t="s">
        <v>1796</v>
      </c>
      <c r="L462" t="s">
        <v>21</v>
      </c>
      <c r="M462">
        <v>0</v>
      </c>
      <c r="N462">
        <v>0</v>
      </c>
      <c r="O462" t="str">
        <f>_xlfn.XLOOKUP(olist_closed_deals_dataset[[#This Row],[mql_id]], leads!A:A, leads!D:D, "Unknow" )</f>
        <v>paid_search</v>
      </c>
      <c r="P462" t="str">
        <f>IF(olist_closed_deals_dataset[[#This Row],[declared_monthly_revenue]] &gt;= 10000, "High Values ", IF(olist_closed_deals_dataset[[#This Row],[declared_monthly_revenue]] &gt; 0, "Stander ", "No Revenue " ))</f>
        <v xml:space="preserve">No Revenue </v>
      </c>
    </row>
    <row r="463" spans="1:16" x14ac:dyDescent="0.2">
      <c r="A463" t="s">
        <v>1023</v>
      </c>
      <c r="B463" t="s">
        <v>1024</v>
      </c>
      <c r="C463" t="s">
        <v>65</v>
      </c>
      <c r="D463" t="s">
        <v>52</v>
      </c>
      <c r="E463" s="1">
        <v>43185.50509259259</v>
      </c>
      <c r="F463" t="s">
        <v>68</v>
      </c>
      <c r="G463" t="s">
        <v>34</v>
      </c>
      <c r="H463" t="s">
        <v>20</v>
      </c>
      <c r="I463" t="s">
        <v>1796</v>
      </c>
      <c r="J463" t="s">
        <v>1796</v>
      </c>
      <c r="K463" t="s">
        <v>1796</v>
      </c>
      <c r="L463" t="s">
        <v>44</v>
      </c>
      <c r="M463">
        <v>0</v>
      </c>
      <c r="N463">
        <v>0</v>
      </c>
      <c r="O463" t="str">
        <f>_xlfn.XLOOKUP(olist_closed_deals_dataset[[#This Row],[mql_id]], leads!A:A, leads!D:D, "Unknow" )</f>
        <v>paid_search</v>
      </c>
      <c r="P463" t="str">
        <f>IF(olist_closed_deals_dataset[[#This Row],[declared_monthly_revenue]] &gt;= 10000, "High Values ", IF(olist_closed_deals_dataset[[#This Row],[declared_monthly_revenue]] &gt; 0, "Stander ", "No Revenue " ))</f>
        <v xml:space="preserve">No Revenue </v>
      </c>
    </row>
    <row r="464" spans="1:16" x14ac:dyDescent="0.2">
      <c r="A464" t="s">
        <v>1025</v>
      </c>
      <c r="B464" t="s">
        <v>1026</v>
      </c>
      <c r="C464" t="s">
        <v>64</v>
      </c>
      <c r="D464" t="s">
        <v>17</v>
      </c>
      <c r="E464" s="1">
        <v>43193.860567129632</v>
      </c>
      <c r="F464" t="s">
        <v>26</v>
      </c>
      <c r="G464" t="s">
        <v>57</v>
      </c>
      <c r="H464" t="s">
        <v>43</v>
      </c>
      <c r="I464" t="s">
        <v>1796</v>
      </c>
      <c r="J464" t="s">
        <v>1796</v>
      </c>
      <c r="K464" t="s">
        <v>1796</v>
      </c>
      <c r="L464" t="s">
        <v>21</v>
      </c>
      <c r="M464">
        <v>0</v>
      </c>
      <c r="N464">
        <v>0</v>
      </c>
      <c r="O464" t="str">
        <f>_xlfn.XLOOKUP(olist_closed_deals_dataset[[#This Row],[mql_id]], leads!A:A, leads!D:D, "Unknow" )</f>
        <v>social</v>
      </c>
      <c r="P464" t="str">
        <f>IF(olist_closed_deals_dataset[[#This Row],[declared_monthly_revenue]] &gt;= 10000, "High Values ", IF(olist_closed_deals_dataset[[#This Row],[declared_monthly_revenue]] &gt; 0, "Stander ", "No Revenue " ))</f>
        <v xml:space="preserve">No Revenue </v>
      </c>
    </row>
    <row r="465" spans="1:16" x14ac:dyDescent="0.2">
      <c r="A465" t="s">
        <v>1027</v>
      </c>
      <c r="B465" t="s">
        <v>1028</v>
      </c>
      <c r="C465" t="s">
        <v>42</v>
      </c>
      <c r="D465" t="s">
        <v>25</v>
      </c>
      <c r="E465" s="1">
        <v>43139.728622685187</v>
      </c>
      <c r="F465" t="s">
        <v>415</v>
      </c>
      <c r="G465" t="s">
        <v>19</v>
      </c>
      <c r="H465" t="s">
        <v>1796</v>
      </c>
      <c r="I465" t="s">
        <v>1796</v>
      </c>
      <c r="J465" t="s">
        <v>1796</v>
      </c>
      <c r="K465" t="s">
        <v>1796</v>
      </c>
      <c r="L465" t="s">
        <v>21</v>
      </c>
      <c r="M465">
        <v>0</v>
      </c>
      <c r="N465">
        <v>0</v>
      </c>
      <c r="O465" t="str">
        <f>_xlfn.XLOOKUP(olist_closed_deals_dataset[[#This Row],[mql_id]], leads!A:A, leads!D:D, "Unknow" )</f>
        <v>paid_search</v>
      </c>
      <c r="P465" t="str">
        <f>IF(olist_closed_deals_dataset[[#This Row],[declared_monthly_revenue]] &gt;= 10000, "High Values ", IF(olist_closed_deals_dataset[[#This Row],[declared_monthly_revenue]] &gt; 0, "Stander ", "No Revenue " ))</f>
        <v xml:space="preserve">No Revenue </v>
      </c>
    </row>
    <row r="466" spans="1:16" x14ac:dyDescent="0.2">
      <c r="A466" t="s">
        <v>1029</v>
      </c>
      <c r="B466" t="s">
        <v>1030</v>
      </c>
      <c r="C466" t="s">
        <v>60</v>
      </c>
      <c r="D466" t="s">
        <v>52</v>
      </c>
      <c r="E466" s="1">
        <v>43342.940717592595</v>
      </c>
      <c r="F466" t="s">
        <v>26</v>
      </c>
      <c r="G466" t="s">
        <v>39</v>
      </c>
      <c r="H466" t="s">
        <v>20</v>
      </c>
      <c r="I466" t="b">
        <v>1</v>
      </c>
      <c r="J466" t="b">
        <v>0</v>
      </c>
      <c r="K466" t="s">
        <v>1798</v>
      </c>
      <c r="L466" t="s">
        <v>21</v>
      </c>
      <c r="M466">
        <v>40</v>
      </c>
      <c r="N466">
        <v>0</v>
      </c>
      <c r="O466" t="str">
        <f>_xlfn.XLOOKUP(olist_closed_deals_dataset[[#This Row],[mql_id]], leads!A:A, leads!D:D, "Unknow" )</f>
        <v>organic_search</v>
      </c>
      <c r="P466" t="str">
        <f>IF(olist_closed_deals_dataset[[#This Row],[declared_monthly_revenue]] &gt;= 10000, "High Values ", IF(olist_closed_deals_dataset[[#This Row],[declared_monthly_revenue]] &gt; 0, "Stander ", "No Revenue " ))</f>
        <v xml:space="preserve">No Revenue </v>
      </c>
    </row>
    <row r="467" spans="1:16" x14ac:dyDescent="0.2">
      <c r="A467" t="s">
        <v>1032</v>
      </c>
      <c r="B467" t="s">
        <v>1033</v>
      </c>
      <c r="C467" t="s">
        <v>37</v>
      </c>
      <c r="D467" t="s">
        <v>102</v>
      </c>
      <c r="E467" s="1">
        <v>43139.715277777781</v>
      </c>
      <c r="F467" t="s">
        <v>131</v>
      </c>
      <c r="G467" t="s">
        <v>19</v>
      </c>
      <c r="H467" t="s">
        <v>1796</v>
      </c>
      <c r="I467" t="s">
        <v>1796</v>
      </c>
      <c r="J467" t="s">
        <v>1796</v>
      </c>
      <c r="K467" t="s">
        <v>1796</v>
      </c>
      <c r="L467" t="s">
        <v>1796</v>
      </c>
      <c r="M467">
        <v>0</v>
      </c>
      <c r="N467">
        <v>0</v>
      </c>
      <c r="O467" t="str">
        <f>_xlfn.XLOOKUP(olist_closed_deals_dataset[[#This Row],[mql_id]], leads!A:A, leads!D:D, "Unknow" )</f>
        <v>email</v>
      </c>
      <c r="P467" t="str">
        <f>IF(olist_closed_deals_dataset[[#This Row],[declared_monthly_revenue]] &gt;= 10000, "High Values ", IF(olist_closed_deals_dataset[[#This Row],[declared_monthly_revenue]] &gt; 0, "Stander ", "No Revenue " ))</f>
        <v xml:space="preserve">No Revenue </v>
      </c>
    </row>
    <row r="468" spans="1:16" x14ac:dyDescent="0.2">
      <c r="A468" t="s">
        <v>1034</v>
      </c>
      <c r="B468" t="s">
        <v>1035</v>
      </c>
      <c r="C468" t="s">
        <v>81</v>
      </c>
      <c r="D468" t="s">
        <v>102</v>
      </c>
      <c r="E468" s="1">
        <v>43165.478726851848</v>
      </c>
      <c r="F468" t="s">
        <v>138</v>
      </c>
      <c r="G468" t="s">
        <v>112</v>
      </c>
      <c r="H468" t="s">
        <v>20</v>
      </c>
      <c r="I468" t="s">
        <v>1796</v>
      </c>
      <c r="J468" t="s">
        <v>1796</v>
      </c>
      <c r="K468" t="s">
        <v>1796</v>
      </c>
      <c r="L468" t="s">
        <v>21</v>
      </c>
      <c r="M468">
        <v>0</v>
      </c>
      <c r="N468">
        <v>0</v>
      </c>
      <c r="O468" t="str">
        <f>_xlfn.XLOOKUP(olist_closed_deals_dataset[[#This Row],[mql_id]], leads!A:A, leads!D:D, "Unknow" )</f>
        <v>organic_search</v>
      </c>
      <c r="P468" t="str">
        <f>IF(olist_closed_deals_dataset[[#This Row],[declared_monthly_revenue]] &gt;= 10000, "High Values ", IF(olist_closed_deals_dataset[[#This Row],[declared_monthly_revenue]] &gt; 0, "Stander ", "No Revenue " ))</f>
        <v xml:space="preserve">No Revenue </v>
      </c>
    </row>
    <row r="469" spans="1:16" x14ac:dyDescent="0.2">
      <c r="A469" t="s">
        <v>1036</v>
      </c>
      <c r="B469" t="s">
        <v>1037</v>
      </c>
      <c r="C469" t="s">
        <v>81</v>
      </c>
      <c r="D469" t="s">
        <v>89</v>
      </c>
      <c r="E469" s="1">
        <v>43186.748483796298</v>
      </c>
      <c r="F469" t="s">
        <v>115</v>
      </c>
      <c r="G469" t="s">
        <v>19</v>
      </c>
      <c r="H469" t="s">
        <v>43</v>
      </c>
      <c r="I469" t="s">
        <v>1796</v>
      </c>
      <c r="J469" t="s">
        <v>1796</v>
      </c>
      <c r="K469" t="s">
        <v>1796</v>
      </c>
      <c r="L469" t="s">
        <v>21</v>
      </c>
      <c r="M469">
        <v>0</v>
      </c>
      <c r="N469">
        <v>0</v>
      </c>
      <c r="O469" t="str">
        <f>_xlfn.XLOOKUP(olist_closed_deals_dataset[[#This Row],[mql_id]], leads!A:A, leads!D:D, "Unknow" )</f>
        <v>unknown</v>
      </c>
      <c r="P469" t="str">
        <f>IF(olist_closed_deals_dataset[[#This Row],[declared_monthly_revenue]] &gt;= 10000, "High Values ", IF(olist_closed_deals_dataset[[#This Row],[declared_monthly_revenue]] &gt; 0, "Stander ", "No Revenue " ))</f>
        <v xml:space="preserve">No Revenue </v>
      </c>
    </row>
    <row r="470" spans="1:16" x14ac:dyDescent="0.2">
      <c r="A470" t="s">
        <v>1038</v>
      </c>
      <c r="B470" t="s">
        <v>1039</v>
      </c>
      <c r="C470" t="s">
        <v>81</v>
      </c>
      <c r="D470" t="s">
        <v>17</v>
      </c>
      <c r="E470" s="1">
        <v>43188.739618055559</v>
      </c>
      <c r="F470" t="s">
        <v>415</v>
      </c>
      <c r="G470" t="s">
        <v>27</v>
      </c>
      <c r="H470" t="s">
        <v>20</v>
      </c>
      <c r="I470" t="s">
        <v>1796</v>
      </c>
      <c r="J470" t="s">
        <v>1796</v>
      </c>
      <c r="K470" t="s">
        <v>1796</v>
      </c>
      <c r="L470" t="s">
        <v>21</v>
      </c>
      <c r="M470">
        <v>0</v>
      </c>
      <c r="N470">
        <v>0</v>
      </c>
      <c r="O470" t="str">
        <f>_xlfn.XLOOKUP(olist_closed_deals_dataset[[#This Row],[mql_id]], leads!A:A, leads!D:D, "Unknow" )</f>
        <v>paid_search</v>
      </c>
      <c r="P470" t="str">
        <f>IF(olist_closed_deals_dataset[[#This Row],[declared_monthly_revenue]] &gt;= 10000, "High Values ", IF(olist_closed_deals_dataset[[#This Row],[declared_monthly_revenue]] &gt; 0, "Stander ", "No Revenue " ))</f>
        <v xml:space="preserve">No Revenue </v>
      </c>
    </row>
    <row r="471" spans="1:16" x14ac:dyDescent="0.2">
      <c r="A471" t="s">
        <v>1040</v>
      </c>
      <c r="B471" t="s">
        <v>1041</v>
      </c>
      <c r="C471" t="s">
        <v>71</v>
      </c>
      <c r="D471" t="s">
        <v>32</v>
      </c>
      <c r="E471" s="1">
        <v>43153.561585648145</v>
      </c>
      <c r="F471" t="s">
        <v>38</v>
      </c>
      <c r="G471" t="s">
        <v>27</v>
      </c>
      <c r="H471" t="s">
        <v>1796</v>
      </c>
      <c r="I471" t="s">
        <v>1796</v>
      </c>
      <c r="J471" t="s">
        <v>1796</v>
      </c>
      <c r="K471" t="s">
        <v>1796</v>
      </c>
      <c r="L471" t="s">
        <v>44</v>
      </c>
      <c r="M471">
        <v>0</v>
      </c>
      <c r="N471">
        <v>0</v>
      </c>
      <c r="O471" t="str">
        <f>_xlfn.XLOOKUP(olist_closed_deals_dataset[[#This Row],[mql_id]], leads!A:A, leads!D:D, "Unknow" )</f>
        <v>paid_search</v>
      </c>
      <c r="P471" t="str">
        <f>IF(olist_closed_deals_dataset[[#This Row],[declared_monthly_revenue]] &gt;= 10000, "High Values ", IF(olist_closed_deals_dataset[[#This Row],[declared_monthly_revenue]] &gt; 0, "Stander ", "No Revenue " ))</f>
        <v xml:space="preserve">No Revenue </v>
      </c>
    </row>
    <row r="472" spans="1:16" x14ac:dyDescent="0.2">
      <c r="A472" t="s">
        <v>1042</v>
      </c>
      <c r="B472" t="s">
        <v>1043</v>
      </c>
      <c r="C472" t="s">
        <v>81</v>
      </c>
      <c r="D472" t="s">
        <v>102</v>
      </c>
      <c r="E472" s="1">
        <v>43157.615601851852</v>
      </c>
      <c r="F472" t="s">
        <v>82</v>
      </c>
      <c r="G472" t="s">
        <v>19</v>
      </c>
      <c r="H472" t="s">
        <v>20</v>
      </c>
      <c r="I472" t="s">
        <v>1796</v>
      </c>
      <c r="J472" t="s">
        <v>1796</v>
      </c>
      <c r="K472" t="s">
        <v>1796</v>
      </c>
      <c r="L472" t="s">
        <v>1796</v>
      </c>
      <c r="M472">
        <v>0</v>
      </c>
      <c r="N472">
        <v>0</v>
      </c>
      <c r="O472" t="str">
        <f>_xlfn.XLOOKUP(olist_closed_deals_dataset[[#This Row],[mql_id]], leads!A:A, leads!D:D, "Unknow" )</f>
        <v>organic_search</v>
      </c>
      <c r="P472" t="str">
        <f>IF(olist_closed_deals_dataset[[#This Row],[declared_monthly_revenue]] &gt;= 10000, "High Values ", IF(olist_closed_deals_dataset[[#This Row],[declared_monthly_revenue]] &gt; 0, "Stander ", "No Revenue " ))</f>
        <v xml:space="preserve">No Revenue </v>
      </c>
    </row>
    <row r="473" spans="1:16" x14ac:dyDescent="0.2">
      <c r="A473" t="s">
        <v>1044</v>
      </c>
      <c r="B473" t="s">
        <v>1045</v>
      </c>
      <c r="C473" t="s">
        <v>37</v>
      </c>
      <c r="D473" t="s">
        <v>17</v>
      </c>
      <c r="E473" s="1">
        <v>43116.525266203702</v>
      </c>
      <c r="F473" t="s">
        <v>61</v>
      </c>
      <c r="G473" t="s">
        <v>19</v>
      </c>
      <c r="H473" t="s">
        <v>1796</v>
      </c>
      <c r="I473" t="s">
        <v>1796</v>
      </c>
      <c r="J473" t="s">
        <v>1796</v>
      </c>
      <c r="K473" t="s">
        <v>1796</v>
      </c>
      <c r="L473" t="s">
        <v>44</v>
      </c>
      <c r="M473">
        <v>0</v>
      </c>
      <c r="N473">
        <v>0</v>
      </c>
      <c r="O473" t="str">
        <f>_xlfn.XLOOKUP(olist_closed_deals_dataset[[#This Row],[mql_id]], leads!A:A, leads!D:D, "Unknow" )</f>
        <v>paid_search</v>
      </c>
      <c r="P473" t="str">
        <f>IF(olist_closed_deals_dataset[[#This Row],[declared_monthly_revenue]] &gt;= 10000, "High Values ", IF(olist_closed_deals_dataset[[#This Row],[declared_monthly_revenue]] &gt; 0, "Stander ", "No Revenue " ))</f>
        <v xml:space="preserve">No Revenue </v>
      </c>
    </row>
    <row r="474" spans="1:16" x14ac:dyDescent="0.2">
      <c r="A474" t="s">
        <v>1046</v>
      </c>
      <c r="B474" t="s">
        <v>1047</v>
      </c>
      <c r="C474" t="s">
        <v>71</v>
      </c>
      <c r="D474" t="s">
        <v>17</v>
      </c>
      <c r="E474" s="1">
        <v>43123.771203703705</v>
      </c>
      <c r="F474" t="s">
        <v>128</v>
      </c>
      <c r="G474" t="s">
        <v>57</v>
      </c>
      <c r="H474" t="s">
        <v>1796</v>
      </c>
      <c r="I474" t="s">
        <v>1796</v>
      </c>
      <c r="J474" t="s">
        <v>1796</v>
      </c>
      <c r="K474" t="s">
        <v>1796</v>
      </c>
      <c r="L474" t="s">
        <v>44</v>
      </c>
      <c r="M474">
        <v>0</v>
      </c>
      <c r="N474">
        <v>0</v>
      </c>
      <c r="O474" t="str">
        <f>_xlfn.XLOOKUP(olist_closed_deals_dataset[[#This Row],[mql_id]], leads!A:A, leads!D:D, "Unknow" )</f>
        <v>organic_search</v>
      </c>
      <c r="P474" t="str">
        <f>IF(olist_closed_deals_dataset[[#This Row],[declared_monthly_revenue]] &gt;= 10000, "High Values ", IF(olist_closed_deals_dataset[[#This Row],[declared_monthly_revenue]] &gt; 0, "Stander ", "No Revenue " ))</f>
        <v xml:space="preserve">No Revenue </v>
      </c>
    </row>
    <row r="475" spans="1:16" x14ac:dyDescent="0.2">
      <c r="A475" t="s">
        <v>1048</v>
      </c>
      <c r="B475" t="s">
        <v>1049</v>
      </c>
      <c r="C475" t="s">
        <v>64</v>
      </c>
      <c r="D475" t="s">
        <v>16</v>
      </c>
      <c r="E475" s="1">
        <v>43291.664699074077</v>
      </c>
      <c r="F475" t="s">
        <v>108</v>
      </c>
      <c r="G475" t="s">
        <v>19</v>
      </c>
      <c r="H475" t="s">
        <v>28</v>
      </c>
      <c r="I475" t="b">
        <v>1</v>
      </c>
      <c r="J475" t="b">
        <v>1</v>
      </c>
      <c r="K475" t="s">
        <v>199</v>
      </c>
      <c r="L475" t="s">
        <v>21</v>
      </c>
      <c r="M475">
        <v>0</v>
      </c>
      <c r="N475">
        <v>0</v>
      </c>
      <c r="O475" t="str">
        <f>_xlfn.XLOOKUP(olist_closed_deals_dataset[[#This Row],[mql_id]], leads!A:A, leads!D:D, "Unknow" )</f>
        <v>paid_search</v>
      </c>
      <c r="P475" t="str">
        <f>IF(olist_closed_deals_dataset[[#This Row],[declared_monthly_revenue]] &gt;= 10000, "High Values ", IF(olist_closed_deals_dataset[[#This Row],[declared_monthly_revenue]] &gt; 0, "Stander ", "No Revenue " ))</f>
        <v xml:space="preserve">No Revenue </v>
      </c>
    </row>
    <row r="476" spans="1:16" x14ac:dyDescent="0.2">
      <c r="A476" t="s">
        <v>1050</v>
      </c>
      <c r="B476" t="s">
        <v>1051</v>
      </c>
      <c r="C476" t="s">
        <v>65</v>
      </c>
      <c r="D476" t="s">
        <v>95</v>
      </c>
      <c r="E476" s="1">
        <v>43202.897881944446</v>
      </c>
      <c r="F476" t="s">
        <v>18</v>
      </c>
      <c r="G476" t="s">
        <v>57</v>
      </c>
      <c r="H476" t="s">
        <v>20</v>
      </c>
      <c r="I476" t="s">
        <v>1796</v>
      </c>
      <c r="J476" t="s">
        <v>1796</v>
      </c>
      <c r="K476" t="s">
        <v>1796</v>
      </c>
      <c r="L476" t="s">
        <v>21</v>
      </c>
      <c r="M476">
        <v>0</v>
      </c>
      <c r="N476">
        <v>0</v>
      </c>
      <c r="O476" t="str">
        <f>_xlfn.XLOOKUP(olist_closed_deals_dataset[[#This Row],[mql_id]], leads!A:A, leads!D:D, "Unknow" )</f>
        <v>unknown</v>
      </c>
      <c r="P476" t="str">
        <f>IF(olist_closed_deals_dataset[[#This Row],[declared_monthly_revenue]] &gt;= 10000, "High Values ", IF(olist_closed_deals_dataset[[#This Row],[declared_monthly_revenue]] &gt; 0, "Stander ", "No Revenue " ))</f>
        <v xml:space="preserve">No Revenue </v>
      </c>
    </row>
    <row r="477" spans="1:16" x14ac:dyDescent="0.2">
      <c r="A477" t="s">
        <v>1052</v>
      </c>
      <c r="B477" t="s">
        <v>1053</v>
      </c>
      <c r="C477" t="s">
        <v>127</v>
      </c>
      <c r="D477" t="s">
        <v>95</v>
      </c>
      <c r="E477" s="1">
        <v>43250.743032407408</v>
      </c>
      <c r="F477" t="s">
        <v>26</v>
      </c>
      <c r="G477" t="s">
        <v>34</v>
      </c>
      <c r="H477" t="s">
        <v>20</v>
      </c>
      <c r="I477" t="s">
        <v>1796</v>
      </c>
      <c r="J477" t="s">
        <v>1796</v>
      </c>
      <c r="K477" t="s">
        <v>1796</v>
      </c>
      <c r="L477" t="s">
        <v>21</v>
      </c>
      <c r="M477">
        <v>0</v>
      </c>
      <c r="N477">
        <v>0</v>
      </c>
      <c r="O477" t="str">
        <f>_xlfn.XLOOKUP(olist_closed_deals_dataset[[#This Row],[mql_id]], leads!A:A, leads!D:D, "Unknow" )</f>
        <v>unknown</v>
      </c>
      <c r="P477" t="str">
        <f>IF(olist_closed_deals_dataset[[#This Row],[declared_monthly_revenue]] &gt;= 10000, "High Values ", IF(olist_closed_deals_dataset[[#This Row],[declared_monthly_revenue]] &gt; 0, "Stander ", "No Revenue " ))</f>
        <v xml:space="preserve">No Revenue </v>
      </c>
    </row>
    <row r="478" spans="1:16" x14ac:dyDescent="0.2">
      <c r="A478" t="s">
        <v>1054</v>
      </c>
      <c r="B478" t="s">
        <v>1055</v>
      </c>
      <c r="C478" t="s">
        <v>127</v>
      </c>
      <c r="D478" t="s">
        <v>25</v>
      </c>
      <c r="E478" s="1">
        <v>43228.742349537039</v>
      </c>
      <c r="F478" t="s">
        <v>49</v>
      </c>
      <c r="G478" t="s">
        <v>27</v>
      </c>
      <c r="H478" t="s">
        <v>20</v>
      </c>
      <c r="I478" t="s">
        <v>1796</v>
      </c>
      <c r="J478" t="s">
        <v>1796</v>
      </c>
      <c r="K478" t="s">
        <v>1796</v>
      </c>
      <c r="L478" t="s">
        <v>44</v>
      </c>
      <c r="M478">
        <v>0</v>
      </c>
      <c r="N478">
        <v>0</v>
      </c>
      <c r="O478" t="str">
        <f>_xlfn.XLOOKUP(olist_closed_deals_dataset[[#This Row],[mql_id]], leads!A:A, leads!D:D, "Unknow" )</f>
        <v>paid_search</v>
      </c>
      <c r="P478" t="str">
        <f>IF(olist_closed_deals_dataset[[#This Row],[declared_monthly_revenue]] &gt;= 10000, "High Values ", IF(olist_closed_deals_dataset[[#This Row],[declared_monthly_revenue]] &gt; 0, "Stander ", "No Revenue " ))</f>
        <v xml:space="preserve">No Revenue </v>
      </c>
    </row>
    <row r="479" spans="1:16" x14ac:dyDescent="0.2">
      <c r="A479" t="s">
        <v>1056</v>
      </c>
      <c r="B479" t="s">
        <v>1057</v>
      </c>
      <c r="C479" t="s">
        <v>16</v>
      </c>
      <c r="D479" t="s">
        <v>65</v>
      </c>
      <c r="E479" s="1">
        <v>43214.125</v>
      </c>
      <c r="F479" t="s">
        <v>96</v>
      </c>
      <c r="G479" t="s">
        <v>27</v>
      </c>
      <c r="H479" t="s">
        <v>20</v>
      </c>
      <c r="I479" t="s">
        <v>1796</v>
      </c>
      <c r="J479" t="s">
        <v>1796</v>
      </c>
      <c r="K479" t="s">
        <v>1796</v>
      </c>
      <c r="L479" t="s">
        <v>44</v>
      </c>
      <c r="M479">
        <v>0</v>
      </c>
      <c r="N479">
        <v>0</v>
      </c>
      <c r="O479" t="str">
        <f>_xlfn.XLOOKUP(olist_closed_deals_dataset[[#This Row],[mql_id]], leads!A:A, leads!D:D, "Unknow" )</f>
        <v>organic_search</v>
      </c>
      <c r="P479" t="str">
        <f>IF(olist_closed_deals_dataset[[#This Row],[declared_monthly_revenue]] &gt;= 10000, "High Values ", IF(olist_closed_deals_dataset[[#This Row],[declared_monthly_revenue]] &gt; 0, "Stander ", "No Revenue " ))</f>
        <v xml:space="preserve">No Revenue </v>
      </c>
    </row>
    <row r="480" spans="1:16" x14ac:dyDescent="0.2">
      <c r="A480" t="s">
        <v>1058</v>
      </c>
      <c r="B480" t="s">
        <v>1059</v>
      </c>
      <c r="C480" t="s">
        <v>16</v>
      </c>
      <c r="D480" t="s">
        <v>77</v>
      </c>
      <c r="E480" s="1">
        <v>43174.881736111114</v>
      </c>
      <c r="F480" t="s">
        <v>49</v>
      </c>
      <c r="G480" t="s">
        <v>19</v>
      </c>
      <c r="H480" t="s">
        <v>20</v>
      </c>
      <c r="I480" t="s">
        <v>1796</v>
      </c>
      <c r="J480" t="s">
        <v>1796</v>
      </c>
      <c r="K480" t="s">
        <v>1796</v>
      </c>
      <c r="L480" t="s">
        <v>21</v>
      </c>
      <c r="M480">
        <v>0</v>
      </c>
      <c r="N480">
        <v>0</v>
      </c>
      <c r="O480" t="str">
        <f>_xlfn.XLOOKUP(olist_closed_deals_dataset[[#This Row],[mql_id]], leads!A:A, leads!D:D, "Unknow" )</f>
        <v>email</v>
      </c>
      <c r="P480" t="str">
        <f>IF(olist_closed_deals_dataset[[#This Row],[declared_monthly_revenue]] &gt;= 10000, "High Values ", IF(olist_closed_deals_dataset[[#This Row],[declared_monthly_revenue]] &gt; 0, "Stander ", "No Revenue " ))</f>
        <v xml:space="preserve">No Revenue </v>
      </c>
    </row>
    <row r="481" spans="1:16" x14ac:dyDescent="0.2">
      <c r="A481" t="s">
        <v>1060</v>
      </c>
      <c r="B481" t="s">
        <v>1061</v>
      </c>
      <c r="C481" t="s">
        <v>37</v>
      </c>
      <c r="D481" t="s">
        <v>77</v>
      </c>
      <c r="E481" s="1">
        <v>43140.657430555555</v>
      </c>
      <c r="F481" t="s">
        <v>111</v>
      </c>
      <c r="G481" t="s">
        <v>112</v>
      </c>
      <c r="H481" t="s">
        <v>1796</v>
      </c>
      <c r="I481" t="s">
        <v>1796</v>
      </c>
      <c r="J481" t="s">
        <v>1796</v>
      </c>
      <c r="K481" t="s">
        <v>1796</v>
      </c>
      <c r="L481" t="s">
        <v>21</v>
      </c>
      <c r="M481">
        <v>0</v>
      </c>
      <c r="N481">
        <v>0</v>
      </c>
      <c r="O481" t="str">
        <f>_xlfn.XLOOKUP(olist_closed_deals_dataset[[#This Row],[mql_id]], leads!A:A, leads!D:D, "Unknow" )</f>
        <v>paid_search</v>
      </c>
      <c r="P481" t="str">
        <f>IF(olist_closed_deals_dataset[[#This Row],[declared_monthly_revenue]] &gt;= 10000, "High Values ", IF(olist_closed_deals_dataset[[#This Row],[declared_monthly_revenue]] &gt; 0, "Stander ", "No Revenue " ))</f>
        <v xml:space="preserve">No Revenue </v>
      </c>
    </row>
    <row r="482" spans="1:16" x14ac:dyDescent="0.2">
      <c r="A482" t="s">
        <v>1062</v>
      </c>
      <c r="B482" t="s">
        <v>1063</v>
      </c>
      <c r="C482" t="s">
        <v>37</v>
      </c>
      <c r="D482" t="s">
        <v>32</v>
      </c>
      <c r="E482" s="1">
        <v>43165.561921296299</v>
      </c>
      <c r="F482" t="s">
        <v>92</v>
      </c>
      <c r="G482" t="s">
        <v>57</v>
      </c>
      <c r="H482" t="s">
        <v>20</v>
      </c>
      <c r="I482" t="s">
        <v>1796</v>
      </c>
      <c r="J482" t="s">
        <v>1796</v>
      </c>
      <c r="K482" t="s">
        <v>1796</v>
      </c>
      <c r="L482" t="s">
        <v>44</v>
      </c>
      <c r="M482">
        <v>0</v>
      </c>
      <c r="N482">
        <v>0</v>
      </c>
      <c r="O482" t="str">
        <f>_xlfn.XLOOKUP(olist_closed_deals_dataset[[#This Row],[mql_id]], leads!A:A, leads!D:D, "Unknow" )</f>
        <v>email</v>
      </c>
      <c r="P482" t="str">
        <f>IF(olist_closed_deals_dataset[[#This Row],[declared_monthly_revenue]] &gt;= 10000, "High Values ", IF(olist_closed_deals_dataset[[#This Row],[declared_monthly_revenue]] &gt; 0, "Stander ", "No Revenue " ))</f>
        <v xml:space="preserve">No Revenue </v>
      </c>
    </row>
    <row r="483" spans="1:16" x14ac:dyDescent="0.2">
      <c r="A483" t="s">
        <v>1064</v>
      </c>
      <c r="B483" t="s">
        <v>1065</v>
      </c>
      <c r="C483" t="s">
        <v>65</v>
      </c>
      <c r="D483" t="s">
        <v>48</v>
      </c>
      <c r="E483" s="1">
        <v>43173.516898148147</v>
      </c>
      <c r="F483" t="s">
        <v>96</v>
      </c>
      <c r="G483" t="s">
        <v>19</v>
      </c>
      <c r="H483" t="s">
        <v>20</v>
      </c>
      <c r="I483" t="s">
        <v>1796</v>
      </c>
      <c r="J483" t="s">
        <v>1796</v>
      </c>
      <c r="K483" t="s">
        <v>1796</v>
      </c>
      <c r="L483" t="s">
        <v>44</v>
      </c>
      <c r="M483">
        <v>0</v>
      </c>
      <c r="N483">
        <v>0</v>
      </c>
      <c r="O483" t="str">
        <f>_xlfn.XLOOKUP(olist_closed_deals_dataset[[#This Row],[mql_id]], leads!A:A, leads!D:D, "Unknow" )</f>
        <v>organic_search</v>
      </c>
      <c r="P483" t="str">
        <f>IF(olist_closed_deals_dataset[[#This Row],[declared_monthly_revenue]] &gt;= 10000, "High Values ", IF(olist_closed_deals_dataset[[#This Row],[declared_monthly_revenue]] &gt; 0, "Stander ", "No Revenue " ))</f>
        <v xml:space="preserve">No Revenue </v>
      </c>
    </row>
    <row r="484" spans="1:16" x14ac:dyDescent="0.2">
      <c r="A484" t="s">
        <v>1066</v>
      </c>
      <c r="B484" t="s">
        <v>1067</v>
      </c>
      <c r="C484" t="s">
        <v>509</v>
      </c>
      <c r="D484" t="s">
        <v>16</v>
      </c>
      <c r="E484" s="1">
        <v>43376.772789351853</v>
      </c>
      <c r="F484" t="s">
        <v>26</v>
      </c>
      <c r="G484" t="s">
        <v>57</v>
      </c>
      <c r="H484" t="s">
        <v>1796</v>
      </c>
      <c r="I484" t="s">
        <v>1796</v>
      </c>
      <c r="J484" t="s">
        <v>1796</v>
      </c>
      <c r="K484" t="s">
        <v>1796</v>
      </c>
      <c r="L484" t="s">
        <v>21</v>
      </c>
      <c r="M484">
        <v>300</v>
      </c>
      <c r="N484">
        <v>100000</v>
      </c>
      <c r="O484" t="str">
        <f>_xlfn.XLOOKUP(olist_closed_deals_dataset[[#This Row],[mql_id]], leads!A:A, leads!D:D, "Unknow" )</f>
        <v>paid_search</v>
      </c>
      <c r="P484" t="str">
        <f>IF(olist_closed_deals_dataset[[#This Row],[declared_monthly_revenue]] &gt;= 10000, "High Values ", IF(olist_closed_deals_dataset[[#This Row],[declared_monthly_revenue]] &gt; 0, "Stander ", "No Revenue " ))</f>
        <v xml:space="preserve">High Values </v>
      </c>
    </row>
    <row r="485" spans="1:16" x14ac:dyDescent="0.2">
      <c r="A485" t="s">
        <v>1068</v>
      </c>
      <c r="B485" t="s">
        <v>1069</v>
      </c>
      <c r="C485" t="s">
        <v>42</v>
      </c>
      <c r="D485" t="s">
        <v>74</v>
      </c>
      <c r="E485" s="1">
        <v>43262.808194444442</v>
      </c>
      <c r="F485" t="s">
        <v>92</v>
      </c>
      <c r="G485" t="s">
        <v>57</v>
      </c>
      <c r="H485" t="s">
        <v>20</v>
      </c>
      <c r="I485" t="s">
        <v>1796</v>
      </c>
      <c r="J485" t="s">
        <v>1796</v>
      </c>
      <c r="K485" t="s">
        <v>1796</v>
      </c>
      <c r="L485" t="s">
        <v>21</v>
      </c>
      <c r="M485">
        <v>0</v>
      </c>
      <c r="N485">
        <v>0</v>
      </c>
      <c r="O485" t="str">
        <f>_xlfn.XLOOKUP(olist_closed_deals_dataset[[#This Row],[mql_id]], leads!A:A, leads!D:D, "Unknow" )</f>
        <v>paid_search</v>
      </c>
      <c r="P485" t="str">
        <f>IF(olist_closed_deals_dataset[[#This Row],[declared_monthly_revenue]] &gt;= 10000, "High Values ", IF(olist_closed_deals_dataset[[#This Row],[declared_monthly_revenue]] &gt; 0, "Stander ", "No Revenue " ))</f>
        <v xml:space="preserve">No Revenue </v>
      </c>
    </row>
    <row r="486" spans="1:16" x14ac:dyDescent="0.2">
      <c r="A486" t="s">
        <v>1070</v>
      </c>
      <c r="B486" t="s">
        <v>1071</v>
      </c>
      <c r="C486" t="s">
        <v>42</v>
      </c>
      <c r="D486" t="s">
        <v>17</v>
      </c>
      <c r="E486" s="1">
        <v>43153.752708333333</v>
      </c>
      <c r="F486" t="s">
        <v>26</v>
      </c>
      <c r="G486" t="s">
        <v>34</v>
      </c>
      <c r="H486" t="s">
        <v>43</v>
      </c>
      <c r="I486" t="s">
        <v>1796</v>
      </c>
      <c r="J486" t="s">
        <v>1796</v>
      </c>
      <c r="K486" t="s">
        <v>1796</v>
      </c>
      <c r="L486" t="s">
        <v>44</v>
      </c>
      <c r="M486">
        <v>0</v>
      </c>
      <c r="N486">
        <v>0</v>
      </c>
      <c r="O486" t="str">
        <f>_xlfn.XLOOKUP(olist_closed_deals_dataset[[#This Row],[mql_id]], leads!A:A, leads!D:D, "Unknow" )</f>
        <v>display</v>
      </c>
      <c r="P486" t="str">
        <f>IF(olist_closed_deals_dataset[[#This Row],[declared_monthly_revenue]] &gt;= 10000, "High Values ", IF(olist_closed_deals_dataset[[#This Row],[declared_monthly_revenue]] &gt; 0, "Stander ", "No Revenue " ))</f>
        <v xml:space="preserve">No Revenue </v>
      </c>
    </row>
    <row r="487" spans="1:16" x14ac:dyDescent="0.2">
      <c r="A487" t="s">
        <v>1072</v>
      </c>
      <c r="B487" t="s">
        <v>1073</v>
      </c>
      <c r="C487" t="s">
        <v>71</v>
      </c>
      <c r="D487" t="s">
        <v>17</v>
      </c>
      <c r="E487" s="1">
        <v>43133.474259259259</v>
      </c>
      <c r="F487" t="s">
        <v>221</v>
      </c>
      <c r="G487" t="s">
        <v>19</v>
      </c>
      <c r="H487" t="s">
        <v>1796</v>
      </c>
      <c r="I487" t="s">
        <v>1796</v>
      </c>
      <c r="J487" t="s">
        <v>1796</v>
      </c>
      <c r="K487" t="s">
        <v>1796</v>
      </c>
      <c r="L487" t="s">
        <v>21</v>
      </c>
      <c r="M487">
        <v>0</v>
      </c>
      <c r="N487">
        <v>0</v>
      </c>
      <c r="O487" t="str">
        <f>_xlfn.XLOOKUP(olist_closed_deals_dataset[[#This Row],[mql_id]], leads!A:A, leads!D:D, "Unknow" )</f>
        <v>unknown</v>
      </c>
      <c r="P487" t="str">
        <f>IF(olist_closed_deals_dataset[[#This Row],[declared_monthly_revenue]] &gt;= 10000, "High Values ", IF(olist_closed_deals_dataset[[#This Row],[declared_monthly_revenue]] &gt; 0, "Stander ", "No Revenue " ))</f>
        <v xml:space="preserve">No Revenue </v>
      </c>
    </row>
    <row r="488" spans="1:16" x14ac:dyDescent="0.2">
      <c r="A488" t="s">
        <v>1074</v>
      </c>
      <c r="B488" t="s">
        <v>1075</v>
      </c>
      <c r="C488" t="s">
        <v>37</v>
      </c>
      <c r="D488" t="s">
        <v>102</v>
      </c>
      <c r="E488" s="1">
        <v>43181.552037037036</v>
      </c>
      <c r="F488" t="s">
        <v>61</v>
      </c>
      <c r="G488" t="s">
        <v>19</v>
      </c>
      <c r="H488" t="s">
        <v>28</v>
      </c>
      <c r="I488" t="s">
        <v>1796</v>
      </c>
      <c r="J488" t="s">
        <v>1796</v>
      </c>
      <c r="K488" t="s">
        <v>1796</v>
      </c>
      <c r="L488" t="s">
        <v>44</v>
      </c>
      <c r="M488">
        <v>0</v>
      </c>
      <c r="N488">
        <v>0</v>
      </c>
      <c r="O488" t="str">
        <f>_xlfn.XLOOKUP(olist_closed_deals_dataset[[#This Row],[mql_id]], leads!A:A, leads!D:D, "Unknow" )</f>
        <v>organic_search</v>
      </c>
      <c r="P488" t="str">
        <f>IF(olist_closed_deals_dataset[[#This Row],[declared_monthly_revenue]] &gt;= 10000, "High Values ", IF(olist_closed_deals_dataset[[#This Row],[declared_monthly_revenue]] &gt; 0, "Stander ", "No Revenue " ))</f>
        <v xml:space="preserve">No Revenue </v>
      </c>
    </row>
    <row r="489" spans="1:16" x14ac:dyDescent="0.2">
      <c r="A489" t="s">
        <v>1076</v>
      </c>
      <c r="B489" t="s">
        <v>1077</v>
      </c>
      <c r="C489" t="s">
        <v>31</v>
      </c>
      <c r="D489" t="s">
        <v>16</v>
      </c>
      <c r="E489" s="1">
        <v>43234.559305555558</v>
      </c>
      <c r="F489" t="s">
        <v>78</v>
      </c>
      <c r="G489" t="s">
        <v>57</v>
      </c>
      <c r="H489" t="s">
        <v>20</v>
      </c>
      <c r="I489" t="s">
        <v>1796</v>
      </c>
      <c r="J489" t="s">
        <v>1796</v>
      </c>
      <c r="K489" t="s">
        <v>1796</v>
      </c>
      <c r="L489" t="s">
        <v>21</v>
      </c>
      <c r="M489">
        <v>0</v>
      </c>
      <c r="N489">
        <v>0</v>
      </c>
      <c r="O489" t="str">
        <f>_xlfn.XLOOKUP(olist_closed_deals_dataset[[#This Row],[mql_id]], leads!A:A, leads!D:D, "Unknow" )</f>
        <v>direct_traffic</v>
      </c>
      <c r="P489" t="str">
        <f>IF(olist_closed_deals_dataset[[#This Row],[declared_monthly_revenue]] &gt;= 10000, "High Values ", IF(olist_closed_deals_dataset[[#This Row],[declared_monthly_revenue]] &gt; 0, "Stander ", "No Revenue " ))</f>
        <v xml:space="preserve">No Revenue </v>
      </c>
    </row>
    <row r="490" spans="1:16" x14ac:dyDescent="0.2">
      <c r="A490" t="s">
        <v>1078</v>
      </c>
      <c r="B490" t="s">
        <v>1079</v>
      </c>
      <c r="C490" t="s">
        <v>16</v>
      </c>
      <c r="D490" t="s">
        <v>65</v>
      </c>
      <c r="E490" s="1">
        <v>43202.585312499999</v>
      </c>
      <c r="F490" t="s">
        <v>68</v>
      </c>
      <c r="G490" t="s">
        <v>19</v>
      </c>
      <c r="H490" t="s">
        <v>28</v>
      </c>
      <c r="I490" t="s">
        <v>1796</v>
      </c>
      <c r="J490" t="s">
        <v>1796</v>
      </c>
      <c r="K490" t="s">
        <v>1796</v>
      </c>
      <c r="L490" t="s">
        <v>21</v>
      </c>
      <c r="M490">
        <v>0</v>
      </c>
      <c r="N490">
        <v>0</v>
      </c>
      <c r="O490" t="str">
        <f>_xlfn.XLOOKUP(olist_closed_deals_dataset[[#This Row],[mql_id]], leads!A:A, leads!D:D, "Unknow" )</f>
        <v>display</v>
      </c>
      <c r="P490" t="str">
        <f>IF(olist_closed_deals_dataset[[#This Row],[declared_monthly_revenue]] &gt;= 10000, "High Values ", IF(olist_closed_deals_dataset[[#This Row],[declared_monthly_revenue]] &gt; 0, "Stander ", "No Revenue " ))</f>
        <v xml:space="preserve">No Revenue </v>
      </c>
    </row>
    <row r="491" spans="1:16" x14ac:dyDescent="0.2">
      <c r="A491" t="s">
        <v>1080</v>
      </c>
      <c r="B491" t="s">
        <v>1081</v>
      </c>
      <c r="C491" t="s">
        <v>71</v>
      </c>
      <c r="D491" t="s">
        <v>17</v>
      </c>
      <c r="E491" s="1">
        <v>43130.735763888886</v>
      </c>
      <c r="F491" t="s">
        <v>49</v>
      </c>
      <c r="G491" t="s">
        <v>39</v>
      </c>
      <c r="H491" t="s">
        <v>1796</v>
      </c>
      <c r="I491" t="s">
        <v>1796</v>
      </c>
      <c r="J491" t="s">
        <v>1796</v>
      </c>
      <c r="K491" t="s">
        <v>1796</v>
      </c>
      <c r="L491" t="s">
        <v>21</v>
      </c>
      <c r="M491">
        <v>0</v>
      </c>
      <c r="N491">
        <v>0</v>
      </c>
      <c r="O491" t="str">
        <f>_xlfn.XLOOKUP(olist_closed_deals_dataset[[#This Row],[mql_id]], leads!A:A, leads!D:D, "Unknow" )</f>
        <v>organic_search</v>
      </c>
      <c r="P491" t="str">
        <f>IF(olist_closed_deals_dataset[[#This Row],[declared_monthly_revenue]] &gt;= 10000, "High Values ", IF(olist_closed_deals_dataset[[#This Row],[declared_monthly_revenue]] &gt; 0, "Stander ", "No Revenue " ))</f>
        <v xml:space="preserve">No Revenue </v>
      </c>
    </row>
    <row r="492" spans="1:16" x14ac:dyDescent="0.2">
      <c r="A492" t="s">
        <v>1082</v>
      </c>
      <c r="B492" t="s">
        <v>1083</v>
      </c>
      <c r="C492" t="s">
        <v>47</v>
      </c>
      <c r="D492" t="s">
        <v>17</v>
      </c>
      <c r="E492" s="1">
        <v>43138.656539351854</v>
      </c>
      <c r="F492" t="s">
        <v>96</v>
      </c>
      <c r="G492" t="s">
        <v>39</v>
      </c>
      <c r="H492" t="s">
        <v>1796</v>
      </c>
      <c r="I492" t="s">
        <v>1796</v>
      </c>
      <c r="J492" t="s">
        <v>1796</v>
      </c>
      <c r="K492" t="s">
        <v>1796</v>
      </c>
      <c r="L492" t="s">
        <v>21</v>
      </c>
      <c r="M492">
        <v>0</v>
      </c>
      <c r="N492">
        <v>0</v>
      </c>
      <c r="O492" t="str">
        <f>_xlfn.XLOOKUP(olist_closed_deals_dataset[[#This Row],[mql_id]], leads!A:A, leads!D:D, "Unknow" )</f>
        <v>direct_traffic</v>
      </c>
      <c r="P492" t="str">
        <f>IF(olist_closed_deals_dataset[[#This Row],[declared_monthly_revenue]] &gt;= 10000, "High Values ", IF(olist_closed_deals_dataset[[#This Row],[declared_monthly_revenue]] &gt; 0, "Stander ", "No Revenue " ))</f>
        <v xml:space="preserve">No Revenue </v>
      </c>
    </row>
    <row r="493" spans="1:16" x14ac:dyDescent="0.2">
      <c r="A493" t="s">
        <v>1084</v>
      </c>
      <c r="B493" t="s">
        <v>1085</v>
      </c>
      <c r="C493" t="s">
        <v>71</v>
      </c>
      <c r="D493" t="s">
        <v>25</v>
      </c>
      <c r="E493" s="1">
        <v>43119.083333333336</v>
      </c>
      <c r="F493" t="s">
        <v>186</v>
      </c>
      <c r="G493" t="s">
        <v>39</v>
      </c>
      <c r="H493" t="s">
        <v>1796</v>
      </c>
      <c r="I493" t="s">
        <v>1796</v>
      </c>
      <c r="J493" t="s">
        <v>1796</v>
      </c>
      <c r="K493" t="s">
        <v>1796</v>
      </c>
      <c r="L493" t="s">
        <v>21</v>
      </c>
      <c r="M493">
        <v>0</v>
      </c>
      <c r="N493">
        <v>0</v>
      </c>
      <c r="O493" t="str">
        <f>_xlfn.XLOOKUP(olist_closed_deals_dataset[[#This Row],[mql_id]], leads!A:A, leads!D:D, "Unknow" )</f>
        <v>organic_search</v>
      </c>
      <c r="P493" t="str">
        <f>IF(olist_closed_deals_dataset[[#This Row],[declared_monthly_revenue]] &gt;= 10000, "High Values ", IF(olist_closed_deals_dataset[[#This Row],[declared_monthly_revenue]] &gt; 0, "Stander ", "No Revenue " ))</f>
        <v xml:space="preserve">No Revenue </v>
      </c>
    </row>
    <row r="494" spans="1:16" x14ac:dyDescent="0.2">
      <c r="A494" t="s">
        <v>1086</v>
      </c>
      <c r="B494" t="s">
        <v>1087</v>
      </c>
      <c r="C494" t="s">
        <v>42</v>
      </c>
      <c r="D494" t="s">
        <v>102</v>
      </c>
      <c r="E494" s="1">
        <v>43136.835972222223</v>
      </c>
      <c r="F494" t="s">
        <v>415</v>
      </c>
      <c r="G494" t="s">
        <v>57</v>
      </c>
      <c r="H494" t="s">
        <v>1796</v>
      </c>
      <c r="I494" t="s">
        <v>1796</v>
      </c>
      <c r="J494" t="s">
        <v>1796</v>
      </c>
      <c r="K494" t="s">
        <v>1796</v>
      </c>
      <c r="L494" t="s">
        <v>21</v>
      </c>
      <c r="M494">
        <v>0</v>
      </c>
      <c r="N494">
        <v>0</v>
      </c>
      <c r="O494" t="str">
        <f>_xlfn.XLOOKUP(olist_closed_deals_dataset[[#This Row],[mql_id]], leads!A:A, leads!D:D, "Unknow" )</f>
        <v>referral</v>
      </c>
      <c r="P494" t="str">
        <f>IF(olist_closed_deals_dataset[[#This Row],[declared_monthly_revenue]] &gt;= 10000, "High Values ", IF(olist_closed_deals_dataset[[#This Row],[declared_monthly_revenue]] &gt; 0, "Stander ", "No Revenue " ))</f>
        <v xml:space="preserve">No Revenue </v>
      </c>
    </row>
    <row r="495" spans="1:16" x14ac:dyDescent="0.2">
      <c r="A495" t="s">
        <v>1088</v>
      </c>
      <c r="B495" t="s">
        <v>1089</v>
      </c>
      <c r="C495" t="s">
        <v>65</v>
      </c>
      <c r="D495" t="s">
        <v>95</v>
      </c>
      <c r="E495" s="1">
        <v>43178.851701388892</v>
      </c>
      <c r="F495" t="s">
        <v>38</v>
      </c>
      <c r="G495" t="s">
        <v>19</v>
      </c>
      <c r="H495" t="s">
        <v>20</v>
      </c>
      <c r="I495" t="s">
        <v>1796</v>
      </c>
      <c r="J495" t="s">
        <v>1796</v>
      </c>
      <c r="K495" t="s">
        <v>1796</v>
      </c>
      <c r="L495" t="s">
        <v>21</v>
      </c>
      <c r="M495">
        <v>0</v>
      </c>
      <c r="N495">
        <v>0</v>
      </c>
      <c r="O495" t="str">
        <f>_xlfn.XLOOKUP(olist_closed_deals_dataset[[#This Row],[mql_id]], leads!A:A, leads!D:D, "Unknow" )</f>
        <v>organic_search</v>
      </c>
      <c r="P495" t="str">
        <f>IF(olist_closed_deals_dataset[[#This Row],[declared_monthly_revenue]] &gt;= 10000, "High Values ", IF(olist_closed_deals_dataset[[#This Row],[declared_monthly_revenue]] &gt; 0, "Stander ", "No Revenue " ))</f>
        <v xml:space="preserve">No Revenue </v>
      </c>
    </row>
    <row r="496" spans="1:16" x14ac:dyDescent="0.2">
      <c r="A496" t="s">
        <v>1090</v>
      </c>
      <c r="B496" t="s">
        <v>1091</v>
      </c>
      <c r="C496" t="s">
        <v>37</v>
      </c>
      <c r="D496" t="s">
        <v>89</v>
      </c>
      <c r="E496" s="1">
        <v>43136.757256944446</v>
      </c>
      <c r="F496" t="s">
        <v>18</v>
      </c>
      <c r="G496" t="s">
        <v>19</v>
      </c>
      <c r="H496" t="s">
        <v>1796</v>
      </c>
      <c r="I496" t="s">
        <v>1796</v>
      </c>
      <c r="J496" t="s">
        <v>1796</v>
      </c>
      <c r="K496" t="s">
        <v>1796</v>
      </c>
      <c r="L496" t="s">
        <v>21</v>
      </c>
      <c r="M496">
        <v>0</v>
      </c>
      <c r="N496">
        <v>0</v>
      </c>
      <c r="O496" t="str">
        <f>_xlfn.XLOOKUP(olist_closed_deals_dataset[[#This Row],[mql_id]], leads!A:A, leads!D:D, "Unknow" )</f>
        <v>organic_search</v>
      </c>
      <c r="P496" t="str">
        <f>IF(olist_closed_deals_dataset[[#This Row],[declared_monthly_revenue]] &gt;= 10000, "High Values ", IF(olist_closed_deals_dataset[[#This Row],[declared_monthly_revenue]] &gt; 0, "Stander ", "No Revenue " ))</f>
        <v xml:space="preserve">No Revenue </v>
      </c>
    </row>
    <row r="497" spans="1:16" x14ac:dyDescent="0.2">
      <c r="A497" t="s">
        <v>1092</v>
      </c>
      <c r="B497" t="s">
        <v>1093</v>
      </c>
      <c r="C497" t="s">
        <v>60</v>
      </c>
      <c r="D497" t="s">
        <v>37</v>
      </c>
      <c r="E497" s="1">
        <v>43299.783483796295</v>
      </c>
      <c r="F497" t="s">
        <v>49</v>
      </c>
      <c r="G497" t="s">
        <v>34</v>
      </c>
      <c r="H497" t="s">
        <v>20</v>
      </c>
      <c r="I497" t="s">
        <v>1796</v>
      </c>
      <c r="J497" t="s">
        <v>1796</v>
      </c>
      <c r="K497" t="s">
        <v>1796</v>
      </c>
      <c r="L497" t="s">
        <v>44</v>
      </c>
      <c r="M497">
        <v>0</v>
      </c>
      <c r="N497">
        <v>0</v>
      </c>
      <c r="O497" t="str">
        <f>_xlfn.XLOOKUP(olist_closed_deals_dataset[[#This Row],[mql_id]], leads!A:A, leads!D:D, "Unknow" )</f>
        <v>referral</v>
      </c>
      <c r="P497" t="str">
        <f>IF(olist_closed_deals_dataset[[#This Row],[declared_monthly_revenue]] &gt;= 10000, "High Values ", IF(olist_closed_deals_dataset[[#This Row],[declared_monthly_revenue]] &gt; 0, "Stander ", "No Revenue " ))</f>
        <v xml:space="preserve">No Revenue </v>
      </c>
    </row>
    <row r="498" spans="1:16" x14ac:dyDescent="0.2">
      <c r="A498" t="s">
        <v>1094</v>
      </c>
      <c r="B498" t="s">
        <v>1095</v>
      </c>
      <c r="C498" t="s">
        <v>81</v>
      </c>
      <c r="D498" t="s">
        <v>32</v>
      </c>
      <c r="E498" s="1">
        <v>43173.702824074076</v>
      </c>
      <c r="F498" t="s">
        <v>18</v>
      </c>
      <c r="G498" t="s">
        <v>19</v>
      </c>
      <c r="H498" t="s">
        <v>43</v>
      </c>
      <c r="I498" t="s">
        <v>1796</v>
      </c>
      <c r="J498" t="s">
        <v>1796</v>
      </c>
      <c r="K498" t="s">
        <v>1796</v>
      </c>
      <c r="L498" t="s">
        <v>21</v>
      </c>
      <c r="M498">
        <v>0</v>
      </c>
      <c r="N498">
        <v>0</v>
      </c>
      <c r="O498" t="str">
        <f>_xlfn.XLOOKUP(olist_closed_deals_dataset[[#This Row],[mql_id]], leads!A:A, leads!D:D, "Unknow" )</f>
        <v>email</v>
      </c>
      <c r="P498" t="str">
        <f>IF(olist_closed_deals_dataset[[#This Row],[declared_monthly_revenue]] &gt;= 10000, "High Values ", IF(olist_closed_deals_dataset[[#This Row],[declared_monthly_revenue]] &gt; 0, "Stander ", "No Revenue " ))</f>
        <v xml:space="preserve">No Revenue </v>
      </c>
    </row>
    <row r="499" spans="1:16" x14ac:dyDescent="0.2">
      <c r="A499" t="s">
        <v>1096</v>
      </c>
      <c r="B499" t="s">
        <v>1097</v>
      </c>
      <c r="C499" t="s">
        <v>56</v>
      </c>
      <c r="D499" t="s">
        <v>32</v>
      </c>
      <c r="E499" s="1">
        <v>43234.567245370374</v>
      </c>
      <c r="F499" t="s">
        <v>186</v>
      </c>
      <c r="G499" t="s">
        <v>19</v>
      </c>
      <c r="H499" t="s">
        <v>20</v>
      </c>
      <c r="I499" t="s">
        <v>1796</v>
      </c>
      <c r="J499" t="s">
        <v>1796</v>
      </c>
      <c r="K499" t="s">
        <v>1796</v>
      </c>
      <c r="L499" t="s">
        <v>21</v>
      </c>
      <c r="M499">
        <v>0</v>
      </c>
      <c r="N499">
        <v>0</v>
      </c>
      <c r="O499" t="str">
        <f>_xlfn.XLOOKUP(olist_closed_deals_dataset[[#This Row],[mql_id]], leads!A:A, leads!D:D, "Unknow" )</f>
        <v>unknown</v>
      </c>
      <c r="P499" t="str">
        <f>IF(olist_closed_deals_dataset[[#This Row],[declared_monthly_revenue]] &gt;= 10000, "High Values ", IF(olist_closed_deals_dataset[[#This Row],[declared_monthly_revenue]] &gt; 0, "Stander ", "No Revenue " ))</f>
        <v xml:space="preserve">No Revenue </v>
      </c>
    </row>
    <row r="500" spans="1:16" x14ac:dyDescent="0.2">
      <c r="A500" t="s">
        <v>1098</v>
      </c>
      <c r="B500" t="s">
        <v>1099</v>
      </c>
      <c r="C500" t="s">
        <v>56</v>
      </c>
      <c r="D500" t="s">
        <v>37</v>
      </c>
      <c r="E500" s="1">
        <v>43220.770972222221</v>
      </c>
      <c r="F500" t="s">
        <v>297</v>
      </c>
      <c r="G500" t="s">
        <v>112</v>
      </c>
      <c r="H500" t="s">
        <v>20</v>
      </c>
      <c r="I500" t="s">
        <v>1796</v>
      </c>
      <c r="J500" t="s">
        <v>1796</v>
      </c>
      <c r="K500" t="s">
        <v>1796</v>
      </c>
      <c r="L500" t="s">
        <v>44</v>
      </c>
      <c r="M500">
        <v>0</v>
      </c>
      <c r="N500">
        <v>0</v>
      </c>
      <c r="O500" t="str">
        <f>_xlfn.XLOOKUP(olist_closed_deals_dataset[[#This Row],[mql_id]], leads!A:A, leads!D:D, "Unknow" )</f>
        <v>referral</v>
      </c>
      <c r="P500" t="str">
        <f>IF(olist_closed_deals_dataset[[#This Row],[declared_monthly_revenue]] &gt;= 10000, "High Values ", IF(olist_closed_deals_dataset[[#This Row],[declared_monthly_revenue]] &gt; 0, "Stander ", "No Revenue " ))</f>
        <v xml:space="preserve">No Revenue </v>
      </c>
    </row>
    <row r="501" spans="1:16" x14ac:dyDescent="0.2">
      <c r="A501" t="s">
        <v>1100</v>
      </c>
      <c r="B501" t="s">
        <v>1101</v>
      </c>
      <c r="C501" t="s">
        <v>71</v>
      </c>
      <c r="D501" t="s">
        <v>17</v>
      </c>
      <c r="E501" s="1">
        <v>43124.481620370374</v>
      </c>
      <c r="F501" t="s">
        <v>53</v>
      </c>
      <c r="G501" t="s">
        <v>34</v>
      </c>
      <c r="H501" t="s">
        <v>1796</v>
      </c>
      <c r="I501" t="s">
        <v>1796</v>
      </c>
      <c r="J501" t="s">
        <v>1796</v>
      </c>
      <c r="K501" t="s">
        <v>1796</v>
      </c>
      <c r="L501" t="s">
        <v>21</v>
      </c>
      <c r="M501">
        <v>0</v>
      </c>
      <c r="N501">
        <v>0</v>
      </c>
      <c r="O501" t="str">
        <f>_xlfn.XLOOKUP(olist_closed_deals_dataset[[#This Row],[mql_id]], leads!A:A, leads!D:D, "Unknow" )</f>
        <v>paid_search</v>
      </c>
      <c r="P501" t="str">
        <f>IF(olist_closed_deals_dataset[[#This Row],[declared_monthly_revenue]] &gt;= 10000, "High Values ", IF(olist_closed_deals_dataset[[#This Row],[declared_monthly_revenue]] &gt; 0, "Stander ", "No Revenue " ))</f>
        <v xml:space="preserve">No Revenue </v>
      </c>
    </row>
    <row r="502" spans="1:16" x14ac:dyDescent="0.2">
      <c r="A502" t="s">
        <v>1102</v>
      </c>
      <c r="B502" t="s">
        <v>1103</v>
      </c>
      <c r="C502" t="s">
        <v>42</v>
      </c>
      <c r="D502" t="s">
        <v>48</v>
      </c>
      <c r="E502" s="1">
        <v>43186.125</v>
      </c>
      <c r="F502" t="s">
        <v>18</v>
      </c>
      <c r="G502" t="s">
        <v>19</v>
      </c>
      <c r="H502" t="s">
        <v>43</v>
      </c>
      <c r="I502" t="s">
        <v>1796</v>
      </c>
      <c r="J502" t="s">
        <v>1796</v>
      </c>
      <c r="K502" t="s">
        <v>1796</v>
      </c>
      <c r="L502" t="s">
        <v>21</v>
      </c>
      <c r="M502">
        <v>0</v>
      </c>
      <c r="N502">
        <v>0</v>
      </c>
      <c r="O502" t="str">
        <f>_xlfn.XLOOKUP(olist_closed_deals_dataset[[#This Row],[mql_id]], leads!A:A, leads!D:D, "Unknow" )</f>
        <v>organic_search</v>
      </c>
      <c r="P502" t="str">
        <f>IF(olist_closed_deals_dataset[[#This Row],[declared_monthly_revenue]] &gt;= 10000, "High Values ", IF(olist_closed_deals_dataset[[#This Row],[declared_monthly_revenue]] &gt; 0, "Stander ", "No Revenue " ))</f>
        <v xml:space="preserve">No Revenue </v>
      </c>
    </row>
    <row r="503" spans="1:16" x14ac:dyDescent="0.2">
      <c r="A503" t="s">
        <v>1104</v>
      </c>
      <c r="B503" t="s">
        <v>1105</v>
      </c>
      <c r="C503" t="s">
        <v>60</v>
      </c>
      <c r="D503" t="s">
        <v>52</v>
      </c>
      <c r="E503" s="1">
        <v>43242.530995370369</v>
      </c>
      <c r="F503" t="s">
        <v>274</v>
      </c>
      <c r="G503" t="s">
        <v>112</v>
      </c>
      <c r="H503" t="s">
        <v>43</v>
      </c>
      <c r="I503" t="s">
        <v>1796</v>
      </c>
      <c r="J503" t="s">
        <v>1796</v>
      </c>
      <c r="K503" t="s">
        <v>1796</v>
      </c>
      <c r="L503" t="s">
        <v>44</v>
      </c>
      <c r="M503">
        <v>0</v>
      </c>
      <c r="N503">
        <v>0</v>
      </c>
      <c r="O503" t="str">
        <f>_xlfn.XLOOKUP(olist_closed_deals_dataset[[#This Row],[mql_id]], leads!A:A, leads!D:D, "Unknow" )</f>
        <v>organic_search</v>
      </c>
      <c r="P503" t="str">
        <f>IF(olist_closed_deals_dataset[[#This Row],[declared_monthly_revenue]] &gt;= 10000, "High Values ", IF(olist_closed_deals_dataset[[#This Row],[declared_monthly_revenue]] &gt; 0, "Stander ", "No Revenue " ))</f>
        <v xml:space="preserve">No Revenue </v>
      </c>
    </row>
    <row r="504" spans="1:16" x14ac:dyDescent="0.2">
      <c r="A504" t="s">
        <v>1106</v>
      </c>
      <c r="B504" t="s">
        <v>1107</v>
      </c>
      <c r="C504" t="s">
        <v>37</v>
      </c>
      <c r="D504" t="s">
        <v>17</v>
      </c>
      <c r="E504" s="1">
        <v>43173.516423611109</v>
      </c>
      <c r="F504" t="s">
        <v>96</v>
      </c>
      <c r="G504" t="s">
        <v>57</v>
      </c>
      <c r="H504" t="s">
        <v>20</v>
      </c>
      <c r="I504" t="s">
        <v>1796</v>
      </c>
      <c r="J504" t="s">
        <v>1796</v>
      </c>
      <c r="K504" t="s">
        <v>1796</v>
      </c>
      <c r="L504" t="s">
        <v>21</v>
      </c>
      <c r="M504">
        <v>0</v>
      </c>
      <c r="N504">
        <v>0</v>
      </c>
      <c r="O504" t="str">
        <f>_xlfn.XLOOKUP(olist_closed_deals_dataset[[#This Row],[mql_id]], leads!A:A, leads!D:D, "Unknow" )</f>
        <v>unknown</v>
      </c>
      <c r="P504" t="str">
        <f>IF(olist_closed_deals_dataset[[#This Row],[declared_monthly_revenue]] &gt;= 10000, "High Values ", IF(olist_closed_deals_dataset[[#This Row],[declared_monthly_revenue]] &gt; 0, "Stander ", "No Revenue " ))</f>
        <v xml:space="preserve">No Revenue </v>
      </c>
    </row>
    <row r="505" spans="1:16" x14ac:dyDescent="0.2">
      <c r="A505" t="s">
        <v>1108</v>
      </c>
      <c r="B505" t="s">
        <v>1109</v>
      </c>
      <c r="C505" t="s">
        <v>127</v>
      </c>
      <c r="D505" t="s">
        <v>52</v>
      </c>
      <c r="E505" s="1">
        <v>43278.633634259262</v>
      </c>
      <c r="F505" t="s">
        <v>186</v>
      </c>
      <c r="G505" t="s">
        <v>27</v>
      </c>
      <c r="H505" t="s">
        <v>43</v>
      </c>
      <c r="I505" t="s">
        <v>1796</v>
      </c>
      <c r="J505" t="s">
        <v>1796</v>
      </c>
      <c r="K505" t="s">
        <v>1796</v>
      </c>
      <c r="L505" t="s">
        <v>44</v>
      </c>
      <c r="M505">
        <v>0</v>
      </c>
      <c r="N505">
        <v>0</v>
      </c>
      <c r="O505" t="str">
        <f>_xlfn.XLOOKUP(olist_closed_deals_dataset[[#This Row],[mql_id]], leads!A:A, leads!D:D, "Unknow" )</f>
        <v>paid_search</v>
      </c>
      <c r="P505" t="str">
        <f>IF(olist_closed_deals_dataset[[#This Row],[declared_monthly_revenue]] &gt;= 10000, "High Values ", IF(olist_closed_deals_dataset[[#This Row],[declared_monthly_revenue]] &gt; 0, "Stander ", "No Revenue " ))</f>
        <v xml:space="preserve">No Revenue </v>
      </c>
    </row>
    <row r="506" spans="1:16" x14ac:dyDescent="0.2">
      <c r="A506" t="s">
        <v>1110</v>
      </c>
      <c r="B506" t="s">
        <v>1111</v>
      </c>
      <c r="C506" t="s">
        <v>1112</v>
      </c>
      <c r="D506" t="s">
        <v>25</v>
      </c>
      <c r="E506" s="1">
        <v>43333.521226851852</v>
      </c>
      <c r="F506" t="s">
        <v>53</v>
      </c>
      <c r="G506" t="s">
        <v>19</v>
      </c>
      <c r="H506" t="s">
        <v>20</v>
      </c>
      <c r="I506" t="b">
        <v>1</v>
      </c>
      <c r="J506" t="b">
        <v>1</v>
      </c>
      <c r="K506" t="s">
        <v>142</v>
      </c>
      <c r="L506" t="s">
        <v>21</v>
      </c>
      <c r="M506">
        <v>30</v>
      </c>
      <c r="N506">
        <v>5000</v>
      </c>
      <c r="O506" t="str">
        <f>_xlfn.XLOOKUP(olist_closed_deals_dataset[[#This Row],[mql_id]], leads!A:A, leads!D:D, "Unknow" )</f>
        <v>unknown</v>
      </c>
      <c r="P506" t="str">
        <f>IF(olist_closed_deals_dataset[[#This Row],[declared_monthly_revenue]] &gt;= 10000, "High Values ", IF(olist_closed_deals_dataset[[#This Row],[declared_monthly_revenue]] &gt; 0, "Stander ", "No Revenue " ))</f>
        <v xml:space="preserve">Stander </v>
      </c>
    </row>
    <row r="507" spans="1:16" x14ac:dyDescent="0.2">
      <c r="A507" t="s">
        <v>1113</v>
      </c>
      <c r="B507" t="s">
        <v>1114</v>
      </c>
      <c r="C507" t="s">
        <v>64</v>
      </c>
      <c r="D507" t="s">
        <v>17</v>
      </c>
      <c r="E507" s="1">
        <v>43185.862870370373</v>
      </c>
      <c r="F507" t="s">
        <v>49</v>
      </c>
      <c r="G507" t="s">
        <v>34</v>
      </c>
      <c r="H507" t="s">
        <v>28</v>
      </c>
      <c r="I507" t="s">
        <v>1796</v>
      </c>
      <c r="J507" t="s">
        <v>1796</v>
      </c>
      <c r="K507" t="s">
        <v>1796</v>
      </c>
      <c r="L507" t="s">
        <v>21</v>
      </c>
      <c r="M507">
        <v>0</v>
      </c>
      <c r="N507">
        <v>0</v>
      </c>
      <c r="O507" t="str">
        <f>_xlfn.XLOOKUP(olist_closed_deals_dataset[[#This Row],[mql_id]], leads!A:A, leads!D:D, "Unknow" )</f>
        <v>paid_search</v>
      </c>
      <c r="P507" t="str">
        <f>IF(olist_closed_deals_dataset[[#This Row],[declared_monthly_revenue]] &gt;= 10000, "High Values ", IF(olist_closed_deals_dataset[[#This Row],[declared_monthly_revenue]] &gt; 0, "Stander ", "No Revenue " ))</f>
        <v xml:space="preserve">No Revenue </v>
      </c>
    </row>
    <row r="508" spans="1:16" x14ac:dyDescent="0.2">
      <c r="A508" t="s">
        <v>1115</v>
      </c>
      <c r="B508" t="s">
        <v>1116</v>
      </c>
      <c r="C508" t="s">
        <v>42</v>
      </c>
      <c r="D508" t="s">
        <v>52</v>
      </c>
      <c r="E508" s="1">
        <v>43220.602256944447</v>
      </c>
      <c r="F508" t="s">
        <v>96</v>
      </c>
      <c r="G508" t="s">
        <v>27</v>
      </c>
      <c r="H508" t="s">
        <v>20</v>
      </c>
      <c r="I508" t="s">
        <v>1796</v>
      </c>
      <c r="J508" t="s">
        <v>1796</v>
      </c>
      <c r="K508" t="s">
        <v>1796</v>
      </c>
      <c r="L508" t="s">
        <v>44</v>
      </c>
      <c r="M508">
        <v>0</v>
      </c>
      <c r="N508">
        <v>0</v>
      </c>
      <c r="O508" t="str">
        <f>_xlfn.XLOOKUP(olist_closed_deals_dataset[[#This Row],[mql_id]], leads!A:A, leads!D:D, "Unknow" )</f>
        <v>organic_search</v>
      </c>
      <c r="P508" t="str">
        <f>IF(olist_closed_deals_dataset[[#This Row],[declared_monthly_revenue]] &gt;= 10000, "High Values ", IF(olist_closed_deals_dataset[[#This Row],[declared_monthly_revenue]] &gt; 0, "Stander ", "No Revenue " ))</f>
        <v xml:space="preserve">No Revenue </v>
      </c>
    </row>
    <row r="509" spans="1:16" x14ac:dyDescent="0.2">
      <c r="A509" t="s">
        <v>1117</v>
      </c>
      <c r="B509" t="s">
        <v>1118</v>
      </c>
      <c r="C509" t="s">
        <v>16</v>
      </c>
      <c r="D509" t="s">
        <v>17</v>
      </c>
      <c r="E509" s="1">
        <v>43201.568773148145</v>
      </c>
      <c r="F509" t="s">
        <v>68</v>
      </c>
      <c r="G509" t="s">
        <v>39</v>
      </c>
      <c r="H509" t="s">
        <v>20</v>
      </c>
      <c r="I509" t="s">
        <v>1796</v>
      </c>
      <c r="J509" t="s">
        <v>1796</v>
      </c>
      <c r="K509" t="s">
        <v>1796</v>
      </c>
      <c r="L509" t="s">
        <v>21</v>
      </c>
      <c r="M509">
        <v>0</v>
      </c>
      <c r="N509">
        <v>0</v>
      </c>
      <c r="O509" t="str">
        <f>_xlfn.XLOOKUP(olist_closed_deals_dataset[[#This Row],[mql_id]], leads!A:A, leads!D:D, "Unknow" )</f>
        <v>unknown</v>
      </c>
      <c r="P509" t="str">
        <f>IF(olist_closed_deals_dataset[[#This Row],[declared_monthly_revenue]] &gt;= 10000, "High Values ", IF(olist_closed_deals_dataset[[#This Row],[declared_monthly_revenue]] &gt; 0, "Stander ", "No Revenue " ))</f>
        <v xml:space="preserve">No Revenue </v>
      </c>
    </row>
    <row r="510" spans="1:16" x14ac:dyDescent="0.2">
      <c r="A510" t="s">
        <v>1119</v>
      </c>
      <c r="B510" t="s">
        <v>1120</v>
      </c>
      <c r="C510" t="s">
        <v>47</v>
      </c>
      <c r="D510" t="s">
        <v>95</v>
      </c>
      <c r="E510" s="1">
        <v>43122.64503472222</v>
      </c>
      <c r="F510" t="s">
        <v>61</v>
      </c>
      <c r="G510" t="s">
        <v>39</v>
      </c>
      <c r="H510" t="s">
        <v>1796</v>
      </c>
      <c r="I510" t="s">
        <v>1796</v>
      </c>
      <c r="J510" t="s">
        <v>1796</v>
      </c>
      <c r="K510" t="s">
        <v>1796</v>
      </c>
      <c r="L510" t="s">
        <v>21</v>
      </c>
      <c r="M510">
        <v>0</v>
      </c>
      <c r="N510">
        <v>0</v>
      </c>
      <c r="O510" t="str">
        <f>_xlfn.XLOOKUP(olist_closed_deals_dataset[[#This Row],[mql_id]], leads!A:A, leads!D:D, "Unknow" )</f>
        <v>unknown</v>
      </c>
      <c r="P510" t="str">
        <f>IF(olist_closed_deals_dataset[[#This Row],[declared_monthly_revenue]] &gt;= 10000, "High Values ", IF(olist_closed_deals_dataset[[#This Row],[declared_monthly_revenue]] &gt; 0, "Stander ", "No Revenue " ))</f>
        <v xml:space="preserve">No Revenue </v>
      </c>
    </row>
    <row r="511" spans="1:16" x14ac:dyDescent="0.2">
      <c r="A511" t="s">
        <v>1121</v>
      </c>
      <c r="B511" t="s">
        <v>1122</v>
      </c>
      <c r="C511" t="s">
        <v>42</v>
      </c>
      <c r="D511" t="s">
        <v>32</v>
      </c>
      <c r="E511" s="1">
        <v>43138.468472222223</v>
      </c>
      <c r="F511" t="s">
        <v>96</v>
      </c>
      <c r="G511" t="s">
        <v>19</v>
      </c>
      <c r="H511" t="s">
        <v>1796</v>
      </c>
      <c r="I511" t="s">
        <v>1796</v>
      </c>
      <c r="J511" t="s">
        <v>1796</v>
      </c>
      <c r="K511" t="s">
        <v>1796</v>
      </c>
      <c r="L511" t="s">
        <v>21</v>
      </c>
      <c r="M511">
        <v>0</v>
      </c>
      <c r="N511">
        <v>0</v>
      </c>
      <c r="O511" t="str">
        <f>_xlfn.XLOOKUP(olist_closed_deals_dataset[[#This Row],[mql_id]], leads!A:A, leads!D:D, "Unknow" )</f>
        <v>organic_search</v>
      </c>
      <c r="P511" t="str">
        <f>IF(olist_closed_deals_dataset[[#This Row],[declared_monthly_revenue]] &gt;= 10000, "High Values ", IF(olist_closed_deals_dataset[[#This Row],[declared_monthly_revenue]] &gt; 0, "Stander ", "No Revenue " ))</f>
        <v xml:space="preserve">No Revenue </v>
      </c>
    </row>
    <row r="512" spans="1:16" x14ac:dyDescent="0.2">
      <c r="A512" t="s">
        <v>1123</v>
      </c>
      <c r="B512" t="s">
        <v>1124</v>
      </c>
      <c r="C512" t="s">
        <v>81</v>
      </c>
      <c r="D512" t="s">
        <v>95</v>
      </c>
      <c r="E512" s="1">
        <v>43173.822129629632</v>
      </c>
      <c r="F512" t="s">
        <v>96</v>
      </c>
      <c r="G512" t="s">
        <v>99</v>
      </c>
      <c r="H512" t="s">
        <v>20</v>
      </c>
      <c r="I512" t="s">
        <v>1796</v>
      </c>
      <c r="J512" t="s">
        <v>1796</v>
      </c>
      <c r="K512" t="s">
        <v>1796</v>
      </c>
      <c r="L512" t="s">
        <v>44</v>
      </c>
      <c r="M512">
        <v>0</v>
      </c>
      <c r="N512">
        <v>0</v>
      </c>
      <c r="O512" t="str">
        <f>_xlfn.XLOOKUP(olist_closed_deals_dataset[[#This Row],[mql_id]], leads!A:A, leads!D:D, "Unknow" )</f>
        <v>unknown</v>
      </c>
      <c r="P512" t="str">
        <f>IF(olist_closed_deals_dataset[[#This Row],[declared_monthly_revenue]] &gt;= 10000, "High Values ", IF(olist_closed_deals_dataset[[#This Row],[declared_monthly_revenue]] &gt; 0, "Stander ", "No Revenue " ))</f>
        <v xml:space="preserve">No Revenue </v>
      </c>
    </row>
    <row r="513" spans="1:16" x14ac:dyDescent="0.2">
      <c r="A513" t="s">
        <v>1125</v>
      </c>
      <c r="B513" t="s">
        <v>1126</v>
      </c>
      <c r="C513" t="s">
        <v>1112</v>
      </c>
      <c r="D513" t="s">
        <v>42</v>
      </c>
      <c r="E513" s="1">
        <v>43370.73337962963</v>
      </c>
      <c r="F513" t="s">
        <v>103</v>
      </c>
      <c r="G513" t="s">
        <v>19</v>
      </c>
      <c r="H513" t="s">
        <v>20</v>
      </c>
      <c r="I513" t="b">
        <v>0</v>
      </c>
      <c r="J513" t="b">
        <v>1</v>
      </c>
      <c r="K513" t="s">
        <v>352</v>
      </c>
      <c r="L513" t="s">
        <v>21</v>
      </c>
      <c r="M513">
        <v>85</v>
      </c>
      <c r="N513">
        <v>0</v>
      </c>
      <c r="O513" t="str">
        <f>_xlfn.XLOOKUP(olist_closed_deals_dataset[[#This Row],[mql_id]], leads!A:A, leads!D:D, "Unknow" )</f>
        <v>organic_search</v>
      </c>
      <c r="P513" t="str">
        <f>IF(olist_closed_deals_dataset[[#This Row],[declared_monthly_revenue]] &gt;= 10000, "High Values ", IF(olist_closed_deals_dataset[[#This Row],[declared_monthly_revenue]] &gt; 0, "Stander ", "No Revenue " ))</f>
        <v xml:space="preserve">No Revenue </v>
      </c>
    </row>
    <row r="514" spans="1:16" x14ac:dyDescent="0.2">
      <c r="A514" t="s">
        <v>1127</v>
      </c>
      <c r="B514" t="s">
        <v>1128</v>
      </c>
      <c r="C514" t="s">
        <v>127</v>
      </c>
      <c r="D514" t="s">
        <v>16</v>
      </c>
      <c r="E514" s="1">
        <v>43237.529340277775</v>
      </c>
      <c r="F514" t="s">
        <v>96</v>
      </c>
      <c r="G514" t="s">
        <v>19</v>
      </c>
      <c r="H514" t="s">
        <v>28</v>
      </c>
      <c r="I514" t="s">
        <v>1796</v>
      </c>
      <c r="J514" t="s">
        <v>1796</v>
      </c>
      <c r="K514" t="s">
        <v>1796</v>
      </c>
      <c r="L514" t="s">
        <v>44</v>
      </c>
      <c r="M514">
        <v>0</v>
      </c>
      <c r="N514">
        <v>0</v>
      </c>
      <c r="O514" t="str">
        <f>_xlfn.XLOOKUP(olist_closed_deals_dataset[[#This Row],[mql_id]], leads!A:A, leads!D:D, "Unknow" )</f>
        <v>social</v>
      </c>
      <c r="P514" t="str">
        <f>IF(olist_closed_deals_dataset[[#This Row],[declared_monthly_revenue]] &gt;= 10000, "High Values ", IF(olist_closed_deals_dataset[[#This Row],[declared_monthly_revenue]] &gt; 0, "Stander ", "No Revenue " ))</f>
        <v xml:space="preserve">No Revenue </v>
      </c>
    </row>
    <row r="515" spans="1:16" x14ac:dyDescent="0.2">
      <c r="A515" t="s">
        <v>1129</v>
      </c>
      <c r="B515" t="s">
        <v>1130</v>
      </c>
      <c r="C515" t="s">
        <v>159</v>
      </c>
      <c r="D515" t="s">
        <v>17</v>
      </c>
      <c r="E515" s="1">
        <v>43255.533182870371</v>
      </c>
      <c r="F515" t="s">
        <v>53</v>
      </c>
      <c r="G515" t="s">
        <v>19</v>
      </c>
      <c r="H515" t="s">
        <v>20</v>
      </c>
      <c r="I515" t="s">
        <v>1796</v>
      </c>
      <c r="J515" t="s">
        <v>1796</v>
      </c>
      <c r="K515" t="s">
        <v>1796</v>
      </c>
      <c r="L515" t="s">
        <v>21</v>
      </c>
      <c r="M515">
        <v>0</v>
      </c>
      <c r="N515">
        <v>0</v>
      </c>
      <c r="O515" t="str">
        <f>_xlfn.XLOOKUP(olist_closed_deals_dataset[[#This Row],[mql_id]], leads!A:A, leads!D:D, "Unknow" )</f>
        <v>organic_search</v>
      </c>
      <c r="P515" t="str">
        <f>IF(olist_closed_deals_dataset[[#This Row],[declared_monthly_revenue]] &gt;= 10000, "High Values ", IF(olist_closed_deals_dataset[[#This Row],[declared_monthly_revenue]] &gt; 0, "Stander ", "No Revenue " ))</f>
        <v xml:space="preserve">No Revenue </v>
      </c>
    </row>
    <row r="516" spans="1:16" x14ac:dyDescent="0.2">
      <c r="A516" t="s">
        <v>1131</v>
      </c>
      <c r="B516" t="s">
        <v>1132</v>
      </c>
      <c r="C516" t="s">
        <v>64</v>
      </c>
      <c r="D516" t="s">
        <v>81</v>
      </c>
      <c r="E516" s="1">
        <v>43238.814351851855</v>
      </c>
      <c r="F516" t="s">
        <v>49</v>
      </c>
      <c r="G516" t="s">
        <v>19</v>
      </c>
      <c r="H516" t="s">
        <v>28</v>
      </c>
      <c r="I516" t="s">
        <v>1796</v>
      </c>
      <c r="J516" t="s">
        <v>1796</v>
      </c>
      <c r="K516" t="s">
        <v>1796</v>
      </c>
      <c r="L516" t="s">
        <v>21</v>
      </c>
      <c r="M516">
        <v>0</v>
      </c>
      <c r="N516">
        <v>0</v>
      </c>
      <c r="O516" t="str">
        <f>_xlfn.XLOOKUP(olist_closed_deals_dataset[[#This Row],[mql_id]], leads!A:A, leads!D:D, "Unknow" )</f>
        <v>unknown</v>
      </c>
      <c r="P516" t="str">
        <f>IF(olist_closed_deals_dataset[[#This Row],[declared_monthly_revenue]] &gt;= 10000, "High Values ", IF(olist_closed_deals_dataset[[#This Row],[declared_monthly_revenue]] &gt; 0, "Stander ", "No Revenue " ))</f>
        <v xml:space="preserve">No Revenue </v>
      </c>
    </row>
    <row r="517" spans="1:16" x14ac:dyDescent="0.2">
      <c r="A517" t="s">
        <v>1133</v>
      </c>
      <c r="B517" t="s">
        <v>1134</v>
      </c>
      <c r="C517" t="s">
        <v>81</v>
      </c>
      <c r="D517" t="s">
        <v>52</v>
      </c>
      <c r="E517" s="1">
        <v>43213.879930555559</v>
      </c>
      <c r="F517" t="s">
        <v>138</v>
      </c>
      <c r="G517" t="s">
        <v>19</v>
      </c>
      <c r="H517" t="s">
        <v>20</v>
      </c>
      <c r="I517" t="s">
        <v>1796</v>
      </c>
      <c r="J517" t="s">
        <v>1796</v>
      </c>
      <c r="K517" t="s">
        <v>1796</v>
      </c>
      <c r="L517" t="s">
        <v>21</v>
      </c>
      <c r="M517">
        <v>0</v>
      </c>
      <c r="N517">
        <v>0</v>
      </c>
      <c r="O517" t="str">
        <f>_xlfn.XLOOKUP(olist_closed_deals_dataset[[#This Row],[mql_id]], leads!A:A, leads!D:D, "Unknow" )</f>
        <v>paid_search</v>
      </c>
      <c r="P517" t="str">
        <f>IF(olist_closed_deals_dataset[[#This Row],[declared_monthly_revenue]] &gt;= 10000, "High Values ", IF(olist_closed_deals_dataset[[#This Row],[declared_monthly_revenue]] &gt; 0, "Stander ", "No Revenue " ))</f>
        <v xml:space="preserve">No Revenue </v>
      </c>
    </row>
    <row r="518" spans="1:16" x14ac:dyDescent="0.2">
      <c r="A518" t="s">
        <v>1135</v>
      </c>
      <c r="B518" t="s">
        <v>1136</v>
      </c>
      <c r="C518" t="s">
        <v>81</v>
      </c>
      <c r="D518" t="s">
        <v>25</v>
      </c>
      <c r="E518" s="1">
        <v>43150.825740740744</v>
      </c>
      <c r="F518" t="s">
        <v>103</v>
      </c>
      <c r="G518" t="s">
        <v>19</v>
      </c>
      <c r="H518" t="s">
        <v>1796</v>
      </c>
      <c r="I518" t="s">
        <v>1796</v>
      </c>
      <c r="J518" t="s">
        <v>1796</v>
      </c>
      <c r="K518" t="s">
        <v>1796</v>
      </c>
      <c r="L518" t="s">
        <v>44</v>
      </c>
      <c r="M518">
        <v>0</v>
      </c>
      <c r="N518">
        <v>0</v>
      </c>
      <c r="O518" t="str">
        <f>_xlfn.XLOOKUP(olist_closed_deals_dataset[[#This Row],[mql_id]], leads!A:A, leads!D:D, "Unknow" )</f>
        <v>paid_search</v>
      </c>
      <c r="P518" t="str">
        <f>IF(olist_closed_deals_dataset[[#This Row],[declared_monthly_revenue]] &gt;= 10000, "High Values ", IF(olist_closed_deals_dataset[[#This Row],[declared_monthly_revenue]] &gt; 0, "Stander ", "No Revenue " ))</f>
        <v xml:space="preserve">No Revenue </v>
      </c>
    </row>
    <row r="519" spans="1:16" x14ac:dyDescent="0.2">
      <c r="A519" t="s">
        <v>1137</v>
      </c>
      <c r="B519" t="s">
        <v>1138</v>
      </c>
      <c r="C519" t="s">
        <v>16</v>
      </c>
      <c r="D519" t="s">
        <v>74</v>
      </c>
      <c r="E519" s="1">
        <v>43213.558275462965</v>
      </c>
      <c r="F519" t="s">
        <v>85</v>
      </c>
      <c r="G519" t="s">
        <v>57</v>
      </c>
      <c r="H519" t="s">
        <v>20</v>
      </c>
      <c r="I519" t="s">
        <v>1796</v>
      </c>
      <c r="J519" t="s">
        <v>1796</v>
      </c>
      <c r="K519" t="s">
        <v>1796</v>
      </c>
      <c r="L519" t="s">
        <v>21</v>
      </c>
      <c r="M519">
        <v>0</v>
      </c>
      <c r="N519">
        <v>0</v>
      </c>
      <c r="O519" t="str">
        <f>_xlfn.XLOOKUP(olist_closed_deals_dataset[[#This Row],[mql_id]], leads!A:A, leads!D:D, "Unknow" )</f>
        <v>organic_search</v>
      </c>
      <c r="P519" t="str">
        <f>IF(olist_closed_deals_dataset[[#This Row],[declared_monthly_revenue]] &gt;= 10000, "High Values ", IF(olist_closed_deals_dataset[[#This Row],[declared_monthly_revenue]] &gt; 0, "Stander ", "No Revenue " ))</f>
        <v xml:space="preserve">No Revenue </v>
      </c>
    </row>
    <row r="520" spans="1:16" x14ac:dyDescent="0.2">
      <c r="A520" t="s">
        <v>1139</v>
      </c>
      <c r="B520" t="s">
        <v>1140</v>
      </c>
      <c r="C520" t="s">
        <v>159</v>
      </c>
      <c r="D520" t="s">
        <v>56</v>
      </c>
      <c r="E520" s="1">
        <v>43301.762662037036</v>
      </c>
      <c r="F520" t="s">
        <v>53</v>
      </c>
      <c r="G520" t="s">
        <v>19</v>
      </c>
      <c r="H520" t="s">
        <v>28</v>
      </c>
      <c r="I520" t="b">
        <v>0</v>
      </c>
      <c r="J520" t="b">
        <v>1</v>
      </c>
      <c r="K520" t="s">
        <v>352</v>
      </c>
      <c r="L520" t="s">
        <v>21</v>
      </c>
      <c r="M520">
        <v>0</v>
      </c>
      <c r="N520">
        <v>0</v>
      </c>
      <c r="O520" t="str">
        <f>_xlfn.XLOOKUP(olist_closed_deals_dataset[[#This Row],[mql_id]], leads!A:A, leads!D:D, "Unknow" )</f>
        <v>paid_search</v>
      </c>
      <c r="P520" t="str">
        <f>IF(olist_closed_deals_dataset[[#This Row],[declared_monthly_revenue]] &gt;= 10000, "High Values ", IF(olist_closed_deals_dataset[[#This Row],[declared_monthly_revenue]] &gt; 0, "Stander ", "No Revenue " ))</f>
        <v xml:space="preserve">No Revenue </v>
      </c>
    </row>
    <row r="521" spans="1:16" x14ac:dyDescent="0.2">
      <c r="A521" t="s">
        <v>1141</v>
      </c>
      <c r="B521" t="s">
        <v>1142</v>
      </c>
      <c r="C521" t="s">
        <v>16</v>
      </c>
      <c r="D521" t="s">
        <v>17</v>
      </c>
      <c r="E521" s="1">
        <v>43301.854398148149</v>
      </c>
      <c r="F521" t="s">
        <v>494</v>
      </c>
      <c r="G521" t="s">
        <v>57</v>
      </c>
      <c r="H521" t="s">
        <v>43</v>
      </c>
      <c r="I521" t="s">
        <v>1796</v>
      </c>
      <c r="J521" t="s">
        <v>1796</v>
      </c>
      <c r="K521" t="s">
        <v>1796</v>
      </c>
      <c r="L521" t="s">
        <v>44</v>
      </c>
      <c r="M521">
        <v>0</v>
      </c>
      <c r="N521">
        <v>0</v>
      </c>
      <c r="O521" t="str">
        <f>_xlfn.XLOOKUP(olist_closed_deals_dataset[[#This Row],[mql_id]], leads!A:A, leads!D:D, "Unknow" )</f>
        <v>organic_search</v>
      </c>
      <c r="P521" t="str">
        <f>IF(olist_closed_deals_dataset[[#This Row],[declared_monthly_revenue]] &gt;= 10000, "High Values ", IF(olist_closed_deals_dataset[[#This Row],[declared_monthly_revenue]] &gt; 0, "Stander ", "No Revenue " ))</f>
        <v xml:space="preserve">No Revenue </v>
      </c>
    </row>
    <row r="522" spans="1:16" x14ac:dyDescent="0.2">
      <c r="A522" t="s">
        <v>1143</v>
      </c>
      <c r="B522" t="s">
        <v>1144</v>
      </c>
      <c r="C522" t="s">
        <v>81</v>
      </c>
      <c r="D522" t="s">
        <v>25</v>
      </c>
      <c r="E522" s="1">
        <v>43203.125</v>
      </c>
      <c r="F522" t="s">
        <v>108</v>
      </c>
      <c r="G522" t="s">
        <v>19</v>
      </c>
      <c r="H522" t="s">
        <v>20</v>
      </c>
      <c r="I522" t="s">
        <v>1796</v>
      </c>
      <c r="J522" t="s">
        <v>1796</v>
      </c>
      <c r="K522" t="s">
        <v>1796</v>
      </c>
      <c r="L522" t="s">
        <v>21</v>
      </c>
      <c r="M522">
        <v>0</v>
      </c>
      <c r="N522">
        <v>0</v>
      </c>
      <c r="O522" t="str">
        <f>_xlfn.XLOOKUP(olist_closed_deals_dataset[[#This Row],[mql_id]], leads!A:A, leads!D:D, "Unknow" )</f>
        <v>paid_search</v>
      </c>
      <c r="P522" t="str">
        <f>IF(olist_closed_deals_dataset[[#This Row],[declared_monthly_revenue]] &gt;= 10000, "High Values ", IF(olist_closed_deals_dataset[[#This Row],[declared_monthly_revenue]] &gt; 0, "Stander ", "No Revenue " ))</f>
        <v xml:space="preserve">No Revenue </v>
      </c>
    </row>
    <row r="523" spans="1:16" x14ac:dyDescent="0.2">
      <c r="A523" t="s">
        <v>1145</v>
      </c>
      <c r="B523" t="s">
        <v>1146</v>
      </c>
      <c r="C523" t="s">
        <v>159</v>
      </c>
      <c r="D523" t="s">
        <v>81</v>
      </c>
      <c r="E523" s="1">
        <v>43290.538159722222</v>
      </c>
      <c r="F523" t="s">
        <v>49</v>
      </c>
      <c r="G523" t="s">
        <v>19</v>
      </c>
      <c r="H523" t="s">
        <v>28</v>
      </c>
      <c r="I523" t="s">
        <v>1796</v>
      </c>
      <c r="J523" t="s">
        <v>1796</v>
      </c>
      <c r="K523" t="s">
        <v>1796</v>
      </c>
      <c r="L523" t="s">
        <v>44</v>
      </c>
      <c r="M523">
        <v>0</v>
      </c>
      <c r="N523">
        <v>0</v>
      </c>
      <c r="O523" t="str">
        <f>_xlfn.XLOOKUP(olist_closed_deals_dataset[[#This Row],[mql_id]], leads!A:A, leads!D:D, "Unknow" )</f>
        <v>paid_search</v>
      </c>
      <c r="P523" t="str">
        <f>IF(olist_closed_deals_dataset[[#This Row],[declared_monthly_revenue]] &gt;= 10000, "High Values ", IF(olist_closed_deals_dataset[[#This Row],[declared_monthly_revenue]] &gt; 0, "Stander ", "No Revenue " ))</f>
        <v xml:space="preserve">No Revenue </v>
      </c>
    </row>
    <row r="524" spans="1:16" x14ac:dyDescent="0.2">
      <c r="A524" t="s">
        <v>1147</v>
      </c>
      <c r="B524" t="s">
        <v>1148</v>
      </c>
      <c r="C524" t="s">
        <v>16</v>
      </c>
      <c r="D524" t="s">
        <v>52</v>
      </c>
      <c r="E524" s="1">
        <v>43294.495138888888</v>
      </c>
      <c r="F524" t="s">
        <v>797</v>
      </c>
      <c r="G524" t="s">
        <v>19</v>
      </c>
      <c r="H524" t="s">
        <v>20</v>
      </c>
      <c r="I524" t="s">
        <v>1796</v>
      </c>
      <c r="J524" t="s">
        <v>1796</v>
      </c>
      <c r="K524" t="s">
        <v>1796</v>
      </c>
      <c r="L524" t="s">
        <v>21</v>
      </c>
      <c r="M524">
        <v>0</v>
      </c>
      <c r="N524">
        <v>0</v>
      </c>
      <c r="O524" t="str">
        <f>_xlfn.XLOOKUP(olist_closed_deals_dataset[[#This Row],[mql_id]], leads!A:A, leads!D:D, "Unknow" )</f>
        <v>organic_search</v>
      </c>
      <c r="P524" t="str">
        <f>IF(olist_closed_deals_dataset[[#This Row],[declared_monthly_revenue]] &gt;= 10000, "High Values ", IF(olist_closed_deals_dataset[[#This Row],[declared_monthly_revenue]] &gt; 0, "Stander ", "No Revenue " ))</f>
        <v xml:space="preserve">No Revenue </v>
      </c>
    </row>
    <row r="525" spans="1:16" x14ac:dyDescent="0.2">
      <c r="A525" t="s">
        <v>1149</v>
      </c>
      <c r="B525" t="s">
        <v>1150</v>
      </c>
      <c r="C525" t="s">
        <v>81</v>
      </c>
      <c r="D525" t="s">
        <v>48</v>
      </c>
      <c r="E525" s="1">
        <v>43241.737164351849</v>
      </c>
      <c r="F525" t="s">
        <v>49</v>
      </c>
      <c r="G525" t="s">
        <v>19</v>
      </c>
      <c r="H525" t="s">
        <v>20</v>
      </c>
      <c r="I525" t="s">
        <v>1796</v>
      </c>
      <c r="J525" t="s">
        <v>1796</v>
      </c>
      <c r="K525" t="s">
        <v>1796</v>
      </c>
      <c r="L525" t="s">
        <v>21</v>
      </c>
      <c r="M525">
        <v>0</v>
      </c>
      <c r="N525">
        <v>0</v>
      </c>
      <c r="O525" t="str">
        <f>_xlfn.XLOOKUP(olist_closed_deals_dataset[[#This Row],[mql_id]], leads!A:A, leads!D:D, "Unknow" )</f>
        <v>email</v>
      </c>
      <c r="P525" t="str">
        <f>IF(olist_closed_deals_dataset[[#This Row],[declared_monthly_revenue]] &gt;= 10000, "High Values ", IF(olist_closed_deals_dataset[[#This Row],[declared_monthly_revenue]] &gt; 0, "Stander ", "No Revenue " ))</f>
        <v xml:space="preserve">No Revenue </v>
      </c>
    </row>
    <row r="526" spans="1:16" x14ac:dyDescent="0.2">
      <c r="A526" t="s">
        <v>1151</v>
      </c>
      <c r="B526" t="s">
        <v>1152</v>
      </c>
      <c r="C526" t="s">
        <v>127</v>
      </c>
      <c r="D526" t="s">
        <v>52</v>
      </c>
      <c r="E526" s="1">
        <v>43200.81559027778</v>
      </c>
      <c r="F526" t="s">
        <v>138</v>
      </c>
      <c r="G526" t="s">
        <v>19</v>
      </c>
      <c r="H526" t="s">
        <v>20</v>
      </c>
      <c r="I526" t="s">
        <v>1796</v>
      </c>
      <c r="J526" t="s">
        <v>1796</v>
      </c>
      <c r="K526" t="s">
        <v>1796</v>
      </c>
      <c r="L526" t="s">
        <v>21</v>
      </c>
      <c r="M526">
        <v>0</v>
      </c>
      <c r="N526">
        <v>0</v>
      </c>
      <c r="O526" t="str">
        <f>_xlfn.XLOOKUP(olist_closed_deals_dataset[[#This Row],[mql_id]], leads!A:A, leads!D:D, "Unknow" )</f>
        <v>direct_traffic</v>
      </c>
      <c r="P526" t="str">
        <f>IF(olist_closed_deals_dataset[[#This Row],[declared_monthly_revenue]] &gt;= 10000, "High Values ", IF(olist_closed_deals_dataset[[#This Row],[declared_monthly_revenue]] &gt; 0, "Stander ", "No Revenue " ))</f>
        <v xml:space="preserve">No Revenue </v>
      </c>
    </row>
    <row r="527" spans="1:16" x14ac:dyDescent="0.2">
      <c r="A527" t="s">
        <v>1153</v>
      </c>
      <c r="B527" t="s">
        <v>1154</v>
      </c>
      <c r="C527" t="s">
        <v>42</v>
      </c>
      <c r="D527" t="s">
        <v>32</v>
      </c>
      <c r="E527" s="1">
        <v>43188.712256944447</v>
      </c>
      <c r="F527" t="s">
        <v>61</v>
      </c>
      <c r="G527" t="s">
        <v>19</v>
      </c>
      <c r="H527" t="s">
        <v>43</v>
      </c>
      <c r="I527" t="s">
        <v>1796</v>
      </c>
      <c r="J527" t="s">
        <v>1796</v>
      </c>
      <c r="K527" t="s">
        <v>1796</v>
      </c>
      <c r="L527" t="s">
        <v>44</v>
      </c>
      <c r="M527">
        <v>0</v>
      </c>
      <c r="N527">
        <v>0</v>
      </c>
      <c r="O527" t="str">
        <f>_xlfn.XLOOKUP(olist_closed_deals_dataset[[#This Row],[mql_id]], leads!A:A, leads!D:D, "Unknow" )</f>
        <v>direct_traffic</v>
      </c>
      <c r="P527" t="str">
        <f>IF(olist_closed_deals_dataset[[#This Row],[declared_monthly_revenue]] &gt;= 10000, "High Values ", IF(olist_closed_deals_dataset[[#This Row],[declared_monthly_revenue]] &gt; 0, "Stander ", "No Revenue " ))</f>
        <v xml:space="preserve">No Revenue </v>
      </c>
    </row>
    <row r="528" spans="1:16" x14ac:dyDescent="0.2">
      <c r="A528" t="s">
        <v>1155</v>
      </c>
      <c r="B528" t="s">
        <v>1156</v>
      </c>
      <c r="C528" t="s">
        <v>42</v>
      </c>
      <c r="D528" t="s">
        <v>89</v>
      </c>
      <c r="E528" s="1">
        <v>43168.573495370372</v>
      </c>
      <c r="F528" t="s">
        <v>415</v>
      </c>
      <c r="G528" t="s">
        <v>34</v>
      </c>
      <c r="H528" t="s">
        <v>20</v>
      </c>
      <c r="I528" t="s">
        <v>1796</v>
      </c>
      <c r="J528" t="s">
        <v>1796</v>
      </c>
      <c r="K528" t="s">
        <v>1796</v>
      </c>
      <c r="L528" t="s">
        <v>21</v>
      </c>
      <c r="M528">
        <v>0</v>
      </c>
      <c r="N528">
        <v>0</v>
      </c>
      <c r="O528" t="str">
        <f>_xlfn.XLOOKUP(olist_closed_deals_dataset[[#This Row],[mql_id]], leads!A:A, leads!D:D, "Unknow" )</f>
        <v>organic_search</v>
      </c>
      <c r="P528" t="str">
        <f>IF(olist_closed_deals_dataset[[#This Row],[declared_monthly_revenue]] &gt;= 10000, "High Values ", IF(olist_closed_deals_dataset[[#This Row],[declared_monthly_revenue]] &gt; 0, "Stander ", "No Revenue " ))</f>
        <v xml:space="preserve">No Revenue </v>
      </c>
    </row>
    <row r="529" spans="1:16" x14ac:dyDescent="0.2">
      <c r="A529" t="s">
        <v>1157</v>
      </c>
      <c r="B529" t="s">
        <v>1158</v>
      </c>
      <c r="C529" t="s">
        <v>37</v>
      </c>
      <c r="D529" t="s">
        <v>17</v>
      </c>
      <c r="E529" s="1">
        <v>43112.516331018516</v>
      </c>
      <c r="F529" t="s">
        <v>337</v>
      </c>
      <c r="G529" t="s">
        <v>34</v>
      </c>
      <c r="H529" t="s">
        <v>1796</v>
      </c>
      <c r="I529" t="s">
        <v>1796</v>
      </c>
      <c r="J529" t="s">
        <v>1796</v>
      </c>
      <c r="K529" t="s">
        <v>1796</v>
      </c>
      <c r="L529" t="s">
        <v>21</v>
      </c>
      <c r="M529">
        <v>0</v>
      </c>
      <c r="N529">
        <v>0</v>
      </c>
      <c r="O529" t="str">
        <f>_xlfn.XLOOKUP(olist_closed_deals_dataset[[#This Row],[mql_id]], leads!A:A, leads!D:D, "Unknow" )</f>
        <v>organic_search</v>
      </c>
      <c r="P529" t="str">
        <f>IF(olist_closed_deals_dataset[[#This Row],[declared_monthly_revenue]] &gt;= 10000, "High Values ", IF(olist_closed_deals_dataset[[#This Row],[declared_monthly_revenue]] &gt; 0, "Stander ", "No Revenue " ))</f>
        <v xml:space="preserve">No Revenue </v>
      </c>
    </row>
    <row r="530" spans="1:16" x14ac:dyDescent="0.2">
      <c r="A530" t="s">
        <v>1159</v>
      </c>
      <c r="B530" t="s">
        <v>1160</v>
      </c>
      <c r="C530" t="s">
        <v>60</v>
      </c>
      <c r="D530" t="s">
        <v>71</v>
      </c>
      <c r="E530" s="1">
        <v>43210.68712962963</v>
      </c>
      <c r="F530" t="s">
        <v>415</v>
      </c>
      <c r="G530" t="s">
        <v>57</v>
      </c>
      <c r="H530" t="s">
        <v>20</v>
      </c>
      <c r="I530" t="s">
        <v>1796</v>
      </c>
      <c r="J530" t="s">
        <v>1796</v>
      </c>
      <c r="K530" t="s">
        <v>1796</v>
      </c>
      <c r="L530" t="s">
        <v>1796</v>
      </c>
      <c r="M530">
        <v>0</v>
      </c>
      <c r="N530">
        <v>0</v>
      </c>
      <c r="O530" t="str">
        <f>_xlfn.XLOOKUP(olist_closed_deals_dataset[[#This Row],[mql_id]], leads!A:A, leads!D:D, "Unknow" )</f>
        <v>organic_search</v>
      </c>
      <c r="P530" t="str">
        <f>IF(olist_closed_deals_dataset[[#This Row],[declared_monthly_revenue]] &gt;= 10000, "High Values ", IF(olist_closed_deals_dataset[[#This Row],[declared_monthly_revenue]] &gt; 0, "Stander ", "No Revenue " ))</f>
        <v xml:space="preserve">No Revenue </v>
      </c>
    </row>
    <row r="531" spans="1:16" x14ac:dyDescent="0.2">
      <c r="A531" t="s">
        <v>1161</v>
      </c>
      <c r="B531" t="s">
        <v>1162</v>
      </c>
      <c r="C531" t="s">
        <v>224</v>
      </c>
      <c r="D531" t="s">
        <v>42</v>
      </c>
      <c r="E531" s="1">
        <v>43375.892812500002</v>
      </c>
      <c r="F531" t="s">
        <v>26</v>
      </c>
      <c r="G531" t="s">
        <v>19</v>
      </c>
      <c r="H531" t="s">
        <v>20</v>
      </c>
      <c r="I531" t="b">
        <v>1</v>
      </c>
      <c r="J531" t="b">
        <v>1</v>
      </c>
      <c r="K531" t="s">
        <v>199</v>
      </c>
      <c r="L531" t="s">
        <v>21</v>
      </c>
      <c r="M531">
        <v>75</v>
      </c>
      <c r="N531">
        <v>25000</v>
      </c>
      <c r="O531" t="str">
        <f>_xlfn.XLOOKUP(olist_closed_deals_dataset[[#This Row],[mql_id]], leads!A:A, leads!D:D, "Unknow" )</f>
        <v>paid_search</v>
      </c>
      <c r="P531" t="str">
        <f>IF(olist_closed_deals_dataset[[#This Row],[declared_monthly_revenue]] &gt;= 10000, "High Values ", IF(olist_closed_deals_dataset[[#This Row],[declared_monthly_revenue]] &gt; 0, "Stander ", "No Revenue " ))</f>
        <v xml:space="preserve">High Values </v>
      </c>
    </row>
    <row r="532" spans="1:16" x14ac:dyDescent="0.2">
      <c r="A532" t="s">
        <v>1163</v>
      </c>
      <c r="B532" t="s">
        <v>1164</v>
      </c>
      <c r="C532" t="s">
        <v>71</v>
      </c>
      <c r="D532" t="s">
        <v>25</v>
      </c>
      <c r="E532" s="1">
        <v>43130.51222222222</v>
      </c>
      <c r="F532" t="s">
        <v>49</v>
      </c>
      <c r="G532" t="s">
        <v>112</v>
      </c>
      <c r="H532" t="s">
        <v>1796</v>
      </c>
      <c r="I532" t="s">
        <v>1796</v>
      </c>
      <c r="J532" t="s">
        <v>1796</v>
      </c>
      <c r="K532" t="s">
        <v>1796</v>
      </c>
      <c r="L532" t="s">
        <v>21</v>
      </c>
      <c r="M532">
        <v>0</v>
      </c>
      <c r="N532">
        <v>0</v>
      </c>
      <c r="O532" t="str">
        <f>_xlfn.XLOOKUP(olist_closed_deals_dataset[[#This Row],[mql_id]], leads!A:A, leads!D:D, "Unknow" )</f>
        <v>organic_search</v>
      </c>
      <c r="P532" t="str">
        <f>IF(olist_closed_deals_dataset[[#This Row],[declared_monthly_revenue]] &gt;= 10000, "High Values ", IF(olist_closed_deals_dataset[[#This Row],[declared_monthly_revenue]] &gt; 0, "Stander ", "No Revenue " ))</f>
        <v xml:space="preserve">No Revenue </v>
      </c>
    </row>
    <row r="533" spans="1:16" x14ac:dyDescent="0.2">
      <c r="A533" t="s">
        <v>1165</v>
      </c>
      <c r="B533" t="s">
        <v>1166</v>
      </c>
      <c r="C533" t="s">
        <v>65</v>
      </c>
      <c r="D533" t="s">
        <v>89</v>
      </c>
      <c r="E533" s="1">
        <v>43179.578622685185</v>
      </c>
      <c r="F533" t="s">
        <v>138</v>
      </c>
      <c r="G533" t="s">
        <v>19</v>
      </c>
      <c r="H533" t="s">
        <v>20</v>
      </c>
      <c r="I533" t="s">
        <v>1796</v>
      </c>
      <c r="J533" t="s">
        <v>1796</v>
      </c>
      <c r="K533" t="s">
        <v>1796</v>
      </c>
      <c r="L533" t="s">
        <v>44</v>
      </c>
      <c r="M533">
        <v>0</v>
      </c>
      <c r="N533">
        <v>0</v>
      </c>
      <c r="O533" t="str">
        <f>_xlfn.XLOOKUP(olist_closed_deals_dataset[[#This Row],[mql_id]], leads!A:A, leads!D:D, "Unknow" )</f>
        <v>organic_search</v>
      </c>
      <c r="P533" t="str">
        <f>IF(olist_closed_deals_dataset[[#This Row],[declared_monthly_revenue]] &gt;= 10000, "High Values ", IF(olist_closed_deals_dataset[[#This Row],[declared_monthly_revenue]] &gt; 0, "Stander ", "No Revenue " ))</f>
        <v xml:space="preserve">No Revenue </v>
      </c>
    </row>
    <row r="534" spans="1:16" x14ac:dyDescent="0.2">
      <c r="A534" t="s">
        <v>1167</v>
      </c>
      <c r="B534" t="s">
        <v>1168</v>
      </c>
      <c r="C534" t="s">
        <v>16</v>
      </c>
      <c r="D534" t="s">
        <v>48</v>
      </c>
      <c r="E534" s="1">
        <v>43203.125</v>
      </c>
      <c r="F534" t="s">
        <v>85</v>
      </c>
      <c r="G534" t="s">
        <v>57</v>
      </c>
      <c r="H534" t="s">
        <v>20</v>
      </c>
      <c r="I534" t="s">
        <v>1796</v>
      </c>
      <c r="J534" t="s">
        <v>1796</v>
      </c>
      <c r="K534" t="s">
        <v>1796</v>
      </c>
      <c r="L534" t="s">
        <v>21</v>
      </c>
      <c r="M534">
        <v>0</v>
      </c>
      <c r="N534">
        <v>0</v>
      </c>
      <c r="O534" t="str">
        <f>_xlfn.XLOOKUP(olist_closed_deals_dataset[[#This Row],[mql_id]], leads!A:A, leads!D:D, "Unknow" )</f>
        <v>email</v>
      </c>
      <c r="P534" t="str">
        <f>IF(olist_closed_deals_dataset[[#This Row],[declared_monthly_revenue]] &gt;= 10000, "High Values ", IF(olist_closed_deals_dataset[[#This Row],[declared_monthly_revenue]] &gt; 0, "Stander ", "No Revenue " ))</f>
        <v xml:space="preserve">No Revenue </v>
      </c>
    </row>
    <row r="535" spans="1:16" x14ac:dyDescent="0.2">
      <c r="A535" t="s">
        <v>1169</v>
      </c>
      <c r="B535" t="s">
        <v>1170</v>
      </c>
      <c r="C535" t="s">
        <v>159</v>
      </c>
      <c r="D535" t="s">
        <v>81</v>
      </c>
      <c r="E535" s="1">
        <v>43381.723877314813</v>
      </c>
      <c r="F535" t="s">
        <v>96</v>
      </c>
      <c r="G535" t="s">
        <v>19</v>
      </c>
      <c r="H535" t="s">
        <v>43</v>
      </c>
      <c r="I535" t="b">
        <v>1</v>
      </c>
      <c r="J535" t="b">
        <v>1</v>
      </c>
      <c r="K535" t="s">
        <v>142</v>
      </c>
      <c r="L535" t="s">
        <v>21</v>
      </c>
      <c r="M535">
        <v>70</v>
      </c>
      <c r="N535">
        <v>30000</v>
      </c>
      <c r="O535" t="str">
        <f>_xlfn.XLOOKUP(olist_closed_deals_dataset[[#This Row],[mql_id]], leads!A:A, leads!D:D, "Unknow" )</f>
        <v>unknown</v>
      </c>
      <c r="P535" t="str">
        <f>IF(olist_closed_deals_dataset[[#This Row],[declared_monthly_revenue]] &gt;= 10000, "High Values ", IF(olist_closed_deals_dataset[[#This Row],[declared_monthly_revenue]] &gt; 0, "Stander ", "No Revenue " ))</f>
        <v xml:space="preserve">High Values </v>
      </c>
    </row>
    <row r="536" spans="1:16" x14ac:dyDescent="0.2">
      <c r="A536" t="s">
        <v>1171</v>
      </c>
      <c r="B536" t="s">
        <v>1172</v>
      </c>
      <c r="C536" t="s">
        <v>71</v>
      </c>
      <c r="D536" t="s">
        <v>77</v>
      </c>
      <c r="E536" s="1">
        <v>43129.441574074073</v>
      </c>
      <c r="F536" t="s">
        <v>186</v>
      </c>
      <c r="G536" t="s">
        <v>112</v>
      </c>
      <c r="H536" t="s">
        <v>1796</v>
      </c>
      <c r="I536" t="s">
        <v>1796</v>
      </c>
      <c r="J536" t="s">
        <v>1796</v>
      </c>
      <c r="K536" t="s">
        <v>1796</v>
      </c>
      <c r="L536" t="s">
        <v>44</v>
      </c>
      <c r="M536">
        <v>0</v>
      </c>
      <c r="N536">
        <v>0</v>
      </c>
      <c r="O536" t="str">
        <f>_xlfn.XLOOKUP(olist_closed_deals_dataset[[#This Row],[mql_id]], leads!A:A, leads!D:D, "Unknow" )</f>
        <v>direct_traffic</v>
      </c>
      <c r="P536" t="str">
        <f>IF(olist_closed_deals_dataset[[#This Row],[declared_monthly_revenue]] &gt;= 10000, "High Values ", IF(olist_closed_deals_dataset[[#This Row],[declared_monthly_revenue]] &gt; 0, "Stander ", "No Revenue " ))</f>
        <v xml:space="preserve">No Revenue </v>
      </c>
    </row>
    <row r="537" spans="1:16" x14ac:dyDescent="0.2">
      <c r="A537" t="s">
        <v>1173</v>
      </c>
      <c r="B537" t="s">
        <v>1174</v>
      </c>
      <c r="C537" t="s">
        <v>65</v>
      </c>
      <c r="D537" t="s">
        <v>52</v>
      </c>
      <c r="E537" s="1">
        <v>43186.897824074076</v>
      </c>
      <c r="F537" t="s">
        <v>96</v>
      </c>
      <c r="G537" t="s">
        <v>19</v>
      </c>
      <c r="H537" t="s">
        <v>20</v>
      </c>
      <c r="I537" t="s">
        <v>1796</v>
      </c>
      <c r="J537" t="s">
        <v>1796</v>
      </c>
      <c r="K537" t="s">
        <v>1796</v>
      </c>
      <c r="L537" t="s">
        <v>44</v>
      </c>
      <c r="M537">
        <v>0</v>
      </c>
      <c r="N537">
        <v>0</v>
      </c>
      <c r="O537" t="str">
        <f>_xlfn.XLOOKUP(olist_closed_deals_dataset[[#This Row],[mql_id]], leads!A:A, leads!D:D, "Unknow" )</f>
        <v>organic_search</v>
      </c>
      <c r="P537" t="str">
        <f>IF(olist_closed_deals_dataset[[#This Row],[declared_monthly_revenue]] &gt;= 10000, "High Values ", IF(olist_closed_deals_dataset[[#This Row],[declared_monthly_revenue]] &gt; 0, "Stander ", "No Revenue " ))</f>
        <v xml:space="preserve">No Revenue </v>
      </c>
    </row>
    <row r="538" spans="1:16" x14ac:dyDescent="0.2">
      <c r="A538" t="s">
        <v>1175</v>
      </c>
      <c r="B538" t="s">
        <v>1176</v>
      </c>
      <c r="C538" t="s">
        <v>42</v>
      </c>
      <c r="D538" t="s">
        <v>25</v>
      </c>
      <c r="E538" s="1">
        <v>43146.517094907409</v>
      </c>
      <c r="F538" t="s">
        <v>38</v>
      </c>
      <c r="G538" t="s">
        <v>39</v>
      </c>
      <c r="H538" t="s">
        <v>1796</v>
      </c>
      <c r="I538" t="s">
        <v>1796</v>
      </c>
      <c r="J538" t="s">
        <v>1796</v>
      </c>
      <c r="K538" t="s">
        <v>1796</v>
      </c>
      <c r="L538" t="s">
        <v>21</v>
      </c>
      <c r="M538">
        <v>0</v>
      </c>
      <c r="N538">
        <v>0</v>
      </c>
      <c r="O538" t="str">
        <f>_xlfn.XLOOKUP(olist_closed_deals_dataset[[#This Row],[mql_id]], leads!A:A, leads!D:D, "Unknow" )</f>
        <v>social</v>
      </c>
      <c r="P538" t="str">
        <f>IF(olist_closed_deals_dataset[[#This Row],[declared_monthly_revenue]] &gt;= 10000, "High Values ", IF(olist_closed_deals_dataset[[#This Row],[declared_monthly_revenue]] &gt; 0, "Stander ", "No Revenue " ))</f>
        <v xml:space="preserve">No Revenue </v>
      </c>
    </row>
    <row r="539" spans="1:16" x14ac:dyDescent="0.2">
      <c r="A539" t="s">
        <v>1177</v>
      </c>
      <c r="B539" t="s">
        <v>1178</v>
      </c>
      <c r="C539" t="s">
        <v>64</v>
      </c>
      <c r="D539" t="s">
        <v>71</v>
      </c>
      <c r="E539" s="1">
        <v>43193.514687499999</v>
      </c>
      <c r="F539" t="s">
        <v>26</v>
      </c>
      <c r="G539" t="s">
        <v>57</v>
      </c>
      <c r="H539" t="s">
        <v>20</v>
      </c>
      <c r="I539" t="s">
        <v>1796</v>
      </c>
      <c r="J539" t="s">
        <v>1796</v>
      </c>
      <c r="K539" t="s">
        <v>1796</v>
      </c>
      <c r="L539" t="s">
        <v>21</v>
      </c>
      <c r="M539">
        <v>0</v>
      </c>
      <c r="N539">
        <v>0</v>
      </c>
      <c r="O539" t="str">
        <f>_xlfn.XLOOKUP(olist_closed_deals_dataset[[#This Row],[mql_id]], leads!A:A, leads!D:D, "Unknow" )</f>
        <v>organic_search</v>
      </c>
      <c r="P539" t="str">
        <f>IF(olist_closed_deals_dataset[[#This Row],[declared_monthly_revenue]] &gt;= 10000, "High Values ", IF(olist_closed_deals_dataset[[#This Row],[declared_monthly_revenue]] &gt; 0, "Stander ", "No Revenue " ))</f>
        <v xml:space="preserve">No Revenue </v>
      </c>
    </row>
    <row r="540" spans="1:16" x14ac:dyDescent="0.2">
      <c r="A540" t="s">
        <v>1179</v>
      </c>
      <c r="B540" t="s">
        <v>1180</v>
      </c>
      <c r="C540" t="s">
        <v>141</v>
      </c>
      <c r="D540" t="s">
        <v>71</v>
      </c>
      <c r="E540" s="1">
        <v>43402.70484953704</v>
      </c>
      <c r="F540" t="s">
        <v>78</v>
      </c>
      <c r="G540" t="s">
        <v>19</v>
      </c>
      <c r="H540" t="s">
        <v>28</v>
      </c>
      <c r="I540" t="b">
        <v>1</v>
      </c>
      <c r="J540" t="b">
        <v>1</v>
      </c>
      <c r="K540" t="s">
        <v>199</v>
      </c>
      <c r="L540" t="s">
        <v>21</v>
      </c>
      <c r="M540">
        <v>100</v>
      </c>
      <c r="N540">
        <v>4000</v>
      </c>
      <c r="O540" t="str">
        <f>_xlfn.XLOOKUP(olist_closed_deals_dataset[[#This Row],[mql_id]], leads!A:A, leads!D:D, "Unknow" )</f>
        <v>paid_search</v>
      </c>
      <c r="P540" t="str">
        <f>IF(olist_closed_deals_dataset[[#This Row],[declared_monthly_revenue]] &gt;= 10000, "High Values ", IF(olist_closed_deals_dataset[[#This Row],[declared_monthly_revenue]] &gt; 0, "Stander ", "No Revenue " ))</f>
        <v xml:space="preserve">Stander </v>
      </c>
    </row>
    <row r="541" spans="1:16" x14ac:dyDescent="0.2">
      <c r="A541" t="s">
        <v>1181</v>
      </c>
      <c r="B541" t="s">
        <v>1182</v>
      </c>
      <c r="C541" t="s">
        <v>81</v>
      </c>
      <c r="D541" t="s">
        <v>77</v>
      </c>
      <c r="E541" s="1">
        <v>43235.562488425923</v>
      </c>
      <c r="F541" t="s">
        <v>26</v>
      </c>
      <c r="G541" t="s">
        <v>19</v>
      </c>
      <c r="H541" t="s">
        <v>1796</v>
      </c>
      <c r="I541" t="s">
        <v>1796</v>
      </c>
      <c r="J541" t="s">
        <v>1796</v>
      </c>
      <c r="K541" t="s">
        <v>1796</v>
      </c>
      <c r="L541" t="s">
        <v>21</v>
      </c>
      <c r="M541">
        <v>0</v>
      </c>
      <c r="N541">
        <v>0</v>
      </c>
      <c r="O541" t="str">
        <f>_xlfn.XLOOKUP(olist_closed_deals_dataset[[#This Row],[mql_id]], leads!A:A, leads!D:D, "Unknow" )</f>
        <v>social</v>
      </c>
      <c r="P541" t="str">
        <f>IF(olist_closed_deals_dataset[[#This Row],[declared_monthly_revenue]] &gt;= 10000, "High Values ", IF(olist_closed_deals_dataset[[#This Row],[declared_monthly_revenue]] &gt; 0, "Stander ", "No Revenue " ))</f>
        <v xml:space="preserve">No Revenue </v>
      </c>
    </row>
    <row r="542" spans="1:16" x14ac:dyDescent="0.2">
      <c r="A542" t="s">
        <v>1183</v>
      </c>
      <c r="B542" t="s">
        <v>1184</v>
      </c>
      <c r="C542" t="s">
        <v>127</v>
      </c>
      <c r="D542" t="s">
        <v>81</v>
      </c>
      <c r="E542" s="1">
        <v>43397.481608796297</v>
      </c>
      <c r="F542" t="s">
        <v>274</v>
      </c>
      <c r="G542" t="s">
        <v>19</v>
      </c>
      <c r="H542" t="s">
        <v>43</v>
      </c>
      <c r="I542" t="s">
        <v>1796</v>
      </c>
      <c r="J542" t="s">
        <v>1796</v>
      </c>
      <c r="K542" t="s">
        <v>199</v>
      </c>
      <c r="L542" t="s">
        <v>21</v>
      </c>
      <c r="M542">
        <v>30</v>
      </c>
      <c r="N542">
        <v>0</v>
      </c>
      <c r="O542" t="str">
        <f>_xlfn.XLOOKUP(olist_closed_deals_dataset[[#This Row],[mql_id]], leads!A:A, leads!D:D, "Unknow" )</f>
        <v>unknown</v>
      </c>
      <c r="P542" t="str">
        <f>IF(olist_closed_deals_dataset[[#This Row],[declared_monthly_revenue]] &gt;= 10000, "High Values ", IF(olist_closed_deals_dataset[[#This Row],[declared_monthly_revenue]] &gt; 0, "Stander ", "No Revenue " ))</f>
        <v xml:space="preserve">No Revenue </v>
      </c>
    </row>
    <row r="543" spans="1:16" x14ac:dyDescent="0.2">
      <c r="A543" t="s">
        <v>1185</v>
      </c>
      <c r="B543" t="s">
        <v>1186</v>
      </c>
      <c r="C543" t="s">
        <v>64</v>
      </c>
      <c r="D543" t="s">
        <v>17</v>
      </c>
      <c r="E543" s="1">
        <v>43182.827777777777</v>
      </c>
      <c r="F543" t="s">
        <v>49</v>
      </c>
      <c r="G543" t="s">
        <v>57</v>
      </c>
      <c r="H543" t="s">
        <v>43</v>
      </c>
      <c r="I543" t="s">
        <v>1796</v>
      </c>
      <c r="J543" t="s">
        <v>1796</v>
      </c>
      <c r="K543" t="s">
        <v>1796</v>
      </c>
      <c r="L543" t="s">
        <v>21</v>
      </c>
      <c r="M543">
        <v>0</v>
      </c>
      <c r="N543">
        <v>0</v>
      </c>
      <c r="O543" t="str">
        <f>_xlfn.XLOOKUP(olist_closed_deals_dataset[[#This Row],[mql_id]], leads!A:A, leads!D:D, "Unknow" )</f>
        <v>social</v>
      </c>
      <c r="P543" t="str">
        <f>IF(olist_closed_deals_dataset[[#This Row],[declared_monthly_revenue]] &gt;= 10000, "High Values ", IF(olist_closed_deals_dataset[[#This Row],[declared_monthly_revenue]] &gt; 0, "Stander ", "No Revenue " ))</f>
        <v xml:space="preserve">No Revenue </v>
      </c>
    </row>
    <row r="544" spans="1:16" x14ac:dyDescent="0.2">
      <c r="A544" t="s">
        <v>1187</v>
      </c>
      <c r="B544" t="s">
        <v>1188</v>
      </c>
      <c r="C544" t="s">
        <v>1112</v>
      </c>
      <c r="D544" t="s">
        <v>81</v>
      </c>
      <c r="E544" s="1">
        <v>43349.688298611109</v>
      </c>
      <c r="F544" t="s">
        <v>68</v>
      </c>
      <c r="G544" t="s">
        <v>57</v>
      </c>
      <c r="H544" t="s">
        <v>20</v>
      </c>
      <c r="I544" t="b">
        <v>1</v>
      </c>
      <c r="J544" t="b">
        <v>1</v>
      </c>
      <c r="K544" t="s">
        <v>199</v>
      </c>
      <c r="L544" t="s">
        <v>21</v>
      </c>
      <c r="M544">
        <v>10</v>
      </c>
      <c r="N544">
        <v>0</v>
      </c>
      <c r="O544" t="str">
        <f>_xlfn.XLOOKUP(olist_closed_deals_dataset[[#This Row],[mql_id]], leads!A:A, leads!D:D, "Unknow" )</f>
        <v>paid_search</v>
      </c>
      <c r="P544" t="str">
        <f>IF(olist_closed_deals_dataset[[#This Row],[declared_monthly_revenue]] &gt;= 10000, "High Values ", IF(olist_closed_deals_dataset[[#This Row],[declared_monthly_revenue]] &gt; 0, "Stander ", "No Revenue " ))</f>
        <v xml:space="preserve">No Revenue </v>
      </c>
    </row>
    <row r="545" spans="1:16" x14ac:dyDescent="0.2">
      <c r="A545" t="s">
        <v>1189</v>
      </c>
      <c r="B545" t="s">
        <v>1190</v>
      </c>
      <c r="C545" t="s">
        <v>81</v>
      </c>
      <c r="D545" t="s">
        <v>25</v>
      </c>
      <c r="E545" s="1">
        <v>43217.840300925927</v>
      </c>
      <c r="F545" t="s">
        <v>138</v>
      </c>
      <c r="G545" t="s">
        <v>39</v>
      </c>
      <c r="H545" t="s">
        <v>20</v>
      </c>
      <c r="I545" t="s">
        <v>1796</v>
      </c>
      <c r="J545" t="s">
        <v>1796</v>
      </c>
      <c r="K545" t="s">
        <v>1796</v>
      </c>
      <c r="L545" t="s">
        <v>21</v>
      </c>
      <c r="M545">
        <v>0</v>
      </c>
      <c r="N545">
        <v>0</v>
      </c>
      <c r="O545" t="str">
        <f>_xlfn.XLOOKUP(olist_closed_deals_dataset[[#This Row],[mql_id]], leads!A:A, leads!D:D, "Unknow" )</f>
        <v>unknown</v>
      </c>
      <c r="P545" t="str">
        <f>IF(olist_closed_deals_dataset[[#This Row],[declared_monthly_revenue]] &gt;= 10000, "High Values ", IF(olist_closed_deals_dataset[[#This Row],[declared_monthly_revenue]] &gt; 0, "Stander ", "No Revenue " ))</f>
        <v xml:space="preserve">No Revenue </v>
      </c>
    </row>
    <row r="546" spans="1:16" x14ac:dyDescent="0.2">
      <c r="A546" t="s">
        <v>1191</v>
      </c>
      <c r="B546" t="s">
        <v>1192</v>
      </c>
      <c r="C546" t="s">
        <v>42</v>
      </c>
      <c r="D546" t="s">
        <v>89</v>
      </c>
      <c r="E546" s="1">
        <v>43160.825185185182</v>
      </c>
      <c r="F546" t="s">
        <v>61</v>
      </c>
      <c r="G546" t="s">
        <v>39</v>
      </c>
      <c r="H546" t="s">
        <v>43</v>
      </c>
      <c r="I546" t="s">
        <v>1796</v>
      </c>
      <c r="J546" t="s">
        <v>1796</v>
      </c>
      <c r="K546" t="s">
        <v>1796</v>
      </c>
      <c r="L546" t="s">
        <v>21</v>
      </c>
      <c r="M546">
        <v>0</v>
      </c>
      <c r="N546">
        <v>0</v>
      </c>
      <c r="O546" t="str">
        <f>_xlfn.XLOOKUP(olist_closed_deals_dataset[[#This Row],[mql_id]], leads!A:A, leads!D:D, "Unknow" )</f>
        <v>unknown</v>
      </c>
      <c r="P546" t="str">
        <f>IF(olist_closed_deals_dataset[[#This Row],[declared_monthly_revenue]] &gt;= 10000, "High Values ", IF(olist_closed_deals_dataset[[#This Row],[declared_monthly_revenue]] &gt; 0, "Stander ", "No Revenue " ))</f>
        <v xml:space="preserve">No Revenue </v>
      </c>
    </row>
    <row r="547" spans="1:16" x14ac:dyDescent="0.2">
      <c r="A547" t="s">
        <v>1193</v>
      </c>
      <c r="B547" t="s">
        <v>1194</v>
      </c>
      <c r="C547" t="s">
        <v>42</v>
      </c>
      <c r="D547" t="s">
        <v>95</v>
      </c>
      <c r="E547" s="1">
        <v>43217.52752314815</v>
      </c>
      <c r="F547" t="s">
        <v>53</v>
      </c>
      <c r="G547" t="s">
        <v>19</v>
      </c>
      <c r="H547" t="s">
        <v>43</v>
      </c>
      <c r="I547" t="s">
        <v>1796</v>
      </c>
      <c r="J547" t="s">
        <v>1796</v>
      </c>
      <c r="K547" t="s">
        <v>1796</v>
      </c>
      <c r="L547" t="s">
        <v>21</v>
      </c>
      <c r="M547">
        <v>0</v>
      </c>
      <c r="N547">
        <v>0</v>
      </c>
      <c r="O547" t="str">
        <f>_xlfn.XLOOKUP(olist_closed_deals_dataset[[#This Row],[mql_id]], leads!A:A, leads!D:D, "Unknow" )</f>
        <v>unknown</v>
      </c>
      <c r="P547" t="str">
        <f>IF(olist_closed_deals_dataset[[#This Row],[declared_monthly_revenue]] &gt;= 10000, "High Values ", IF(olist_closed_deals_dataset[[#This Row],[declared_monthly_revenue]] &gt; 0, "Stander ", "No Revenue " ))</f>
        <v xml:space="preserve">No Revenue </v>
      </c>
    </row>
    <row r="548" spans="1:16" x14ac:dyDescent="0.2">
      <c r="A548" t="s">
        <v>1195</v>
      </c>
      <c r="B548" t="s">
        <v>1196</v>
      </c>
      <c r="C548" t="s">
        <v>127</v>
      </c>
      <c r="D548" t="s">
        <v>32</v>
      </c>
      <c r="E548" s="1">
        <v>43272.527766203704</v>
      </c>
      <c r="F548" t="s">
        <v>186</v>
      </c>
      <c r="G548" t="s">
        <v>57</v>
      </c>
      <c r="H548" t="s">
        <v>43</v>
      </c>
      <c r="I548" t="s">
        <v>1796</v>
      </c>
      <c r="J548" t="s">
        <v>1796</v>
      </c>
      <c r="K548" t="s">
        <v>1796</v>
      </c>
      <c r="L548" t="s">
        <v>21</v>
      </c>
      <c r="M548">
        <v>0</v>
      </c>
      <c r="N548">
        <v>0</v>
      </c>
      <c r="O548" t="str">
        <f>_xlfn.XLOOKUP(olist_closed_deals_dataset[[#This Row],[mql_id]], leads!A:A, leads!D:D, "Unknow" )</f>
        <v>paid_search</v>
      </c>
      <c r="P548" t="str">
        <f>IF(olist_closed_deals_dataset[[#This Row],[declared_monthly_revenue]] &gt;= 10000, "High Values ", IF(olist_closed_deals_dataset[[#This Row],[declared_monthly_revenue]] &gt; 0, "Stander ", "No Revenue " ))</f>
        <v xml:space="preserve">No Revenue </v>
      </c>
    </row>
    <row r="549" spans="1:16" x14ac:dyDescent="0.2">
      <c r="A549" t="s">
        <v>1197</v>
      </c>
      <c r="B549" t="s">
        <v>1198</v>
      </c>
      <c r="C549" t="s">
        <v>64</v>
      </c>
      <c r="D549" t="s">
        <v>48</v>
      </c>
      <c r="E549" s="1">
        <v>43228.564282407409</v>
      </c>
      <c r="F549" t="s">
        <v>49</v>
      </c>
      <c r="G549" t="s">
        <v>39</v>
      </c>
      <c r="H549" t="s">
        <v>20</v>
      </c>
      <c r="I549" t="s">
        <v>1796</v>
      </c>
      <c r="J549" t="s">
        <v>1796</v>
      </c>
      <c r="K549" t="s">
        <v>1796</v>
      </c>
      <c r="L549" t="s">
        <v>21</v>
      </c>
      <c r="M549">
        <v>0</v>
      </c>
      <c r="N549">
        <v>0</v>
      </c>
      <c r="O549" t="str">
        <f>_xlfn.XLOOKUP(olist_closed_deals_dataset[[#This Row],[mql_id]], leads!A:A, leads!D:D, "Unknow" )</f>
        <v>paid_search</v>
      </c>
      <c r="P549" t="str">
        <f>IF(olist_closed_deals_dataset[[#This Row],[declared_monthly_revenue]] &gt;= 10000, "High Values ", IF(olist_closed_deals_dataset[[#This Row],[declared_monthly_revenue]] &gt; 0, "Stander ", "No Revenue " ))</f>
        <v xml:space="preserve">No Revenue </v>
      </c>
    </row>
    <row r="550" spans="1:16" x14ac:dyDescent="0.2">
      <c r="A550" t="s">
        <v>1199</v>
      </c>
      <c r="B550" t="s">
        <v>1200</v>
      </c>
      <c r="C550" t="s">
        <v>56</v>
      </c>
      <c r="D550" t="s">
        <v>77</v>
      </c>
      <c r="E550" s="1">
        <v>43378.524884259263</v>
      </c>
      <c r="F550" t="s">
        <v>111</v>
      </c>
      <c r="G550" t="s">
        <v>39</v>
      </c>
      <c r="H550" t="s">
        <v>20</v>
      </c>
      <c r="I550" t="s">
        <v>1796</v>
      </c>
      <c r="J550" t="s">
        <v>1796</v>
      </c>
      <c r="K550" t="s">
        <v>1796</v>
      </c>
      <c r="L550" t="s">
        <v>44</v>
      </c>
      <c r="M550">
        <v>0</v>
      </c>
      <c r="N550">
        <v>0</v>
      </c>
      <c r="O550" t="str">
        <f>_xlfn.XLOOKUP(olist_closed_deals_dataset[[#This Row],[mql_id]], leads!A:A, leads!D:D, "Unknow" )</f>
        <v>social</v>
      </c>
      <c r="P550" t="str">
        <f>IF(olist_closed_deals_dataset[[#This Row],[declared_monthly_revenue]] &gt;= 10000, "High Values ", IF(olist_closed_deals_dataset[[#This Row],[declared_monthly_revenue]] &gt; 0, "Stander ", "No Revenue " ))</f>
        <v xml:space="preserve">No Revenue </v>
      </c>
    </row>
    <row r="551" spans="1:16" x14ac:dyDescent="0.2">
      <c r="A551" t="s">
        <v>1201</v>
      </c>
      <c r="B551" t="s">
        <v>1202</v>
      </c>
      <c r="C551" t="s">
        <v>47</v>
      </c>
      <c r="D551" t="s">
        <v>89</v>
      </c>
      <c r="E551" s="1">
        <v>43145.716226851851</v>
      </c>
      <c r="F551" t="s">
        <v>38</v>
      </c>
      <c r="G551" t="s">
        <v>27</v>
      </c>
      <c r="H551" t="s">
        <v>1796</v>
      </c>
      <c r="I551" t="s">
        <v>1796</v>
      </c>
      <c r="J551" t="s">
        <v>1796</v>
      </c>
      <c r="K551" t="s">
        <v>1796</v>
      </c>
      <c r="L551" t="s">
        <v>44</v>
      </c>
      <c r="M551">
        <v>0</v>
      </c>
      <c r="N551">
        <v>0</v>
      </c>
      <c r="O551" t="str">
        <f>_xlfn.XLOOKUP(olist_closed_deals_dataset[[#This Row],[mql_id]], leads!A:A, leads!D:D, "Unknow" )</f>
        <v>organic_search</v>
      </c>
      <c r="P551" t="str">
        <f>IF(olist_closed_deals_dataset[[#This Row],[declared_monthly_revenue]] &gt;= 10000, "High Values ", IF(olist_closed_deals_dataset[[#This Row],[declared_monthly_revenue]] &gt; 0, "Stander ", "No Revenue " ))</f>
        <v xml:space="preserve">No Revenue </v>
      </c>
    </row>
    <row r="552" spans="1:16" x14ac:dyDescent="0.2">
      <c r="A552" t="s">
        <v>1203</v>
      </c>
      <c r="B552" t="s">
        <v>1204</v>
      </c>
      <c r="C552" t="s">
        <v>47</v>
      </c>
      <c r="D552" t="s">
        <v>77</v>
      </c>
      <c r="E552" s="1">
        <v>43129.083333333336</v>
      </c>
      <c r="F552" t="s">
        <v>96</v>
      </c>
      <c r="G552" t="s">
        <v>27</v>
      </c>
      <c r="H552" t="s">
        <v>1796</v>
      </c>
      <c r="I552" t="s">
        <v>1796</v>
      </c>
      <c r="J552" t="s">
        <v>1796</v>
      </c>
      <c r="K552" t="s">
        <v>1796</v>
      </c>
      <c r="L552" t="s">
        <v>21</v>
      </c>
      <c r="M552">
        <v>0</v>
      </c>
      <c r="N552">
        <v>0</v>
      </c>
      <c r="O552" t="str">
        <f>_xlfn.XLOOKUP(olist_closed_deals_dataset[[#This Row],[mql_id]], leads!A:A, leads!D:D, "Unknow" )</f>
        <v>organic_search</v>
      </c>
      <c r="P552" t="str">
        <f>IF(olist_closed_deals_dataset[[#This Row],[declared_monthly_revenue]] &gt;= 10000, "High Values ", IF(olist_closed_deals_dataset[[#This Row],[declared_monthly_revenue]] &gt; 0, "Stander ", "No Revenue " ))</f>
        <v xml:space="preserve">No Revenue </v>
      </c>
    </row>
    <row r="553" spans="1:16" x14ac:dyDescent="0.2">
      <c r="A553" t="s">
        <v>1205</v>
      </c>
      <c r="B553" t="s">
        <v>1206</v>
      </c>
      <c r="C553" t="s">
        <v>37</v>
      </c>
      <c r="D553" t="s">
        <v>102</v>
      </c>
      <c r="E553" s="1">
        <v>43150.881192129629</v>
      </c>
      <c r="F553" t="s">
        <v>53</v>
      </c>
      <c r="G553" t="s">
        <v>19</v>
      </c>
      <c r="H553" t="s">
        <v>20</v>
      </c>
      <c r="I553" t="s">
        <v>1796</v>
      </c>
      <c r="J553" t="s">
        <v>1796</v>
      </c>
      <c r="K553" t="s">
        <v>1796</v>
      </c>
      <c r="L553" t="s">
        <v>21</v>
      </c>
      <c r="M553">
        <v>0</v>
      </c>
      <c r="N553">
        <v>0</v>
      </c>
      <c r="O553" t="str">
        <f>_xlfn.XLOOKUP(olist_closed_deals_dataset[[#This Row],[mql_id]], leads!A:A, leads!D:D, "Unknow" )</f>
        <v>unknown</v>
      </c>
      <c r="P553" t="str">
        <f>IF(olist_closed_deals_dataset[[#This Row],[declared_monthly_revenue]] &gt;= 10000, "High Values ", IF(olist_closed_deals_dataset[[#This Row],[declared_monthly_revenue]] &gt; 0, "Stander ", "No Revenue " ))</f>
        <v xml:space="preserve">No Revenue </v>
      </c>
    </row>
    <row r="554" spans="1:16" x14ac:dyDescent="0.2">
      <c r="A554" t="s">
        <v>1207</v>
      </c>
      <c r="B554" t="s">
        <v>1208</v>
      </c>
      <c r="C554" t="s">
        <v>64</v>
      </c>
      <c r="D554" t="s">
        <v>95</v>
      </c>
      <c r="E554" s="1">
        <v>43230.757743055554</v>
      </c>
      <c r="F554" t="s">
        <v>33</v>
      </c>
      <c r="G554" t="s">
        <v>19</v>
      </c>
      <c r="H554" t="s">
        <v>28</v>
      </c>
      <c r="I554" t="s">
        <v>1796</v>
      </c>
      <c r="J554" t="s">
        <v>1796</v>
      </c>
      <c r="K554" t="s">
        <v>1796</v>
      </c>
      <c r="L554" t="s">
        <v>21</v>
      </c>
      <c r="M554">
        <v>0</v>
      </c>
      <c r="N554">
        <v>0</v>
      </c>
      <c r="O554" t="str">
        <f>_xlfn.XLOOKUP(olist_closed_deals_dataset[[#This Row],[mql_id]], leads!A:A, leads!D:D, "Unknow" )</f>
        <v>unknown</v>
      </c>
      <c r="P554" t="str">
        <f>IF(olist_closed_deals_dataset[[#This Row],[declared_monthly_revenue]] &gt;= 10000, "High Values ", IF(olist_closed_deals_dataset[[#This Row],[declared_monthly_revenue]] &gt; 0, "Stander ", "No Revenue " ))</f>
        <v xml:space="preserve">No Revenue </v>
      </c>
    </row>
    <row r="555" spans="1:16" x14ac:dyDescent="0.2">
      <c r="A555" t="s">
        <v>1209</v>
      </c>
      <c r="B555" t="s">
        <v>1210</v>
      </c>
      <c r="C555" t="s">
        <v>60</v>
      </c>
      <c r="D555" t="s">
        <v>71</v>
      </c>
      <c r="E555" s="1">
        <v>43347.607025462959</v>
      </c>
      <c r="F555" t="s">
        <v>26</v>
      </c>
      <c r="G555" t="s">
        <v>57</v>
      </c>
      <c r="H555" t="s">
        <v>20</v>
      </c>
      <c r="I555" t="s">
        <v>1796</v>
      </c>
      <c r="J555" t="b">
        <v>1</v>
      </c>
      <c r="K555" t="s">
        <v>1796</v>
      </c>
      <c r="L555" t="s">
        <v>21</v>
      </c>
      <c r="M555">
        <v>600</v>
      </c>
      <c r="N555">
        <v>0</v>
      </c>
      <c r="O555" t="str">
        <f>_xlfn.XLOOKUP(olist_closed_deals_dataset[[#This Row],[mql_id]], leads!A:A, leads!D:D, "Unknow" )</f>
        <v>paid_search</v>
      </c>
      <c r="P555" t="str">
        <f>IF(olist_closed_deals_dataset[[#This Row],[declared_monthly_revenue]] &gt;= 10000, "High Values ", IF(olist_closed_deals_dataset[[#This Row],[declared_monthly_revenue]] &gt; 0, "Stander ", "No Revenue " ))</f>
        <v xml:space="preserve">No Revenue </v>
      </c>
    </row>
    <row r="556" spans="1:16" x14ac:dyDescent="0.2">
      <c r="A556" t="s">
        <v>1211</v>
      </c>
      <c r="B556" t="s">
        <v>1212</v>
      </c>
      <c r="C556" t="s">
        <v>42</v>
      </c>
      <c r="D556" t="s">
        <v>65</v>
      </c>
      <c r="E556" s="1">
        <v>43203.912002314813</v>
      </c>
      <c r="F556" t="s">
        <v>96</v>
      </c>
      <c r="G556" t="s">
        <v>39</v>
      </c>
      <c r="H556" t="s">
        <v>20</v>
      </c>
      <c r="I556" t="s">
        <v>1796</v>
      </c>
      <c r="J556" t="s">
        <v>1796</v>
      </c>
      <c r="K556" t="s">
        <v>1796</v>
      </c>
      <c r="L556" t="s">
        <v>44</v>
      </c>
      <c r="M556">
        <v>0</v>
      </c>
      <c r="N556">
        <v>0</v>
      </c>
      <c r="O556" t="str">
        <f>_xlfn.XLOOKUP(olist_closed_deals_dataset[[#This Row],[mql_id]], leads!A:A, leads!D:D, "Unknow" )</f>
        <v>social</v>
      </c>
      <c r="P556" t="str">
        <f>IF(olist_closed_deals_dataset[[#This Row],[declared_monthly_revenue]] &gt;= 10000, "High Values ", IF(olist_closed_deals_dataset[[#This Row],[declared_monthly_revenue]] &gt; 0, "Stander ", "No Revenue " ))</f>
        <v xml:space="preserve">No Revenue </v>
      </c>
    </row>
    <row r="557" spans="1:16" x14ac:dyDescent="0.2">
      <c r="A557" t="s">
        <v>1213</v>
      </c>
      <c r="B557" t="s">
        <v>1214</v>
      </c>
      <c r="C557" t="s">
        <v>42</v>
      </c>
      <c r="D557" t="s">
        <v>95</v>
      </c>
      <c r="E557" s="1">
        <v>43161.680798611109</v>
      </c>
      <c r="F557" t="s">
        <v>82</v>
      </c>
      <c r="G557" t="s">
        <v>19</v>
      </c>
      <c r="H557" t="s">
        <v>1796</v>
      </c>
      <c r="I557" t="s">
        <v>1796</v>
      </c>
      <c r="J557" t="s">
        <v>1796</v>
      </c>
      <c r="K557" t="s">
        <v>1796</v>
      </c>
      <c r="L557" t="s">
        <v>21</v>
      </c>
      <c r="M557">
        <v>0</v>
      </c>
      <c r="N557">
        <v>0</v>
      </c>
      <c r="O557" t="str">
        <f>_xlfn.XLOOKUP(olist_closed_deals_dataset[[#This Row],[mql_id]], leads!A:A, leads!D:D, "Unknow" )</f>
        <v>organic_search</v>
      </c>
      <c r="P557" t="str">
        <f>IF(olist_closed_deals_dataset[[#This Row],[declared_monthly_revenue]] &gt;= 10000, "High Values ", IF(olist_closed_deals_dataset[[#This Row],[declared_monthly_revenue]] &gt; 0, "Stander ", "No Revenue " ))</f>
        <v xml:space="preserve">No Revenue </v>
      </c>
    </row>
    <row r="558" spans="1:16" x14ac:dyDescent="0.2">
      <c r="A558" t="s">
        <v>1215</v>
      </c>
      <c r="B558" t="s">
        <v>1216</v>
      </c>
      <c r="C558" t="s">
        <v>81</v>
      </c>
      <c r="D558" t="s">
        <v>48</v>
      </c>
      <c r="E558" s="1">
        <v>43151.819502314815</v>
      </c>
      <c r="F558" t="s">
        <v>297</v>
      </c>
      <c r="G558" t="s">
        <v>19</v>
      </c>
      <c r="H558" t="s">
        <v>20</v>
      </c>
      <c r="I558" t="s">
        <v>1796</v>
      </c>
      <c r="J558" t="s">
        <v>1796</v>
      </c>
      <c r="K558" t="s">
        <v>1796</v>
      </c>
      <c r="L558" t="s">
        <v>21</v>
      </c>
      <c r="M558">
        <v>0</v>
      </c>
      <c r="N558">
        <v>0</v>
      </c>
      <c r="O558" t="str">
        <f>_xlfn.XLOOKUP(olist_closed_deals_dataset[[#This Row],[mql_id]], leads!A:A, leads!D:D, "Unknow" )</f>
        <v>unknown</v>
      </c>
      <c r="P558" t="str">
        <f>IF(olist_closed_deals_dataset[[#This Row],[declared_monthly_revenue]] &gt;= 10000, "High Values ", IF(olist_closed_deals_dataset[[#This Row],[declared_monthly_revenue]] &gt; 0, "Stander ", "No Revenue " ))</f>
        <v xml:space="preserve">No Revenue </v>
      </c>
    </row>
    <row r="559" spans="1:16" x14ac:dyDescent="0.2">
      <c r="A559" t="s">
        <v>1217</v>
      </c>
      <c r="B559" t="s">
        <v>1218</v>
      </c>
      <c r="C559" t="s">
        <v>42</v>
      </c>
      <c r="D559" t="s">
        <v>17</v>
      </c>
      <c r="E559" s="1">
        <v>43195.614131944443</v>
      </c>
      <c r="F559" t="s">
        <v>186</v>
      </c>
      <c r="G559" t="s">
        <v>19</v>
      </c>
      <c r="H559" t="s">
        <v>43</v>
      </c>
      <c r="I559" t="s">
        <v>1796</v>
      </c>
      <c r="J559" t="s">
        <v>1796</v>
      </c>
      <c r="K559" t="s">
        <v>1796</v>
      </c>
      <c r="L559" t="s">
        <v>44</v>
      </c>
      <c r="M559">
        <v>0</v>
      </c>
      <c r="N559">
        <v>0</v>
      </c>
      <c r="O559" t="str">
        <f>_xlfn.XLOOKUP(olist_closed_deals_dataset[[#This Row],[mql_id]], leads!A:A, leads!D:D, "Unknow" )</f>
        <v>organic_search</v>
      </c>
      <c r="P559" t="str">
        <f>IF(olist_closed_deals_dataset[[#This Row],[declared_monthly_revenue]] &gt;= 10000, "High Values ", IF(olist_closed_deals_dataset[[#This Row],[declared_monthly_revenue]] &gt; 0, "Stander ", "No Revenue " ))</f>
        <v xml:space="preserve">No Revenue </v>
      </c>
    </row>
    <row r="560" spans="1:16" x14ac:dyDescent="0.2">
      <c r="A560" t="s">
        <v>1219</v>
      </c>
      <c r="B560" t="s">
        <v>1220</v>
      </c>
      <c r="C560" t="s">
        <v>24</v>
      </c>
      <c r="D560" t="s">
        <v>74</v>
      </c>
      <c r="E560" s="1">
        <v>43185.914386574077</v>
      </c>
      <c r="F560" t="s">
        <v>96</v>
      </c>
      <c r="G560" t="s">
        <v>19</v>
      </c>
      <c r="H560" t="s">
        <v>28</v>
      </c>
      <c r="I560" t="s">
        <v>1796</v>
      </c>
      <c r="J560" t="s">
        <v>1796</v>
      </c>
      <c r="K560" t="s">
        <v>1796</v>
      </c>
      <c r="L560" t="s">
        <v>44</v>
      </c>
      <c r="M560">
        <v>0</v>
      </c>
      <c r="N560">
        <v>0</v>
      </c>
      <c r="O560" t="str">
        <f>_xlfn.XLOOKUP(olist_closed_deals_dataset[[#This Row],[mql_id]], leads!A:A, leads!D:D, "Unknow" )</f>
        <v>paid_search</v>
      </c>
      <c r="P560" t="str">
        <f>IF(olist_closed_deals_dataset[[#This Row],[declared_monthly_revenue]] &gt;= 10000, "High Values ", IF(olist_closed_deals_dataset[[#This Row],[declared_monthly_revenue]] &gt; 0, "Stander ", "No Revenue " ))</f>
        <v xml:space="preserve">No Revenue </v>
      </c>
    </row>
    <row r="561" spans="1:16" x14ac:dyDescent="0.2">
      <c r="A561" t="s">
        <v>1221</v>
      </c>
      <c r="B561" t="s">
        <v>1222</v>
      </c>
      <c r="C561" t="s">
        <v>127</v>
      </c>
      <c r="D561" t="s">
        <v>37</v>
      </c>
      <c r="E561" s="1">
        <v>43222.724178240744</v>
      </c>
      <c r="F561" t="s">
        <v>26</v>
      </c>
      <c r="G561" t="s">
        <v>19</v>
      </c>
      <c r="H561" t="s">
        <v>20</v>
      </c>
      <c r="I561" t="s">
        <v>1796</v>
      </c>
      <c r="J561" t="s">
        <v>1796</v>
      </c>
      <c r="K561" t="s">
        <v>1796</v>
      </c>
      <c r="L561" t="s">
        <v>21</v>
      </c>
      <c r="M561">
        <v>0</v>
      </c>
      <c r="N561">
        <v>0</v>
      </c>
      <c r="O561" t="str">
        <f>_xlfn.XLOOKUP(olist_closed_deals_dataset[[#This Row],[mql_id]], leads!A:A, leads!D:D, "Unknow" )</f>
        <v>paid_search</v>
      </c>
      <c r="P561" t="str">
        <f>IF(olist_closed_deals_dataset[[#This Row],[declared_monthly_revenue]] &gt;= 10000, "High Values ", IF(olist_closed_deals_dataset[[#This Row],[declared_monthly_revenue]] &gt; 0, "Stander ", "No Revenue " ))</f>
        <v xml:space="preserve">No Revenue </v>
      </c>
    </row>
    <row r="562" spans="1:16" x14ac:dyDescent="0.2">
      <c r="A562" t="s">
        <v>1223</v>
      </c>
      <c r="B562" t="s">
        <v>1224</v>
      </c>
      <c r="C562" t="s">
        <v>127</v>
      </c>
      <c r="D562" t="s">
        <v>81</v>
      </c>
      <c r="E562" s="1">
        <v>43334.551898148151</v>
      </c>
      <c r="F562" t="s">
        <v>49</v>
      </c>
      <c r="G562" t="s">
        <v>19</v>
      </c>
      <c r="H562" t="s">
        <v>225</v>
      </c>
      <c r="I562" t="b">
        <v>1</v>
      </c>
      <c r="J562" t="b">
        <v>1</v>
      </c>
      <c r="K562" t="s">
        <v>352</v>
      </c>
      <c r="L562" t="s">
        <v>21</v>
      </c>
      <c r="M562">
        <v>50</v>
      </c>
      <c r="N562">
        <v>10000</v>
      </c>
      <c r="O562" t="str">
        <f>_xlfn.XLOOKUP(olist_closed_deals_dataset[[#This Row],[mql_id]], leads!A:A, leads!D:D, "Unknow" )</f>
        <v>organic_search</v>
      </c>
      <c r="P562" t="str">
        <f>IF(olist_closed_deals_dataset[[#This Row],[declared_monthly_revenue]] &gt;= 10000, "High Values ", IF(olist_closed_deals_dataset[[#This Row],[declared_monthly_revenue]] &gt; 0, "Stander ", "No Revenue " ))</f>
        <v xml:space="preserve">High Values </v>
      </c>
    </row>
    <row r="563" spans="1:16" x14ac:dyDescent="0.2">
      <c r="A563" t="s">
        <v>1225</v>
      </c>
      <c r="B563" t="s">
        <v>1226</v>
      </c>
      <c r="C563" t="s">
        <v>71</v>
      </c>
      <c r="D563" t="s">
        <v>32</v>
      </c>
      <c r="E563" s="1">
        <v>43154.852731481478</v>
      </c>
      <c r="F563" t="s">
        <v>78</v>
      </c>
      <c r="G563" t="s">
        <v>57</v>
      </c>
      <c r="H563" t="s">
        <v>20</v>
      </c>
      <c r="I563" t="s">
        <v>1796</v>
      </c>
      <c r="J563" t="s">
        <v>1796</v>
      </c>
      <c r="K563" t="s">
        <v>1796</v>
      </c>
      <c r="L563" t="s">
        <v>21</v>
      </c>
      <c r="M563">
        <v>0</v>
      </c>
      <c r="N563">
        <v>0</v>
      </c>
      <c r="O563" t="str">
        <f>_xlfn.XLOOKUP(olist_closed_deals_dataset[[#This Row],[mql_id]], leads!A:A, leads!D:D, "Unknow" )</f>
        <v>organic_search</v>
      </c>
      <c r="P563" t="str">
        <f>IF(olist_closed_deals_dataset[[#This Row],[declared_monthly_revenue]] &gt;= 10000, "High Values ", IF(olist_closed_deals_dataset[[#This Row],[declared_monthly_revenue]] &gt; 0, "Stander ", "No Revenue " ))</f>
        <v xml:space="preserve">No Revenue </v>
      </c>
    </row>
    <row r="564" spans="1:16" x14ac:dyDescent="0.2">
      <c r="A564" t="s">
        <v>1227</v>
      </c>
      <c r="B564" t="s">
        <v>1228</v>
      </c>
      <c r="C564" t="s">
        <v>37</v>
      </c>
      <c r="D564" t="s">
        <v>77</v>
      </c>
      <c r="E564" s="1">
        <v>43159.680520833332</v>
      </c>
      <c r="F564" t="s">
        <v>78</v>
      </c>
      <c r="G564" t="s">
        <v>19</v>
      </c>
      <c r="H564" t="s">
        <v>20</v>
      </c>
      <c r="I564" t="s">
        <v>1796</v>
      </c>
      <c r="J564" t="s">
        <v>1796</v>
      </c>
      <c r="K564" t="s">
        <v>1796</v>
      </c>
      <c r="L564" t="s">
        <v>21</v>
      </c>
      <c r="M564">
        <v>0</v>
      </c>
      <c r="N564">
        <v>0</v>
      </c>
      <c r="O564" t="str">
        <f>_xlfn.XLOOKUP(olist_closed_deals_dataset[[#This Row],[mql_id]], leads!A:A, leads!D:D, "Unknow" )</f>
        <v>paid_search</v>
      </c>
      <c r="P564" t="str">
        <f>IF(olist_closed_deals_dataset[[#This Row],[declared_monthly_revenue]] &gt;= 10000, "High Values ", IF(olist_closed_deals_dataset[[#This Row],[declared_monthly_revenue]] &gt; 0, "Stander ", "No Revenue " ))</f>
        <v xml:space="preserve">No Revenue </v>
      </c>
    </row>
    <row r="565" spans="1:16" x14ac:dyDescent="0.2">
      <c r="A565" t="s">
        <v>1229</v>
      </c>
      <c r="B565" t="s">
        <v>1230</v>
      </c>
      <c r="C565" t="s">
        <v>42</v>
      </c>
      <c r="D565" t="s">
        <v>74</v>
      </c>
      <c r="E565" s="1">
        <v>43265.655393518522</v>
      </c>
      <c r="F565" t="s">
        <v>138</v>
      </c>
      <c r="G565" t="s">
        <v>112</v>
      </c>
      <c r="H565" t="s">
        <v>43</v>
      </c>
      <c r="I565" t="s">
        <v>1796</v>
      </c>
      <c r="J565" t="s">
        <v>1796</v>
      </c>
      <c r="K565" t="s">
        <v>1796</v>
      </c>
      <c r="L565" t="s">
        <v>21</v>
      </c>
      <c r="M565">
        <v>0</v>
      </c>
      <c r="N565">
        <v>0</v>
      </c>
      <c r="O565" t="str">
        <f>_xlfn.XLOOKUP(olist_closed_deals_dataset[[#This Row],[mql_id]], leads!A:A, leads!D:D, "Unknow" )</f>
        <v>paid_search</v>
      </c>
      <c r="P565" t="str">
        <f>IF(olist_closed_deals_dataset[[#This Row],[declared_monthly_revenue]] &gt;= 10000, "High Values ", IF(olist_closed_deals_dataset[[#This Row],[declared_monthly_revenue]] &gt; 0, "Stander ", "No Revenue " ))</f>
        <v xml:space="preserve">No Revenue </v>
      </c>
    </row>
    <row r="566" spans="1:16" x14ac:dyDescent="0.2">
      <c r="A566" t="s">
        <v>1231</v>
      </c>
      <c r="B566" t="s">
        <v>1232</v>
      </c>
      <c r="C566" t="s">
        <v>127</v>
      </c>
      <c r="D566" t="s">
        <v>17</v>
      </c>
      <c r="E566" s="1">
        <v>43203.758703703701</v>
      </c>
      <c r="F566" t="s">
        <v>138</v>
      </c>
      <c r="G566" t="s">
        <v>19</v>
      </c>
      <c r="H566" t="s">
        <v>28</v>
      </c>
      <c r="I566" t="s">
        <v>1796</v>
      </c>
      <c r="J566" t="s">
        <v>1796</v>
      </c>
      <c r="K566" t="s">
        <v>1796</v>
      </c>
      <c r="L566" t="s">
        <v>21</v>
      </c>
      <c r="M566">
        <v>0</v>
      </c>
      <c r="N566">
        <v>0</v>
      </c>
      <c r="O566" t="str">
        <f>_xlfn.XLOOKUP(olist_closed_deals_dataset[[#This Row],[mql_id]], leads!A:A, leads!D:D, "Unknow" )</f>
        <v>organic_search</v>
      </c>
      <c r="P566" t="str">
        <f>IF(olist_closed_deals_dataset[[#This Row],[declared_monthly_revenue]] &gt;= 10000, "High Values ", IF(olist_closed_deals_dataset[[#This Row],[declared_monthly_revenue]] &gt; 0, "Stander ", "No Revenue " ))</f>
        <v xml:space="preserve">No Revenue </v>
      </c>
    </row>
    <row r="567" spans="1:16" x14ac:dyDescent="0.2">
      <c r="A567" t="s">
        <v>1233</v>
      </c>
      <c r="B567" t="s">
        <v>1234</v>
      </c>
      <c r="C567" t="s">
        <v>37</v>
      </c>
      <c r="D567" t="s">
        <v>17</v>
      </c>
      <c r="E567" s="1">
        <v>43131.695069444446</v>
      </c>
      <c r="F567" t="s">
        <v>186</v>
      </c>
      <c r="G567" t="s">
        <v>19</v>
      </c>
      <c r="H567" t="s">
        <v>1796</v>
      </c>
      <c r="I567" t="s">
        <v>1796</v>
      </c>
      <c r="J567" t="s">
        <v>1796</v>
      </c>
      <c r="K567" t="s">
        <v>1796</v>
      </c>
      <c r="L567" t="s">
        <v>44</v>
      </c>
      <c r="M567">
        <v>0</v>
      </c>
      <c r="N567">
        <v>0</v>
      </c>
      <c r="O567" t="str">
        <f>_xlfn.XLOOKUP(olist_closed_deals_dataset[[#This Row],[mql_id]], leads!A:A, leads!D:D, "Unknow" )</f>
        <v>direct_traffic</v>
      </c>
      <c r="P567" t="str">
        <f>IF(olist_closed_deals_dataset[[#This Row],[declared_monthly_revenue]] &gt;= 10000, "High Values ", IF(olist_closed_deals_dataset[[#This Row],[declared_monthly_revenue]] &gt; 0, "Stander ", "No Revenue " ))</f>
        <v xml:space="preserve">No Revenue </v>
      </c>
    </row>
    <row r="568" spans="1:16" x14ac:dyDescent="0.2">
      <c r="A568" t="s">
        <v>1235</v>
      </c>
      <c r="B568" t="s">
        <v>1236</v>
      </c>
      <c r="C568" t="s">
        <v>65</v>
      </c>
      <c r="D568" t="s">
        <v>77</v>
      </c>
      <c r="E568" s="1">
        <v>43168.837442129632</v>
      </c>
      <c r="F568" t="s">
        <v>96</v>
      </c>
      <c r="G568" t="s">
        <v>57</v>
      </c>
      <c r="H568" t="s">
        <v>122</v>
      </c>
      <c r="I568" t="s">
        <v>1796</v>
      </c>
      <c r="J568" t="s">
        <v>1796</v>
      </c>
      <c r="K568" t="s">
        <v>1796</v>
      </c>
      <c r="L568" t="s">
        <v>44</v>
      </c>
      <c r="M568">
        <v>0</v>
      </c>
      <c r="N568">
        <v>0</v>
      </c>
      <c r="O568" t="str">
        <f>_xlfn.XLOOKUP(olist_closed_deals_dataset[[#This Row],[mql_id]], leads!A:A, leads!D:D, "Unknow" )</f>
        <v>unknown</v>
      </c>
      <c r="P568" t="str">
        <f>IF(olist_closed_deals_dataset[[#This Row],[declared_monthly_revenue]] &gt;= 10000, "High Values ", IF(olist_closed_deals_dataset[[#This Row],[declared_monthly_revenue]] &gt; 0, "Stander ", "No Revenue " ))</f>
        <v xml:space="preserve">No Revenue </v>
      </c>
    </row>
    <row r="569" spans="1:16" x14ac:dyDescent="0.2">
      <c r="A569" t="s">
        <v>1237</v>
      </c>
      <c r="B569" t="s">
        <v>1238</v>
      </c>
      <c r="C569" t="s">
        <v>31</v>
      </c>
      <c r="D569" t="s">
        <v>25</v>
      </c>
      <c r="E569" s="1">
        <v>43224.125</v>
      </c>
      <c r="F569" t="s">
        <v>26</v>
      </c>
      <c r="G569" t="s">
        <v>19</v>
      </c>
      <c r="H569" t="s">
        <v>20</v>
      </c>
      <c r="I569" t="s">
        <v>1796</v>
      </c>
      <c r="J569" t="s">
        <v>1796</v>
      </c>
      <c r="K569" t="s">
        <v>1796</v>
      </c>
      <c r="L569" t="s">
        <v>44</v>
      </c>
      <c r="M569">
        <v>0</v>
      </c>
      <c r="N569">
        <v>0</v>
      </c>
      <c r="O569" t="str">
        <f>_xlfn.XLOOKUP(olist_closed_deals_dataset[[#This Row],[mql_id]], leads!A:A, leads!D:D, "Unknow" )</f>
        <v>paid_search</v>
      </c>
      <c r="P569" t="str">
        <f>IF(olist_closed_deals_dataset[[#This Row],[declared_monthly_revenue]] &gt;= 10000, "High Values ", IF(olist_closed_deals_dataset[[#This Row],[declared_monthly_revenue]] &gt; 0, "Stander ", "No Revenue " ))</f>
        <v xml:space="preserve">No Revenue </v>
      </c>
    </row>
    <row r="570" spans="1:16" x14ac:dyDescent="0.2">
      <c r="A570" t="s">
        <v>1239</v>
      </c>
      <c r="B570" t="s">
        <v>1240</v>
      </c>
      <c r="C570" t="s">
        <v>42</v>
      </c>
      <c r="D570" t="s">
        <v>102</v>
      </c>
      <c r="E570" s="1">
        <v>43158.870185185187</v>
      </c>
      <c r="F570" t="s">
        <v>186</v>
      </c>
      <c r="G570" t="s">
        <v>19</v>
      </c>
      <c r="H570" t="s">
        <v>43</v>
      </c>
      <c r="I570" t="s">
        <v>1796</v>
      </c>
      <c r="J570" t="s">
        <v>1796</v>
      </c>
      <c r="K570" t="s">
        <v>1796</v>
      </c>
      <c r="L570" t="s">
        <v>21</v>
      </c>
      <c r="M570">
        <v>0</v>
      </c>
      <c r="N570">
        <v>0</v>
      </c>
      <c r="O570" t="str">
        <f>_xlfn.XLOOKUP(olist_closed_deals_dataset[[#This Row],[mql_id]], leads!A:A, leads!D:D, "Unknow" )</f>
        <v>unknown</v>
      </c>
      <c r="P570" t="str">
        <f>IF(olist_closed_deals_dataset[[#This Row],[declared_monthly_revenue]] &gt;= 10000, "High Values ", IF(olist_closed_deals_dataset[[#This Row],[declared_monthly_revenue]] &gt; 0, "Stander ", "No Revenue " ))</f>
        <v xml:space="preserve">No Revenue </v>
      </c>
    </row>
    <row r="571" spans="1:16" x14ac:dyDescent="0.2">
      <c r="A571" t="s">
        <v>1241</v>
      </c>
      <c r="B571" t="s">
        <v>1242</v>
      </c>
      <c r="C571" t="s">
        <v>24</v>
      </c>
      <c r="D571" t="s">
        <v>81</v>
      </c>
      <c r="E571" s="1">
        <v>43241.889826388891</v>
      </c>
      <c r="F571" t="s">
        <v>49</v>
      </c>
      <c r="G571" t="s">
        <v>34</v>
      </c>
      <c r="H571" t="s">
        <v>43</v>
      </c>
      <c r="I571" t="s">
        <v>1796</v>
      </c>
      <c r="J571" t="s">
        <v>1796</v>
      </c>
      <c r="K571" t="s">
        <v>1796</v>
      </c>
      <c r="L571" t="s">
        <v>21</v>
      </c>
      <c r="M571">
        <v>0</v>
      </c>
      <c r="N571">
        <v>0</v>
      </c>
      <c r="O571" t="str">
        <f>_xlfn.XLOOKUP(olist_closed_deals_dataset[[#This Row],[mql_id]], leads!A:A, leads!D:D, "Unknow" )</f>
        <v>paid_search</v>
      </c>
      <c r="P571" t="str">
        <f>IF(olist_closed_deals_dataset[[#This Row],[declared_monthly_revenue]] &gt;= 10000, "High Values ", IF(olist_closed_deals_dataset[[#This Row],[declared_monthly_revenue]] &gt; 0, "Stander ", "No Revenue " ))</f>
        <v xml:space="preserve">No Revenue </v>
      </c>
    </row>
    <row r="572" spans="1:16" x14ac:dyDescent="0.2">
      <c r="A572" t="s">
        <v>1243</v>
      </c>
      <c r="B572" t="s">
        <v>1244</v>
      </c>
      <c r="C572" t="s">
        <v>24</v>
      </c>
      <c r="D572" t="s">
        <v>25</v>
      </c>
      <c r="E572" s="1">
        <v>43199.518483796295</v>
      </c>
      <c r="F572" t="s">
        <v>61</v>
      </c>
      <c r="G572" t="s">
        <v>34</v>
      </c>
      <c r="H572" t="s">
        <v>43</v>
      </c>
      <c r="I572" t="s">
        <v>1796</v>
      </c>
      <c r="J572" t="s">
        <v>1796</v>
      </c>
      <c r="K572" t="s">
        <v>1796</v>
      </c>
      <c r="L572" t="s">
        <v>21</v>
      </c>
      <c r="M572">
        <v>0</v>
      </c>
      <c r="N572">
        <v>0</v>
      </c>
      <c r="O572" t="str">
        <f>_xlfn.XLOOKUP(olist_closed_deals_dataset[[#This Row],[mql_id]], leads!A:A, leads!D:D, "Unknow" )</f>
        <v>unknown</v>
      </c>
      <c r="P572" t="str">
        <f>IF(olist_closed_deals_dataset[[#This Row],[declared_monthly_revenue]] &gt;= 10000, "High Values ", IF(olist_closed_deals_dataset[[#This Row],[declared_monthly_revenue]] &gt; 0, "Stander ", "No Revenue " ))</f>
        <v xml:space="preserve">No Revenue </v>
      </c>
    </row>
    <row r="573" spans="1:16" x14ac:dyDescent="0.2">
      <c r="A573" t="s">
        <v>1245</v>
      </c>
      <c r="B573" t="s">
        <v>1246</v>
      </c>
      <c r="C573" t="s">
        <v>24</v>
      </c>
      <c r="D573" t="s">
        <v>52</v>
      </c>
      <c r="E573" s="1">
        <v>43293.831006944441</v>
      </c>
      <c r="F573" t="s">
        <v>38</v>
      </c>
      <c r="G573" t="s">
        <v>27</v>
      </c>
      <c r="H573" t="s">
        <v>43</v>
      </c>
      <c r="I573" t="s">
        <v>1796</v>
      </c>
      <c r="J573" t="s">
        <v>1796</v>
      </c>
      <c r="K573" t="s">
        <v>1796</v>
      </c>
      <c r="L573" t="s">
        <v>44</v>
      </c>
      <c r="M573">
        <v>0</v>
      </c>
      <c r="N573">
        <v>0</v>
      </c>
      <c r="O573" t="str">
        <f>_xlfn.XLOOKUP(olist_closed_deals_dataset[[#This Row],[mql_id]], leads!A:A, leads!D:D, "Unknow" )</f>
        <v>unknown</v>
      </c>
      <c r="P573" t="str">
        <f>IF(olist_closed_deals_dataset[[#This Row],[declared_monthly_revenue]] &gt;= 10000, "High Values ", IF(olist_closed_deals_dataset[[#This Row],[declared_monthly_revenue]] &gt; 0, "Stander ", "No Revenue " ))</f>
        <v xml:space="preserve">No Revenue </v>
      </c>
    </row>
    <row r="574" spans="1:16" x14ac:dyDescent="0.2">
      <c r="A574" t="s">
        <v>1247</v>
      </c>
      <c r="B574" t="s">
        <v>1248</v>
      </c>
      <c r="C574" t="s">
        <v>1249</v>
      </c>
      <c r="D574" t="s">
        <v>42</v>
      </c>
      <c r="E574" s="1">
        <v>43312.561979166669</v>
      </c>
      <c r="F574" t="s">
        <v>138</v>
      </c>
      <c r="G574" t="s">
        <v>19</v>
      </c>
      <c r="H574" t="s">
        <v>20</v>
      </c>
      <c r="I574" t="b">
        <v>1</v>
      </c>
      <c r="J574" t="b">
        <v>1</v>
      </c>
      <c r="K574" t="s">
        <v>352</v>
      </c>
      <c r="L574" t="s">
        <v>21</v>
      </c>
      <c r="M574">
        <v>0</v>
      </c>
      <c r="N574">
        <v>0</v>
      </c>
      <c r="O574" t="str">
        <f>_xlfn.XLOOKUP(olist_closed_deals_dataset[[#This Row],[mql_id]], leads!A:A, leads!D:D, "Unknow" )</f>
        <v>direct_traffic</v>
      </c>
      <c r="P574" t="str">
        <f>IF(olist_closed_deals_dataset[[#This Row],[declared_monthly_revenue]] &gt;= 10000, "High Values ", IF(olist_closed_deals_dataset[[#This Row],[declared_monthly_revenue]] &gt; 0, "Stander ", "No Revenue " ))</f>
        <v xml:space="preserve">No Revenue </v>
      </c>
    </row>
    <row r="575" spans="1:16" x14ac:dyDescent="0.2">
      <c r="A575" t="s">
        <v>1250</v>
      </c>
      <c r="B575" t="s">
        <v>1251</v>
      </c>
      <c r="C575" t="s">
        <v>37</v>
      </c>
      <c r="D575" t="s">
        <v>48</v>
      </c>
      <c r="E575" s="1">
        <v>43083.479317129626</v>
      </c>
      <c r="F575" t="s">
        <v>49</v>
      </c>
      <c r="G575" t="s">
        <v>39</v>
      </c>
      <c r="H575" t="s">
        <v>1796</v>
      </c>
      <c r="I575" t="s">
        <v>1796</v>
      </c>
      <c r="J575" t="s">
        <v>1796</v>
      </c>
      <c r="K575" t="s">
        <v>1796</v>
      </c>
      <c r="L575" t="s">
        <v>44</v>
      </c>
      <c r="M575">
        <v>0</v>
      </c>
      <c r="N575">
        <v>0</v>
      </c>
      <c r="O575" t="str">
        <f>_xlfn.XLOOKUP(olist_closed_deals_dataset[[#This Row],[mql_id]], leads!A:A, leads!D:D, "Unknow" )</f>
        <v>paid_search</v>
      </c>
      <c r="P575" t="str">
        <f>IF(olist_closed_deals_dataset[[#This Row],[declared_monthly_revenue]] &gt;= 10000, "High Values ", IF(olist_closed_deals_dataset[[#This Row],[declared_monthly_revenue]] &gt; 0, "Stander ", "No Revenue " ))</f>
        <v xml:space="preserve">No Revenue </v>
      </c>
    </row>
    <row r="576" spans="1:16" x14ac:dyDescent="0.2">
      <c r="A576" t="s">
        <v>1252</v>
      </c>
      <c r="B576" t="s">
        <v>1253</v>
      </c>
      <c r="C576" t="s">
        <v>65</v>
      </c>
      <c r="D576" t="s">
        <v>17</v>
      </c>
      <c r="E576" s="1">
        <v>43172.523032407407</v>
      </c>
      <c r="F576" t="s">
        <v>49</v>
      </c>
      <c r="G576" t="s">
        <v>19</v>
      </c>
      <c r="H576" t="s">
        <v>20</v>
      </c>
      <c r="I576" t="s">
        <v>1796</v>
      </c>
      <c r="J576" t="s">
        <v>1796</v>
      </c>
      <c r="K576" t="s">
        <v>1796</v>
      </c>
      <c r="L576" t="s">
        <v>21</v>
      </c>
      <c r="M576">
        <v>0</v>
      </c>
      <c r="N576">
        <v>0</v>
      </c>
      <c r="O576" t="str">
        <f>_xlfn.XLOOKUP(olist_closed_deals_dataset[[#This Row],[mql_id]], leads!A:A, leads!D:D, "Unknow" )</f>
        <v>direct_traffic</v>
      </c>
      <c r="P576" t="str">
        <f>IF(olist_closed_deals_dataset[[#This Row],[declared_monthly_revenue]] &gt;= 10000, "High Values ", IF(olist_closed_deals_dataset[[#This Row],[declared_monthly_revenue]] &gt; 0, "Stander ", "No Revenue " ))</f>
        <v xml:space="preserve">No Revenue </v>
      </c>
    </row>
    <row r="577" spans="1:16" x14ac:dyDescent="0.2">
      <c r="A577" t="s">
        <v>1254</v>
      </c>
      <c r="B577" t="s">
        <v>1255</v>
      </c>
      <c r="C577" t="s">
        <v>432</v>
      </c>
      <c r="D577" t="s">
        <v>95</v>
      </c>
      <c r="E577" s="1">
        <v>43195.554189814815</v>
      </c>
      <c r="F577" t="s">
        <v>96</v>
      </c>
      <c r="G577" t="s">
        <v>19</v>
      </c>
      <c r="H577" t="s">
        <v>1796</v>
      </c>
      <c r="I577" t="s">
        <v>1796</v>
      </c>
      <c r="J577" t="s">
        <v>1796</v>
      </c>
      <c r="K577" t="s">
        <v>1796</v>
      </c>
      <c r="L577" t="s">
        <v>44</v>
      </c>
      <c r="M577">
        <v>0</v>
      </c>
      <c r="N577">
        <v>0</v>
      </c>
      <c r="O577" t="str">
        <f>_xlfn.XLOOKUP(olist_closed_deals_dataset[[#This Row],[mql_id]], leads!A:A, leads!D:D, "Unknow" )</f>
        <v>organic_search</v>
      </c>
      <c r="P577" t="str">
        <f>IF(olist_closed_deals_dataset[[#This Row],[declared_monthly_revenue]] &gt;= 10000, "High Values ", IF(olist_closed_deals_dataset[[#This Row],[declared_monthly_revenue]] &gt; 0, "Stander ", "No Revenue " ))</f>
        <v xml:space="preserve">No Revenue </v>
      </c>
    </row>
    <row r="578" spans="1:16" x14ac:dyDescent="0.2">
      <c r="A578" t="s">
        <v>1256</v>
      </c>
      <c r="B578" t="s">
        <v>1257</v>
      </c>
      <c r="C578" t="s">
        <v>42</v>
      </c>
      <c r="D578" t="s">
        <v>17</v>
      </c>
      <c r="E578" s="1">
        <v>43250.6718287037</v>
      </c>
      <c r="F578" t="s">
        <v>297</v>
      </c>
      <c r="G578" t="s">
        <v>19</v>
      </c>
      <c r="H578" t="s">
        <v>20</v>
      </c>
      <c r="I578" t="s">
        <v>1796</v>
      </c>
      <c r="J578" t="s">
        <v>1796</v>
      </c>
      <c r="K578" t="s">
        <v>1796</v>
      </c>
      <c r="L578" t="s">
        <v>21</v>
      </c>
      <c r="M578">
        <v>0</v>
      </c>
      <c r="N578">
        <v>0</v>
      </c>
      <c r="O578" t="str">
        <f>_xlfn.XLOOKUP(olist_closed_deals_dataset[[#This Row],[mql_id]], leads!A:A, leads!D:D, "Unknow" )</f>
        <v>unknown</v>
      </c>
      <c r="P578" t="str">
        <f>IF(olist_closed_deals_dataset[[#This Row],[declared_monthly_revenue]] &gt;= 10000, "High Values ", IF(olist_closed_deals_dataset[[#This Row],[declared_monthly_revenue]] &gt; 0, "Stander ", "No Revenue " ))</f>
        <v xml:space="preserve">No Revenue </v>
      </c>
    </row>
    <row r="579" spans="1:16" x14ac:dyDescent="0.2">
      <c r="A579" t="s">
        <v>1258</v>
      </c>
      <c r="B579" t="s">
        <v>1259</v>
      </c>
      <c r="C579" t="s">
        <v>64</v>
      </c>
      <c r="D579" t="s">
        <v>52</v>
      </c>
      <c r="E579" s="1">
        <v>43213.678437499999</v>
      </c>
      <c r="F579" t="s">
        <v>61</v>
      </c>
      <c r="G579" t="s">
        <v>27</v>
      </c>
      <c r="H579" t="s">
        <v>20</v>
      </c>
      <c r="I579" t="s">
        <v>1796</v>
      </c>
      <c r="J579" t="s">
        <v>1796</v>
      </c>
      <c r="K579" t="s">
        <v>1796</v>
      </c>
      <c r="L579" t="s">
        <v>44</v>
      </c>
      <c r="M579">
        <v>0</v>
      </c>
      <c r="N579">
        <v>0</v>
      </c>
      <c r="O579" t="str">
        <f>_xlfn.XLOOKUP(olist_closed_deals_dataset[[#This Row],[mql_id]], leads!A:A, leads!D:D, "Unknow" )</f>
        <v>direct_traffic</v>
      </c>
      <c r="P579" t="str">
        <f>IF(olist_closed_deals_dataset[[#This Row],[declared_monthly_revenue]] &gt;= 10000, "High Values ", IF(olist_closed_deals_dataset[[#This Row],[declared_monthly_revenue]] &gt; 0, "Stander ", "No Revenue " ))</f>
        <v xml:space="preserve">No Revenue </v>
      </c>
    </row>
    <row r="580" spans="1:16" x14ac:dyDescent="0.2">
      <c r="A580" t="s">
        <v>1260</v>
      </c>
      <c r="B580" t="s">
        <v>1261</v>
      </c>
      <c r="C580" t="s">
        <v>65</v>
      </c>
      <c r="D580" t="s">
        <v>32</v>
      </c>
      <c r="E580" s="1">
        <v>43185.671898148146</v>
      </c>
      <c r="F580" t="s">
        <v>68</v>
      </c>
      <c r="G580" t="s">
        <v>19</v>
      </c>
      <c r="H580" t="s">
        <v>20</v>
      </c>
      <c r="I580" t="s">
        <v>1796</v>
      </c>
      <c r="J580" t="s">
        <v>1796</v>
      </c>
      <c r="K580" t="s">
        <v>1796</v>
      </c>
      <c r="L580" t="s">
        <v>21</v>
      </c>
      <c r="M580">
        <v>0</v>
      </c>
      <c r="N580">
        <v>0</v>
      </c>
      <c r="O580" t="str">
        <f>_xlfn.XLOOKUP(olist_closed_deals_dataset[[#This Row],[mql_id]], leads!A:A, leads!D:D, "Unknow" )</f>
        <v>display</v>
      </c>
      <c r="P580" t="str">
        <f>IF(olist_closed_deals_dataset[[#This Row],[declared_monthly_revenue]] &gt;= 10000, "High Values ", IF(olist_closed_deals_dataset[[#This Row],[declared_monthly_revenue]] &gt; 0, "Stander ", "No Revenue " ))</f>
        <v xml:space="preserve">No Revenue </v>
      </c>
    </row>
    <row r="581" spans="1:16" x14ac:dyDescent="0.2">
      <c r="A581" t="s">
        <v>1262</v>
      </c>
      <c r="B581" t="s">
        <v>1263</v>
      </c>
      <c r="C581" t="s">
        <v>64</v>
      </c>
      <c r="D581" t="s">
        <v>71</v>
      </c>
      <c r="E581" s="1">
        <v>43291.482523148145</v>
      </c>
      <c r="F581" t="s">
        <v>494</v>
      </c>
      <c r="G581" t="s">
        <v>19</v>
      </c>
      <c r="H581" t="s">
        <v>20</v>
      </c>
      <c r="I581" t="b">
        <v>0</v>
      </c>
      <c r="J581" t="b">
        <v>0</v>
      </c>
      <c r="K581" t="s">
        <v>86</v>
      </c>
      <c r="L581" t="s">
        <v>21</v>
      </c>
      <c r="M581">
        <v>0</v>
      </c>
      <c r="N581">
        <v>0</v>
      </c>
      <c r="O581" t="str">
        <f>_xlfn.XLOOKUP(olist_closed_deals_dataset[[#This Row],[mql_id]], leads!A:A, leads!D:D, "Unknow" )</f>
        <v>paid_search</v>
      </c>
      <c r="P581" t="str">
        <f>IF(olist_closed_deals_dataset[[#This Row],[declared_monthly_revenue]] &gt;= 10000, "High Values ", IF(olist_closed_deals_dataset[[#This Row],[declared_monthly_revenue]] &gt; 0, "Stander ", "No Revenue " ))</f>
        <v xml:space="preserve">No Revenue </v>
      </c>
    </row>
    <row r="582" spans="1:16" x14ac:dyDescent="0.2">
      <c r="A582" t="s">
        <v>1264</v>
      </c>
      <c r="B582" t="s">
        <v>1265</v>
      </c>
      <c r="C582" t="s">
        <v>65</v>
      </c>
      <c r="D582" t="s">
        <v>89</v>
      </c>
      <c r="E582" s="1">
        <v>43172.90247685185</v>
      </c>
      <c r="F582" t="s">
        <v>49</v>
      </c>
      <c r="G582" t="s">
        <v>19</v>
      </c>
      <c r="H582" t="s">
        <v>122</v>
      </c>
      <c r="I582" t="s">
        <v>1796</v>
      </c>
      <c r="J582" t="s">
        <v>1796</v>
      </c>
      <c r="K582" t="s">
        <v>1796</v>
      </c>
      <c r="L582" t="s">
        <v>21</v>
      </c>
      <c r="M582">
        <v>0</v>
      </c>
      <c r="N582">
        <v>0</v>
      </c>
      <c r="O582" t="str">
        <f>_xlfn.XLOOKUP(olist_closed_deals_dataset[[#This Row],[mql_id]], leads!A:A, leads!D:D, "Unknow" )</f>
        <v>paid_search</v>
      </c>
      <c r="P582" t="str">
        <f>IF(olist_closed_deals_dataset[[#This Row],[declared_monthly_revenue]] &gt;= 10000, "High Values ", IF(olist_closed_deals_dataset[[#This Row],[declared_monthly_revenue]] &gt; 0, "Stander ", "No Revenue " ))</f>
        <v xml:space="preserve">No Revenue </v>
      </c>
    </row>
    <row r="583" spans="1:16" x14ac:dyDescent="0.2">
      <c r="A583" t="s">
        <v>1266</v>
      </c>
      <c r="B583" t="s">
        <v>1267</v>
      </c>
      <c r="C583" t="s">
        <v>65</v>
      </c>
      <c r="D583" t="s">
        <v>48</v>
      </c>
      <c r="E583" s="1">
        <v>43159.891817129632</v>
      </c>
      <c r="F583" t="s">
        <v>204</v>
      </c>
      <c r="G583" t="s">
        <v>27</v>
      </c>
      <c r="H583" t="s">
        <v>20</v>
      </c>
      <c r="I583" t="s">
        <v>1796</v>
      </c>
      <c r="J583" t="s">
        <v>1796</v>
      </c>
      <c r="K583" t="s">
        <v>1796</v>
      </c>
      <c r="L583" t="s">
        <v>44</v>
      </c>
      <c r="M583">
        <v>0</v>
      </c>
      <c r="N583">
        <v>0</v>
      </c>
      <c r="O583" t="str">
        <f>_xlfn.XLOOKUP(olist_closed_deals_dataset[[#This Row],[mql_id]], leads!A:A, leads!D:D, "Unknow" )</f>
        <v>organic_search</v>
      </c>
      <c r="P583" t="str">
        <f>IF(olist_closed_deals_dataset[[#This Row],[declared_monthly_revenue]] &gt;= 10000, "High Values ", IF(olist_closed_deals_dataset[[#This Row],[declared_monthly_revenue]] &gt; 0, "Stander ", "No Revenue " ))</f>
        <v xml:space="preserve">No Revenue </v>
      </c>
    </row>
    <row r="584" spans="1:16" x14ac:dyDescent="0.2">
      <c r="A584" t="s">
        <v>1268</v>
      </c>
      <c r="B584" t="s">
        <v>1269</v>
      </c>
      <c r="C584" t="s">
        <v>42</v>
      </c>
      <c r="D584" t="s">
        <v>52</v>
      </c>
      <c r="E584" s="1">
        <v>43194.78702546296</v>
      </c>
      <c r="F584" t="s">
        <v>96</v>
      </c>
      <c r="G584" t="s">
        <v>34</v>
      </c>
      <c r="H584" t="s">
        <v>43</v>
      </c>
      <c r="I584" t="s">
        <v>1796</v>
      </c>
      <c r="J584" t="s">
        <v>1796</v>
      </c>
      <c r="K584" t="s">
        <v>1796</v>
      </c>
      <c r="L584" t="s">
        <v>44</v>
      </c>
      <c r="M584">
        <v>0</v>
      </c>
      <c r="N584">
        <v>0</v>
      </c>
      <c r="O584" t="str">
        <f>_xlfn.XLOOKUP(olist_closed_deals_dataset[[#This Row],[mql_id]], leads!A:A, leads!D:D, "Unknow" )</f>
        <v>organic_search</v>
      </c>
      <c r="P584" t="str">
        <f>IF(olist_closed_deals_dataset[[#This Row],[declared_monthly_revenue]] &gt;= 10000, "High Values ", IF(olist_closed_deals_dataset[[#This Row],[declared_monthly_revenue]] &gt; 0, "Stander ", "No Revenue " ))</f>
        <v xml:space="preserve">No Revenue </v>
      </c>
    </row>
    <row r="585" spans="1:16" x14ac:dyDescent="0.2">
      <c r="A585" t="s">
        <v>1270</v>
      </c>
      <c r="B585" t="s">
        <v>1271</v>
      </c>
      <c r="C585" t="s">
        <v>60</v>
      </c>
      <c r="D585" t="s">
        <v>32</v>
      </c>
      <c r="E585" s="1">
        <v>43228.843182870369</v>
      </c>
      <c r="F585" t="s">
        <v>82</v>
      </c>
      <c r="G585" t="s">
        <v>57</v>
      </c>
      <c r="H585" t="s">
        <v>28</v>
      </c>
      <c r="I585" t="s">
        <v>1796</v>
      </c>
      <c r="J585" t="s">
        <v>1796</v>
      </c>
      <c r="K585" t="s">
        <v>1796</v>
      </c>
      <c r="L585" t="s">
        <v>44</v>
      </c>
      <c r="M585">
        <v>0</v>
      </c>
      <c r="N585">
        <v>0</v>
      </c>
      <c r="O585" t="str">
        <f>_xlfn.XLOOKUP(olist_closed_deals_dataset[[#This Row],[mql_id]], leads!A:A, leads!D:D, "Unknow" )</f>
        <v>unknown</v>
      </c>
      <c r="P585" t="str">
        <f>IF(olist_closed_deals_dataset[[#This Row],[declared_monthly_revenue]] &gt;= 10000, "High Values ", IF(olist_closed_deals_dataset[[#This Row],[declared_monthly_revenue]] &gt; 0, "Stander ", "No Revenue " ))</f>
        <v xml:space="preserve">No Revenue </v>
      </c>
    </row>
    <row r="586" spans="1:16" x14ac:dyDescent="0.2">
      <c r="A586" t="s">
        <v>1272</v>
      </c>
      <c r="B586" t="s">
        <v>1273</v>
      </c>
      <c r="C586" t="s">
        <v>64</v>
      </c>
      <c r="D586" t="s">
        <v>95</v>
      </c>
      <c r="E586" s="1">
        <v>43208.837442129632</v>
      </c>
      <c r="F586" t="s">
        <v>138</v>
      </c>
      <c r="G586" t="s">
        <v>19</v>
      </c>
      <c r="H586" t="s">
        <v>20</v>
      </c>
      <c r="I586" t="s">
        <v>1796</v>
      </c>
      <c r="J586" t="s">
        <v>1796</v>
      </c>
      <c r="K586" t="s">
        <v>1796</v>
      </c>
      <c r="L586" t="s">
        <v>21</v>
      </c>
      <c r="M586">
        <v>0</v>
      </c>
      <c r="N586">
        <v>0</v>
      </c>
      <c r="O586" t="str">
        <f>_xlfn.XLOOKUP(olist_closed_deals_dataset[[#This Row],[mql_id]], leads!A:A, leads!D:D, "Unknow" )</f>
        <v>organic_search</v>
      </c>
      <c r="P586" t="str">
        <f>IF(olist_closed_deals_dataset[[#This Row],[declared_monthly_revenue]] &gt;= 10000, "High Values ", IF(olist_closed_deals_dataset[[#This Row],[declared_monthly_revenue]] &gt; 0, "Stander ", "No Revenue " ))</f>
        <v xml:space="preserve">No Revenue </v>
      </c>
    </row>
    <row r="587" spans="1:16" x14ac:dyDescent="0.2">
      <c r="A587" t="s">
        <v>1274</v>
      </c>
      <c r="B587" t="s">
        <v>1275</v>
      </c>
      <c r="C587" t="s">
        <v>16</v>
      </c>
      <c r="D587" t="s">
        <v>16</v>
      </c>
      <c r="E587" s="1">
        <v>43234.518067129633</v>
      </c>
      <c r="F587" t="s">
        <v>68</v>
      </c>
      <c r="G587" t="s">
        <v>27</v>
      </c>
      <c r="H587" t="s">
        <v>20</v>
      </c>
      <c r="I587" t="s">
        <v>1796</v>
      </c>
      <c r="J587" t="s">
        <v>1796</v>
      </c>
      <c r="K587" t="s">
        <v>1796</v>
      </c>
      <c r="L587" t="s">
        <v>44</v>
      </c>
      <c r="M587">
        <v>0</v>
      </c>
      <c r="N587">
        <v>0</v>
      </c>
      <c r="O587" t="str">
        <f>_xlfn.XLOOKUP(olist_closed_deals_dataset[[#This Row],[mql_id]], leads!A:A, leads!D:D, "Unknow" )</f>
        <v>paid_search</v>
      </c>
      <c r="P587" t="str">
        <f>IF(olist_closed_deals_dataset[[#This Row],[declared_monthly_revenue]] &gt;= 10000, "High Values ", IF(olist_closed_deals_dataset[[#This Row],[declared_monthly_revenue]] &gt; 0, "Stander ", "No Revenue " ))</f>
        <v xml:space="preserve">No Revenue </v>
      </c>
    </row>
    <row r="588" spans="1:16" x14ac:dyDescent="0.2">
      <c r="A588" t="s">
        <v>1276</v>
      </c>
      <c r="B588" t="s">
        <v>1277</v>
      </c>
      <c r="C588" t="s">
        <v>127</v>
      </c>
      <c r="D588" t="s">
        <v>16</v>
      </c>
      <c r="E588" s="1">
        <v>43235.85701388889</v>
      </c>
      <c r="F588" t="s">
        <v>68</v>
      </c>
      <c r="G588" t="s">
        <v>19</v>
      </c>
      <c r="H588" t="s">
        <v>28</v>
      </c>
      <c r="I588" t="s">
        <v>1796</v>
      </c>
      <c r="J588" t="s">
        <v>1796</v>
      </c>
      <c r="K588" t="s">
        <v>1796</v>
      </c>
      <c r="L588" t="s">
        <v>21</v>
      </c>
      <c r="M588">
        <v>0</v>
      </c>
      <c r="N588">
        <v>0</v>
      </c>
      <c r="O588" t="str">
        <f>_xlfn.XLOOKUP(olist_closed_deals_dataset[[#This Row],[mql_id]], leads!A:A, leads!D:D, "Unknow" )</f>
        <v>organic_search</v>
      </c>
      <c r="P588" t="str">
        <f>IF(olist_closed_deals_dataset[[#This Row],[declared_monthly_revenue]] &gt;= 10000, "High Values ", IF(olist_closed_deals_dataset[[#This Row],[declared_monthly_revenue]] &gt; 0, "Stander ", "No Revenue " ))</f>
        <v xml:space="preserve">No Revenue </v>
      </c>
    </row>
    <row r="589" spans="1:16" x14ac:dyDescent="0.2">
      <c r="A589" t="s">
        <v>1278</v>
      </c>
      <c r="B589" t="s">
        <v>1279</v>
      </c>
      <c r="C589" t="s">
        <v>509</v>
      </c>
      <c r="D589" t="s">
        <v>52</v>
      </c>
      <c r="E589" s="1">
        <v>43336.495925925927</v>
      </c>
      <c r="F589" t="s">
        <v>68</v>
      </c>
      <c r="G589" t="s">
        <v>34</v>
      </c>
      <c r="H589" t="s">
        <v>20</v>
      </c>
      <c r="I589" t="b">
        <v>1</v>
      </c>
      <c r="J589" t="b">
        <v>1</v>
      </c>
      <c r="K589" t="s">
        <v>352</v>
      </c>
      <c r="L589" t="s">
        <v>21</v>
      </c>
      <c r="M589">
        <v>300</v>
      </c>
      <c r="N589">
        <v>0</v>
      </c>
      <c r="O589" t="str">
        <f>_xlfn.XLOOKUP(olist_closed_deals_dataset[[#This Row],[mql_id]], leads!A:A, leads!D:D, "Unknow" )</f>
        <v>paid_search</v>
      </c>
      <c r="P589" t="str">
        <f>IF(olist_closed_deals_dataset[[#This Row],[declared_monthly_revenue]] &gt;= 10000, "High Values ", IF(olist_closed_deals_dataset[[#This Row],[declared_monthly_revenue]] &gt; 0, "Stander ", "No Revenue " ))</f>
        <v xml:space="preserve">No Revenue </v>
      </c>
    </row>
    <row r="590" spans="1:16" x14ac:dyDescent="0.2">
      <c r="A590" t="s">
        <v>1280</v>
      </c>
      <c r="B590" t="s">
        <v>1281</v>
      </c>
      <c r="C590" t="s">
        <v>24</v>
      </c>
      <c r="D590" t="s">
        <v>95</v>
      </c>
      <c r="E590" s="1">
        <v>43196.68582175926</v>
      </c>
      <c r="F590" t="s">
        <v>1282</v>
      </c>
      <c r="G590" t="s">
        <v>39</v>
      </c>
      <c r="H590" t="s">
        <v>20</v>
      </c>
      <c r="I590" t="s">
        <v>1796</v>
      </c>
      <c r="J590" t="s">
        <v>1796</v>
      </c>
      <c r="K590" t="s">
        <v>1796</v>
      </c>
      <c r="L590" t="s">
        <v>44</v>
      </c>
      <c r="M590">
        <v>0</v>
      </c>
      <c r="N590">
        <v>0</v>
      </c>
      <c r="O590" t="str">
        <f>_xlfn.XLOOKUP(olist_closed_deals_dataset[[#This Row],[mql_id]], leads!A:A, leads!D:D, "Unknow" )</f>
        <v>unknown</v>
      </c>
      <c r="P590" t="str">
        <f>IF(olist_closed_deals_dataset[[#This Row],[declared_monthly_revenue]] &gt;= 10000, "High Values ", IF(olist_closed_deals_dataset[[#This Row],[declared_monthly_revenue]] &gt; 0, "Stander ", "No Revenue " ))</f>
        <v xml:space="preserve">No Revenue </v>
      </c>
    </row>
    <row r="591" spans="1:16" x14ac:dyDescent="0.2">
      <c r="A591" t="s">
        <v>1283</v>
      </c>
      <c r="B591" t="s">
        <v>1284</v>
      </c>
      <c r="C591" t="s">
        <v>60</v>
      </c>
      <c r="D591" t="s">
        <v>48</v>
      </c>
      <c r="E591" s="1">
        <v>43332.743703703702</v>
      </c>
      <c r="F591" t="s">
        <v>18</v>
      </c>
      <c r="G591" t="s">
        <v>27</v>
      </c>
      <c r="H591" t="s">
        <v>43</v>
      </c>
      <c r="I591" t="s">
        <v>1796</v>
      </c>
      <c r="J591" t="s">
        <v>1796</v>
      </c>
      <c r="K591" t="s">
        <v>352</v>
      </c>
      <c r="L591" t="s">
        <v>21</v>
      </c>
      <c r="M591">
        <v>50</v>
      </c>
      <c r="N591">
        <v>300000</v>
      </c>
      <c r="O591" t="str">
        <f>_xlfn.XLOOKUP(olist_closed_deals_dataset[[#This Row],[mql_id]], leads!A:A, leads!D:D, "Unknow" )</f>
        <v>organic_search</v>
      </c>
      <c r="P591" t="str">
        <f>IF(olist_closed_deals_dataset[[#This Row],[declared_monthly_revenue]] &gt;= 10000, "High Values ", IF(olist_closed_deals_dataset[[#This Row],[declared_monthly_revenue]] &gt; 0, "Stander ", "No Revenue " ))</f>
        <v xml:space="preserve">High Values </v>
      </c>
    </row>
    <row r="592" spans="1:16" x14ac:dyDescent="0.2">
      <c r="A592" t="s">
        <v>1285</v>
      </c>
      <c r="B592" t="s">
        <v>1286</v>
      </c>
      <c r="C592" t="s">
        <v>24</v>
      </c>
      <c r="D592" t="s">
        <v>74</v>
      </c>
      <c r="E592" s="1">
        <v>43217.678900462961</v>
      </c>
      <c r="F592" t="s">
        <v>49</v>
      </c>
      <c r="G592" t="s">
        <v>57</v>
      </c>
      <c r="H592" t="s">
        <v>20</v>
      </c>
      <c r="I592" t="s">
        <v>1796</v>
      </c>
      <c r="J592" t="s">
        <v>1796</v>
      </c>
      <c r="K592" t="s">
        <v>1796</v>
      </c>
      <c r="L592" t="s">
        <v>21</v>
      </c>
      <c r="M592">
        <v>0</v>
      </c>
      <c r="N592">
        <v>0</v>
      </c>
      <c r="O592" t="str">
        <f>_xlfn.XLOOKUP(olist_closed_deals_dataset[[#This Row],[mql_id]], leads!A:A, leads!D:D, "Unknow" )</f>
        <v>unknown</v>
      </c>
      <c r="P592" t="str">
        <f>IF(olist_closed_deals_dataset[[#This Row],[declared_monthly_revenue]] &gt;= 10000, "High Values ", IF(olist_closed_deals_dataset[[#This Row],[declared_monthly_revenue]] &gt; 0, "Stander ", "No Revenue " ))</f>
        <v xml:space="preserve">No Revenue </v>
      </c>
    </row>
    <row r="593" spans="1:16" x14ac:dyDescent="0.2">
      <c r="A593" t="s">
        <v>1287</v>
      </c>
      <c r="B593" t="s">
        <v>1288</v>
      </c>
      <c r="C593" t="s">
        <v>42</v>
      </c>
      <c r="D593" t="s">
        <v>32</v>
      </c>
      <c r="E593" s="1">
        <v>43165.784062500003</v>
      </c>
      <c r="F593" t="s">
        <v>53</v>
      </c>
      <c r="G593" t="s">
        <v>19</v>
      </c>
      <c r="H593" t="s">
        <v>43</v>
      </c>
      <c r="I593" t="s">
        <v>1796</v>
      </c>
      <c r="J593" t="s">
        <v>1796</v>
      </c>
      <c r="K593" t="s">
        <v>1796</v>
      </c>
      <c r="L593" t="s">
        <v>21</v>
      </c>
      <c r="M593">
        <v>0</v>
      </c>
      <c r="N593">
        <v>0</v>
      </c>
      <c r="O593" t="str">
        <f>_xlfn.XLOOKUP(olist_closed_deals_dataset[[#This Row],[mql_id]], leads!A:A, leads!D:D, "Unknow" )</f>
        <v>organic_search</v>
      </c>
      <c r="P593" t="str">
        <f>IF(olist_closed_deals_dataset[[#This Row],[declared_monthly_revenue]] &gt;= 10000, "High Values ", IF(olist_closed_deals_dataset[[#This Row],[declared_monthly_revenue]] &gt; 0, "Stander ", "No Revenue " ))</f>
        <v xml:space="preserve">No Revenue </v>
      </c>
    </row>
    <row r="594" spans="1:16" x14ac:dyDescent="0.2">
      <c r="A594" t="s">
        <v>1289</v>
      </c>
      <c r="B594" t="s">
        <v>1290</v>
      </c>
      <c r="C594" t="s">
        <v>127</v>
      </c>
      <c r="D594" t="s">
        <v>71</v>
      </c>
      <c r="E594" s="1">
        <v>43220.125</v>
      </c>
      <c r="F594" t="s">
        <v>26</v>
      </c>
      <c r="G594" t="s">
        <v>27</v>
      </c>
      <c r="H594" t="s">
        <v>28</v>
      </c>
      <c r="I594" t="s">
        <v>1796</v>
      </c>
      <c r="J594" t="s">
        <v>1796</v>
      </c>
      <c r="K594" t="s">
        <v>1796</v>
      </c>
      <c r="L594" t="s">
        <v>44</v>
      </c>
      <c r="M594">
        <v>0</v>
      </c>
      <c r="N594">
        <v>0</v>
      </c>
      <c r="O594" t="str">
        <f>_xlfn.XLOOKUP(olist_closed_deals_dataset[[#This Row],[mql_id]], leads!A:A, leads!D:D, "Unknow" )</f>
        <v>email</v>
      </c>
      <c r="P594" t="str">
        <f>IF(olist_closed_deals_dataset[[#This Row],[declared_monthly_revenue]] &gt;= 10000, "High Values ", IF(olist_closed_deals_dataset[[#This Row],[declared_monthly_revenue]] &gt; 0, "Stander ", "No Revenue " ))</f>
        <v xml:space="preserve">No Revenue </v>
      </c>
    </row>
    <row r="595" spans="1:16" x14ac:dyDescent="0.2">
      <c r="A595" t="s">
        <v>1291</v>
      </c>
      <c r="B595" t="s">
        <v>1292</v>
      </c>
      <c r="C595" t="s">
        <v>71</v>
      </c>
      <c r="D595" t="s">
        <v>17</v>
      </c>
      <c r="E595" s="1">
        <v>43146.624039351853</v>
      </c>
      <c r="F595" t="s">
        <v>85</v>
      </c>
      <c r="G595" t="s">
        <v>27</v>
      </c>
      <c r="H595" t="s">
        <v>20</v>
      </c>
      <c r="I595" t="s">
        <v>1796</v>
      </c>
      <c r="J595" t="s">
        <v>1796</v>
      </c>
      <c r="K595" t="s">
        <v>1796</v>
      </c>
      <c r="L595" t="s">
        <v>44</v>
      </c>
      <c r="M595">
        <v>0</v>
      </c>
      <c r="N595">
        <v>0</v>
      </c>
      <c r="O595" t="str">
        <f>_xlfn.XLOOKUP(olist_closed_deals_dataset[[#This Row],[mql_id]], leads!A:A, leads!D:D, "Unknow" )</f>
        <v>paid_search</v>
      </c>
      <c r="P595" t="str">
        <f>IF(olist_closed_deals_dataset[[#This Row],[declared_monthly_revenue]] &gt;= 10000, "High Values ", IF(olist_closed_deals_dataset[[#This Row],[declared_monthly_revenue]] &gt; 0, "Stander ", "No Revenue " ))</f>
        <v xml:space="preserve">No Revenue </v>
      </c>
    </row>
    <row r="596" spans="1:16" x14ac:dyDescent="0.2">
      <c r="A596" t="s">
        <v>1293</v>
      </c>
      <c r="B596" t="s">
        <v>1294</v>
      </c>
      <c r="C596" t="s">
        <v>37</v>
      </c>
      <c r="D596" t="s">
        <v>102</v>
      </c>
      <c r="E596" s="1">
        <v>43140.715949074074</v>
      </c>
      <c r="F596" t="s">
        <v>131</v>
      </c>
      <c r="G596" t="s">
        <v>1797</v>
      </c>
      <c r="H596" t="s">
        <v>20</v>
      </c>
      <c r="I596" t="s">
        <v>1796</v>
      </c>
      <c r="J596" t="s">
        <v>1796</v>
      </c>
      <c r="K596" t="s">
        <v>1796</v>
      </c>
      <c r="L596" t="s">
        <v>21</v>
      </c>
      <c r="M596">
        <v>0</v>
      </c>
      <c r="N596">
        <v>0</v>
      </c>
      <c r="O596" t="str">
        <f>_xlfn.XLOOKUP(olist_closed_deals_dataset[[#This Row],[mql_id]], leads!A:A, leads!D:D, "Unknow" )</f>
        <v>organic_search</v>
      </c>
      <c r="P596" t="str">
        <f>IF(olist_closed_deals_dataset[[#This Row],[declared_monthly_revenue]] &gt;= 10000, "High Values ", IF(olist_closed_deals_dataset[[#This Row],[declared_monthly_revenue]] &gt; 0, "Stander ", "No Revenue " ))</f>
        <v xml:space="preserve">No Revenue </v>
      </c>
    </row>
    <row r="597" spans="1:16" x14ac:dyDescent="0.2">
      <c r="A597" t="s">
        <v>1295</v>
      </c>
      <c r="B597" t="s">
        <v>1296</v>
      </c>
      <c r="C597" t="s">
        <v>42</v>
      </c>
      <c r="D597" t="s">
        <v>25</v>
      </c>
      <c r="E597" s="1">
        <v>43215.8049537037</v>
      </c>
      <c r="F597" t="s">
        <v>26</v>
      </c>
      <c r="G597" t="s">
        <v>27</v>
      </c>
      <c r="H597" t="s">
        <v>122</v>
      </c>
      <c r="I597" t="s">
        <v>1796</v>
      </c>
      <c r="J597" t="s">
        <v>1796</v>
      </c>
      <c r="K597" t="s">
        <v>1796</v>
      </c>
      <c r="L597" t="s">
        <v>44</v>
      </c>
      <c r="M597">
        <v>0</v>
      </c>
      <c r="N597">
        <v>0</v>
      </c>
      <c r="O597" t="str">
        <f>_xlfn.XLOOKUP(olist_closed_deals_dataset[[#This Row],[mql_id]], leads!A:A, leads!D:D, "Unknow" )</f>
        <v>paid_search</v>
      </c>
      <c r="P597" t="str">
        <f>IF(olist_closed_deals_dataset[[#This Row],[declared_monthly_revenue]] &gt;= 10000, "High Values ", IF(olist_closed_deals_dataset[[#This Row],[declared_monthly_revenue]] &gt; 0, "Stander ", "No Revenue " ))</f>
        <v xml:space="preserve">No Revenue </v>
      </c>
    </row>
    <row r="598" spans="1:16" x14ac:dyDescent="0.2">
      <c r="A598" t="s">
        <v>1297</v>
      </c>
      <c r="B598" t="s">
        <v>1298</v>
      </c>
      <c r="C598" t="s">
        <v>42</v>
      </c>
      <c r="D598" t="s">
        <v>89</v>
      </c>
      <c r="E598" s="1">
        <v>43203.497824074075</v>
      </c>
      <c r="F598" t="s">
        <v>49</v>
      </c>
      <c r="G598" t="s">
        <v>57</v>
      </c>
      <c r="H598" t="s">
        <v>20</v>
      </c>
      <c r="I598" t="s">
        <v>1796</v>
      </c>
      <c r="J598" t="s">
        <v>1796</v>
      </c>
      <c r="K598" t="s">
        <v>1796</v>
      </c>
      <c r="L598" t="s">
        <v>21</v>
      </c>
      <c r="M598">
        <v>0</v>
      </c>
      <c r="N598">
        <v>0</v>
      </c>
      <c r="O598" t="str">
        <f>_xlfn.XLOOKUP(olist_closed_deals_dataset[[#This Row],[mql_id]], leads!A:A, leads!D:D, "Unknow" )</f>
        <v>organic_search</v>
      </c>
      <c r="P598" t="str">
        <f>IF(olist_closed_deals_dataset[[#This Row],[declared_monthly_revenue]] &gt;= 10000, "High Values ", IF(olist_closed_deals_dataset[[#This Row],[declared_monthly_revenue]] &gt; 0, "Stander ", "No Revenue " ))</f>
        <v xml:space="preserve">No Revenue </v>
      </c>
    </row>
    <row r="599" spans="1:16" x14ac:dyDescent="0.2">
      <c r="A599" t="s">
        <v>1299</v>
      </c>
      <c r="B599" t="s">
        <v>1300</v>
      </c>
      <c r="C599" t="s">
        <v>71</v>
      </c>
      <c r="D599" t="s">
        <v>25</v>
      </c>
      <c r="E599" s="1">
        <v>43125.62771990741</v>
      </c>
      <c r="F599" t="s">
        <v>96</v>
      </c>
      <c r="G599" t="s">
        <v>19</v>
      </c>
      <c r="H599" t="s">
        <v>1796</v>
      </c>
      <c r="I599" t="s">
        <v>1796</v>
      </c>
      <c r="J599" t="s">
        <v>1796</v>
      </c>
      <c r="K599" t="s">
        <v>1796</v>
      </c>
      <c r="L599" t="s">
        <v>21</v>
      </c>
      <c r="M599">
        <v>0</v>
      </c>
      <c r="N599">
        <v>0</v>
      </c>
      <c r="O599" t="str">
        <f>_xlfn.XLOOKUP(olist_closed_deals_dataset[[#This Row],[mql_id]], leads!A:A, leads!D:D, "Unknow" )</f>
        <v>unknown</v>
      </c>
      <c r="P599" t="str">
        <f>IF(olist_closed_deals_dataset[[#This Row],[declared_monthly_revenue]] &gt;= 10000, "High Values ", IF(olist_closed_deals_dataset[[#This Row],[declared_monthly_revenue]] &gt; 0, "Stander ", "No Revenue " ))</f>
        <v xml:space="preserve">No Revenue </v>
      </c>
    </row>
    <row r="600" spans="1:16" x14ac:dyDescent="0.2">
      <c r="A600" t="s">
        <v>1301</v>
      </c>
      <c r="B600" t="s">
        <v>1302</v>
      </c>
      <c r="C600" t="s">
        <v>16</v>
      </c>
      <c r="D600" t="s">
        <v>52</v>
      </c>
      <c r="E600" s="1">
        <v>43195.781898148147</v>
      </c>
      <c r="F600" t="s">
        <v>204</v>
      </c>
      <c r="G600" t="s">
        <v>27</v>
      </c>
      <c r="H600" t="s">
        <v>20</v>
      </c>
      <c r="I600" t="s">
        <v>1796</v>
      </c>
      <c r="J600" t="s">
        <v>1796</v>
      </c>
      <c r="K600" t="s">
        <v>1796</v>
      </c>
      <c r="L600" t="s">
        <v>44</v>
      </c>
      <c r="M600">
        <v>0</v>
      </c>
      <c r="N600">
        <v>0</v>
      </c>
      <c r="O600" t="str">
        <f>_xlfn.XLOOKUP(olist_closed_deals_dataset[[#This Row],[mql_id]], leads!A:A, leads!D:D, "Unknow" )</f>
        <v>unknown</v>
      </c>
      <c r="P600" t="str">
        <f>IF(olist_closed_deals_dataset[[#This Row],[declared_monthly_revenue]] &gt;= 10000, "High Values ", IF(olist_closed_deals_dataset[[#This Row],[declared_monthly_revenue]] &gt; 0, "Stander ", "No Revenue " ))</f>
        <v xml:space="preserve">No Revenue </v>
      </c>
    </row>
    <row r="601" spans="1:16" x14ac:dyDescent="0.2">
      <c r="A601" t="s">
        <v>1303</v>
      </c>
      <c r="B601" t="s">
        <v>1304</v>
      </c>
      <c r="C601" t="s">
        <v>127</v>
      </c>
      <c r="D601" t="s">
        <v>52</v>
      </c>
      <c r="E601" s="1">
        <v>43200.587453703702</v>
      </c>
      <c r="F601" t="s">
        <v>138</v>
      </c>
      <c r="G601" t="s">
        <v>34</v>
      </c>
      <c r="H601" t="s">
        <v>20</v>
      </c>
      <c r="I601" t="s">
        <v>1796</v>
      </c>
      <c r="J601" t="s">
        <v>1796</v>
      </c>
      <c r="K601" t="s">
        <v>1796</v>
      </c>
      <c r="L601" t="s">
        <v>21</v>
      </c>
      <c r="M601">
        <v>0</v>
      </c>
      <c r="N601">
        <v>0</v>
      </c>
      <c r="O601" t="str">
        <f>_xlfn.XLOOKUP(olist_closed_deals_dataset[[#This Row],[mql_id]], leads!A:A, leads!D:D, "Unknow" )</f>
        <v>social</v>
      </c>
      <c r="P601" t="str">
        <f>IF(olist_closed_deals_dataset[[#This Row],[declared_monthly_revenue]] &gt;= 10000, "High Values ", IF(olist_closed_deals_dataset[[#This Row],[declared_monthly_revenue]] &gt; 0, "Stander ", "No Revenue " ))</f>
        <v xml:space="preserve">No Revenue </v>
      </c>
    </row>
    <row r="602" spans="1:16" x14ac:dyDescent="0.2">
      <c r="A602" t="s">
        <v>1305</v>
      </c>
      <c r="B602" t="s">
        <v>1306</v>
      </c>
      <c r="C602" t="s">
        <v>37</v>
      </c>
      <c r="D602" t="s">
        <v>102</v>
      </c>
      <c r="E602" s="1">
        <v>43157.772280092591</v>
      </c>
      <c r="F602" t="s">
        <v>26</v>
      </c>
      <c r="G602" t="s">
        <v>19</v>
      </c>
      <c r="H602" t="s">
        <v>20</v>
      </c>
      <c r="I602" t="s">
        <v>1796</v>
      </c>
      <c r="J602" t="s">
        <v>1796</v>
      </c>
      <c r="K602" t="s">
        <v>1796</v>
      </c>
      <c r="L602" t="s">
        <v>21</v>
      </c>
      <c r="M602">
        <v>0</v>
      </c>
      <c r="N602">
        <v>0</v>
      </c>
      <c r="O602" t="str">
        <f>_xlfn.XLOOKUP(olist_closed_deals_dataset[[#This Row],[mql_id]], leads!A:A, leads!D:D, "Unknow" )</f>
        <v>paid_search</v>
      </c>
      <c r="P602" t="str">
        <f>IF(olist_closed_deals_dataset[[#This Row],[declared_monthly_revenue]] &gt;= 10000, "High Values ", IF(olist_closed_deals_dataset[[#This Row],[declared_monthly_revenue]] &gt; 0, "Stander ", "No Revenue " ))</f>
        <v xml:space="preserve">No Revenue </v>
      </c>
    </row>
    <row r="603" spans="1:16" x14ac:dyDescent="0.2">
      <c r="A603" t="s">
        <v>1307</v>
      </c>
      <c r="B603" t="s">
        <v>1308</v>
      </c>
      <c r="C603" t="s">
        <v>31</v>
      </c>
      <c r="D603" t="s">
        <v>48</v>
      </c>
      <c r="E603" s="1">
        <v>43258.598113425927</v>
      </c>
      <c r="F603" t="s">
        <v>1309</v>
      </c>
      <c r="G603" t="s">
        <v>19</v>
      </c>
      <c r="H603" t="s">
        <v>1310</v>
      </c>
      <c r="I603" t="s">
        <v>1796</v>
      </c>
      <c r="J603" t="s">
        <v>1796</v>
      </c>
      <c r="K603" t="s">
        <v>1796</v>
      </c>
      <c r="L603" t="s">
        <v>21</v>
      </c>
      <c r="M603">
        <v>0</v>
      </c>
      <c r="N603">
        <v>0</v>
      </c>
      <c r="O603" t="str">
        <f>_xlfn.XLOOKUP(olist_closed_deals_dataset[[#This Row],[mql_id]], leads!A:A, leads!D:D, "Unknow" )</f>
        <v>unknown</v>
      </c>
      <c r="P603" t="str">
        <f>IF(olist_closed_deals_dataset[[#This Row],[declared_monthly_revenue]] &gt;= 10000, "High Values ", IF(olist_closed_deals_dataset[[#This Row],[declared_monthly_revenue]] &gt; 0, "Stander ", "No Revenue " ))</f>
        <v xml:space="preserve">No Revenue </v>
      </c>
    </row>
    <row r="604" spans="1:16" x14ac:dyDescent="0.2">
      <c r="A604" t="s">
        <v>1311</v>
      </c>
      <c r="B604" t="s">
        <v>1312</v>
      </c>
      <c r="C604" t="s">
        <v>47</v>
      </c>
      <c r="D604" t="s">
        <v>17</v>
      </c>
      <c r="E604" s="1">
        <v>43131.866562499999</v>
      </c>
      <c r="F604" t="s">
        <v>204</v>
      </c>
      <c r="G604" t="s">
        <v>27</v>
      </c>
      <c r="H604" t="s">
        <v>1796</v>
      </c>
      <c r="I604" t="s">
        <v>1796</v>
      </c>
      <c r="J604" t="s">
        <v>1796</v>
      </c>
      <c r="K604" t="s">
        <v>1796</v>
      </c>
      <c r="L604" t="s">
        <v>44</v>
      </c>
      <c r="M604">
        <v>0</v>
      </c>
      <c r="N604">
        <v>0</v>
      </c>
      <c r="O604" t="str">
        <f>_xlfn.XLOOKUP(olist_closed_deals_dataset[[#This Row],[mql_id]], leads!A:A, leads!D:D, "Unknow" )</f>
        <v>paid_search</v>
      </c>
      <c r="P604" t="str">
        <f>IF(olist_closed_deals_dataset[[#This Row],[declared_monthly_revenue]] &gt;= 10000, "High Values ", IF(olist_closed_deals_dataset[[#This Row],[declared_monthly_revenue]] &gt; 0, "Stander ", "No Revenue " ))</f>
        <v xml:space="preserve">No Revenue </v>
      </c>
    </row>
    <row r="605" spans="1:16" x14ac:dyDescent="0.2">
      <c r="A605" t="s">
        <v>1313</v>
      </c>
      <c r="B605" t="s">
        <v>1314</v>
      </c>
      <c r="C605" t="s">
        <v>127</v>
      </c>
      <c r="D605" t="s">
        <v>52</v>
      </c>
      <c r="E605" s="1">
        <v>43200.919409722221</v>
      </c>
      <c r="F605" t="s">
        <v>61</v>
      </c>
      <c r="G605" t="s">
        <v>19</v>
      </c>
      <c r="H605" t="s">
        <v>20</v>
      </c>
      <c r="I605" t="s">
        <v>1796</v>
      </c>
      <c r="J605" t="s">
        <v>1796</v>
      </c>
      <c r="K605" t="s">
        <v>1796</v>
      </c>
      <c r="L605" t="s">
        <v>21</v>
      </c>
      <c r="M605">
        <v>0</v>
      </c>
      <c r="N605">
        <v>0</v>
      </c>
      <c r="O605" t="str">
        <f>_xlfn.XLOOKUP(olist_closed_deals_dataset[[#This Row],[mql_id]], leads!A:A, leads!D:D, "Unknow" )</f>
        <v>organic_search</v>
      </c>
      <c r="P605" t="str">
        <f>IF(olist_closed_deals_dataset[[#This Row],[declared_monthly_revenue]] &gt;= 10000, "High Values ", IF(olist_closed_deals_dataset[[#This Row],[declared_monthly_revenue]] &gt; 0, "Stander ", "No Revenue " ))</f>
        <v xml:space="preserve">No Revenue </v>
      </c>
    </row>
    <row r="606" spans="1:16" x14ac:dyDescent="0.2">
      <c r="A606" t="s">
        <v>1315</v>
      </c>
      <c r="B606" t="s">
        <v>1316</v>
      </c>
      <c r="C606" t="s">
        <v>42</v>
      </c>
      <c r="D606" t="s">
        <v>52</v>
      </c>
      <c r="E606" s="1">
        <v>43201.791701388887</v>
      </c>
      <c r="F606" t="s">
        <v>96</v>
      </c>
      <c r="G606" t="s">
        <v>57</v>
      </c>
      <c r="H606" t="s">
        <v>20</v>
      </c>
      <c r="I606" t="s">
        <v>1796</v>
      </c>
      <c r="J606" t="s">
        <v>1796</v>
      </c>
      <c r="K606" t="s">
        <v>1796</v>
      </c>
      <c r="L606" t="s">
        <v>21</v>
      </c>
      <c r="M606">
        <v>0</v>
      </c>
      <c r="N606">
        <v>0</v>
      </c>
      <c r="O606" t="str">
        <f>_xlfn.XLOOKUP(olist_closed_deals_dataset[[#This Row],[mql_id]], leads!A:A, leads!D:D, "Unknow" )</f>
        <v>other_publicities</v>
      </c>
      <c r="P606" t="str">
        <f>IF(olist_closed_deals_dataset[[#This Row],[declared_monthly_revenue]] &gt;= 10000, "High Values ", IF(olist_closed_deals_dataset[[#This Row],[declared_monthly_revenue]] &gt; 0, "Stander ", "No Revenue " ))</f>
        <v xml:space="preserve">No Revenue </v>
      </c>
    </row>
    <row r="607" spans="1:16" x14ac:dyDescent="0.2">
      <c r="A607" t="s">
        <v>1317</v>
      </c>
      <c r="B607" t="s">
        <v>1318</v>
      </c>
      <c r="C607" t="s">
        <v>149</v>
      </c>
      <c r="D607" t="s">
        <v>37</v>
      </c>
      <c r="E607" s="1">
        <v>43335.913900462961</v>
      </c>
      <c r="F607" t="s">
        <v>96</v>
      </c>
      <c r="G607" t="s">
        <v>39</v>
      </c>
      <c r="H607" t="s">
        <v>122</v>
      </c>
      <c r="I607" t="b">
        <v>1</v>
      </c>
      <c r="J607" t="b">
        <v>1</v>
      </c>
      <c r="K607" t="s">
        <v>1796</v>
      </c>
      <c r="L607" t="s">
        <v>44</v>
      </c>
      <c r="M607">
        <v>400</v>
      </c>
      <c r="N607">
        <v>300000</v>
      </c>
      <c r="O607" t="str">
        <f>_xlfn.XLOOKUP(olist_closed_deals_dataset[[#This Row],[mql_id]], leads!A:A, leads!D:D, "Unknow" )</f>
        <v>social</v>
      </c>
      <c r="P607" t="str">
        <f>IF(olist_closed_deals_dataset[[#This Row],[declared_monthly_revenue]] &gt;= 10000, "High Values ", IF(olist_closed_deals_dataset[[#This Row],[declared_monthly_revenue]] &gt; 0, "Stander ", "No Revenue " ))</f>
        <v xml:space="preserve">High Values </v>
      </c>
    </row>
    <row r="608" spans="1:16" x14ac:dyDescent="0.2">
      <c r="A608" t="s">
        <v>1319</v>
      </c>
      <c r="B608" t="s">
        <v>1320</v>
      </c>
      <c r="C608" t="s">
        <v>71</v>
      </c>
      <c r="D608" t="s">
        <v>17</v>
      </c>
      <c r="E608" s="1">
        <v>43138.829386574071</v>
      </c>
      <c r="F608" t="s">
        <v>49</v>
      </c>
      <c r="G608" t="s">
        <v>27</v>
      </c>
      <c r="H608" t="s">
        <v>1796</v>
      </c>
      <c r="I608" t="s">
        <v>1796</v>
      </c>
      <c r="J608" t="s">
        <v>1796</v>
      </c>
      <c r="K608" t="s">
        <v>1796</v>
      </c>
      <c r="L608" t="s">
        <v>21</v>
      </c>
      <c r="M608">
        <v>0</v>
      </c>
      <c r="N608">
        <v>0</v>
      </c>
      <c r="O608" t="str">
        <f>_xlfn.XLOOKUP(olist_closed_deals_dataset[[#This Row],[mql_id]], leads!A:A, leads!D:D, "Unknow" )</f>
        <v>unknown</v>
      </c>
      <c r="P608" t="str">
        <f>IF(olist_closed_deals_dataset[[#This Row],[declared_monthly_revenue]] &gt;= 10000, "High Values ", IF(olist_closed_deals_dataset[[#This Row],[declared_monthly_revenue]] &gt; 0, "Stander ", "No Revenue " ))</f>
        <v xml:space="preserve">No Revenue </v>
      </c>
    </row>
    <row r="609" spans="1:16" x14ac:dyDescent="0.2">
      <c r="A609" t="s">
        <v>1321</v>
      </c>
      <c r="B609" t="s">
        <v>1322</v>
      </c>
      <c r="C609" t="s">
        <v>64</v>
      </c>
      <c r="D609" t="s">
        <v>81</v>
      </c>
      <c r="E609" s="1">
        <v>43235.849085648151</v>
      </c>
      <c r="F609" t="s">
        <v>53</v>
      </c>
      <c r="G609" t="s">
        <v>57</v>
      </c>
      <c r="H609" t="s">
        <v>28</v>
      </c>
      <c r="I609" t="s">
        <v>1796</v>
      </c>
      <c r="J609" t="s">
        <v>1796</v>
      </c>
      <c r="K609" t="s">
        <v>1796</v>
      </c>
      <c r="L609" t="s">
        <v>21</v>
      </c>
      <c r="M609">
        <v>0</v>
      </c>
      <c r="N609">
        <v>0</v>
      </c>
      <c r="O609" t="str">
        <f>_xlfn.XLOOKUP(olist_closed_deals_dataset[[#This Row],[mql_id]], leads!A:A, leads!D:D, "Unknow" )</f>
        <v>referral</v>
      </c>
      <c r="P609" t="str">
        <f>IF(olist_closed_deals_dataset[[#This Row],[declared_monthly_revenue]] &gt;= 10000, "High Values ", IF(olist_closed_deals_dataset[[#This Row],[declared_monthly_revenue]] &gt; 0, "Stander ", "No Revenue " ))</f>
        <v xml:space="preserve">No Revenue </v>
      </c>
    </row>
    <row r="610" spans="1:16" x14ac:dyDescent="0.2">
      <c r="A610" t="s">
        <v>1323</v>
      </c>
      <c r="B610" t="s">
        <v>1324</v>
      </c>
      <c r="C610" t="s">
        <v>71</v>
      </c>
      <c r="D610" t="s">
        <v>32</v>
      </c>
      <c r="E610" s="1">
        <v>43165.560787037037</v>
      </c>
      <c r="F610" t="s">
        <v>61</v>
      </c>
      <c r="G610" t="s">
        <v>34</v>
      </c>
      <c r="H610" t="s">
        <v>1796</v>
      </c>
      <c r="I610" t="s">
        <v>1796</v>
      </c>
      <c r="J610" t="s">
        <v>1796</v>
      </c>
      <c r="K610" t="s">
        <v>1796</v>
      </c>
      <c r="L610" t="s">
        <v>21</v>
      </c>
      <c r="M610">
        <v>0</v>
      </c>
      <c r="N610">
        <v>0</v>
      </c>
      <c r="O610" t="str">
        <f>_xlfn.XLOOKUP(olist_closed_deals_dataset[[#This Row],[mql_id]], leads!A:A, leads!D:D, "Unknow" )</f>
        <v>unknown</v>
      </c>
      <c r="P610" t="str">
        <f>IF(olist_closed_deals_dataset[[#This Row],[declared_monthly_revenue]] &gt;= 10000, "High Values ", IF(olist_closed_deals_dataset[[#This Row],[declared_monthly_revenue]] &gt; 0, "Stander ", "No Revenue " ))</f>
        <v xml:space="preserve">No Revenue </v>
      </c>
    </row>
    <row r="611" spans="1:16" x14ac:dyDescent="0.2">
      <c r="A611" t="s">
        <v>1325</v>
      </c>
      <c r="B611" t="s">
        <v>1326</v>
      </c>
      <c r="C611" t="s">
        <v>141</v>
      </c>
      <c r="D611" t="s">
        <v>74</v>
      </c>
      <c r="E611" s="1">
        <v>43298.710138888891</v>
      </c>
      <c r="F611" t="s">
        <v>494</v>
      </c>
      <c r="G611" t="s">
        <v>39</v>
      </c>
      <c r="H611" t="s">
        <v>20</v>
      </c>
      <c r="I611" t="s">
        <v>1796</v>
      </c>
      <c r="J611" t="s">
        <v>1796</v>
      </c>
      <c r="K611" t="s">
        <v>1796</v>
      </c>
      <c r="L611" t="s">
        <v>44</v>
      </c>
      <c r="M611">
        <v>0</v>
      </c>
      <c r="N611">
        <v>0</v>
      </c>
      <c r="O611" t="str">
        <f>_xlfn.XLOOKUP(olist_closed_deals_dataset[[#This Row],[mql_id]], leads!A:A, leads!D:D, "Unknow" )</f>
        <v>organic_search</v>
      </c>
      <c r="P611" t="str">
        <f>IF(olist_closed_deals_dataset[[#This Row],[declared_monthly_revenue]] &gt;= 10000, "High Values ", IF(olist_closed_deals_dataset[[#This Row],[declared_monthly_revenue]] &gt; 0, "Stander ", "No Revenue " ))</f>
        <v xml:space="preserve">No Revenue </v>
      </c>
    </row>
    <row r="612" spans="1:16" x14ac:dyDescent="0.2">
      <c r="A612" t="s">
        <v>1327</v>
      </c>
      <c r="B612" t="s">
        <v>1328</v>
      </c>
      <c r="C612" t="s">
        <v>71</v>
      </c>
      <c r="D612" t="s">
        <v>17</v>
      </c>
      <c r="E612" s="1">
        <v>43139.853090277778</v>
      </c>
      <c r="F612" t="s">
        <v>78</v>
      </c>
      <c r="G612" t="s">
        <v>39</v>
      </c>
      <c r="H612" t="s">
        <v>1796</v>
      </c>
      <c r="I612" t="s">
        <v>1796</v>
      </c>
      <c r="J612" t="s">
        <v>1796</v>
      </c>
      <c r="K612" t="s">
        <v>1796</v>
      </c>
      <c r="L612" t="s">
        <v>21</v>
      </c>
      <c r="M612">
        <v>0</v>
      </c>
      <c r="N612">
        <v>0</v>
      </c>
      <c r="O612" t="str">
        <f>_xlfn.XLOOKUP(olist_closed_deals_dataset[[#This Row],[mql_id]], leads!A:A, leads!D:D, "Unknow" )</f>
        <v>social</v>
      </c>
      <c r="P612" t="str">
        <f>IF(olist_closed_deals_dataset[[#This Row],[declared_monthly_revenue]] &gt;= 10000, "High Values ", IF(olist_closed_deals_dataset[[#This Row],[declared_monthly_revenue]] &gt; 0, "Stander ", "No Revenue " ))</f>
        <v xml:space="preserve">No Revenue </v>
      </c>
    </row>
    <row r="613" spans="1:16" x14ac:dyDescent="0.2">
      <c r="A613" t="s">
        <v>1329</v>
      </c>
      <c r="B613" t="s">
        <v>1330</v>
      </c>
      <c r="C613" t="s">
        <v>42</v>
      </c>
      <c r="D613" t="s">
        <v>89</v>
      </c>
      <c r="E613" s="1">
        <v>43178.528506944444</v>
      </c>
      <c r="F613" t="s">
        <v>61</v>
      </c>
      <c r="G613" t="s">
        <v>19</v>
      </c>
      <c r="H613" t="s">
        <v>20</v>
      </c>
      <c r="I613" t="s">
        <v>1796</v>
      </c>
      <c r="J613" t="s">
        <v>1796</v>
      </c>
      <c r="K613" t="s">
        <v>1796</v>
      </c>
      <c r="L613" t="s">
        <v>21</v>
      </c>
      <c r="M613">
        <v>0</v>
      </c>
      <c r="N613">
        <v>0</v>
      </c>
      <c r="O613" t="str">
        <f>_xlfn.XLOOKUP(olist_closed_deals_dataset[[#This Row],[mql_id]], leads!A:A, leads!D:D, "Unknow" )</f>
        <v>unknown</v>
      </c>
      <c r="P613" t="str">
        <f>IF(olist_closed_deals_dataset[[#This Row],[declared_monthly_revenue]] &gt;= 10000, "High Values ", IF(olist_closed_deals_dataset[[#This Row],[declared_monthly_revenue]] &gt; 0, "Stander ", "No Revenue " ))</f>
        <v xml:space="preserve">No Revenue </v>
      </c>
    </row>
    <row r="614" spans="1:16" x14ac:dyDescent="0.2">
      <c r="A614" t="s">
        <v>1331</v>
      </c>
      <c r="B614" t="s">
        <v>1332</v>
      </c>
      <c r="C614" t="s">
        <v>24</v>
      </c>
      <c r="D614" t="s">
        <v>77</v>
      </c>
      <c r="E614" s="1">
        <v>43186.616678240738</v>
      </c>
      <c r="F614" t="s">
        <v>49</v>
      </c>
      <c r="G614" t="s">
        <v>112</v>
      </c>
      <c r="H614" t="s">
        <v>20</v>
      </c>
      <c r="I614" t="s">
        <v>1796</v>
      </c>
      <c r="J614" t="s">
        <v>1796</v>
      </c>
      <c r="K614" t="s">
        <v>1796</v>
      </c>
      <c r="L614" t="s">
        <v>21</v>
      </c>
      <c r="M614">
        <v>0</v>
      </c>
      <c r="N614">
        <v>0</v>
      </c>
      <c r="O614" t="str">
        <f>_xlfn.XLOOKUP(olist_closed_deals_dataset[[#This Row],[mql_id]], leads!A:A, leads!D:D, "Unknow" )</f>
        <v>direct_traffic</v>
      </c>
      <c r="P614" t="str">
        <f>IF(olist_closed_deals_dataset[[#This Row],[declared_monthly_revenue]] &gt;= 10000, "High Values ", IF(olist_closed_deals_dataset[[#This Row],[declared_monthly_revenue]] &gt; 0, "Stander ", "No Revenue " ))</f>
        <v xml:space="preserve">No Revenue </v>
      </c>
    </row>
    <row r="615" spans="1:16" x14ac:dyDescent="0.2">
      <c r="A615" t="s">
        <v>1333</v>
      </c>
      <c r="B615" t="s">
        <v>1334</v>
      </c>
      <c r="C615" t="s">
        <v>127</v>
      </c>
      <c r="D615" t="s">
        <v>17</v>
      </c>
      <c r="E615" s="1">
        <v>43208.795810185184</v>
      </c>
      <c r="F615" t="s">
        <v>415</v>
      </c>
      <c r="G615" t="s">
        <v>57</v>
      </c>
      <c r="H615" t="s">
        <v>28</v>
      </c>
      <c r="I615" t="s">
        <v>1796</v>
      </c>
      <c r="J615" t="s">
        <v>1796</v>
      </c>
      <c r="K615" t="s">
        <v>1796</v>
      </c>
      <c r="L615" t="s">
        <v>21</v>
      </c>
      <c r="M615">
        <v>0</v>
      </c>
      <c r="N615">
        <v>0</v>
      </c>
      <c r="O615" t="str">
        <f>_xlfn.XLOOKUP(olist_closed_deals_dataset[[#This Row],[mql_id]], leads!A:A, leads!D:D, "Unknow" )</f>
        <v>paid_search</v>
      </c>
      <c r="P615" t="str">
        <f>IF(olist_closed_deals_dataset[[#This Row],[declared_monthly_revenue]] &gt;= 10000, "High Values ", IF(olist_closed_deals_dataset[[#This Row],[declared_monthly_revenue]] &gt; 0, "Stander ", "No Revenue " ))</f>
        <v xml:space="preserve">No Revenue </v>
      </c>
    </row>
    <row r="616" spans="1:16" x14ac:dyDescent="0.2">
      <c r="A616" t="s">
        <v>1335</v>
      </c>
      <c r="B616" t="s">
        <v>1336</v>
      </c>
      <c r="C616" t="s">
        <v>81</v>
      </c>
      <c r="D616" t="s">
        <v>37</v>
      </c>
      <c r="E616" s="1">
        <v>43196.82099537037</v>
      </c>
      <c r="F616" t="s">
        <v>186</v>
      </c>
      <c r="G616" t="s">
        <v>19</v>
      </c>
      <c r="H616" t="s">
        <v>20</v>
      </c>
      <c r="I616" t="s">
        <v>1796</v>
      </c>
      <c r="J616" t="s">
        <v>1796</v>
      </c>
      <c r="K616" t="s">
        <v>1796</v>
      </c>
      <c r="L616" t="s">
        <v>21</v>
      </c>
      <c r="M616">
        <v>0</v>
      </c>
      <c r="N616">
        <v>0</v>
      </c>
      <c r="O616" t="str">
        <f>_xlfn.XLOOKUP(olist_closed_deals_dataset[[#This Row],[mql_id]], leads!A:A, leads!D:D, "Unknow" )</f>
        <v>paid_search</v>
      </c>
      <c r="P616" t="str">
        <f>IF(olist_closed_deals_dataset[[#This Row],[declared_monthly_revenue]] &gt;= 10000, "High Values ", IF(olist_closed_deals_dataset[[#This Row],[declared_monthly_revenue]] &gt; 0, "Stander ", "No Revenue " ))</f>
        <v xml:space="preserve">No Revenue </v>
      </c>
    </row>
    <row r="617" spans="1:16" x14ac:dyDescent="0.2">
      <c r="A617" t="s">
        <v>1337</v>
      </c>
      <c r="B617" t="s">
        <v>1338</v>
      </c>
      <c r="C617" t="s">
        <v>71</v>
      </c>
      <c r="D617" t="s">
        <v>102</v>
      </c>
      <c r="E617" s="1">
        <v>43137.674363425926</v>
      </c>
      <c r="F617" t="s">
        <v>96</v>
      </c>
      <c r="G617" t="s">
        <v>19</v>
      </c>
      <c r="H617" t="s">
        <v>1796</v>
      </c>
      <c r="I617" t="s">
        <v>1796</v>
      </c>
      <c r="J617" t="s">
        <v>1796</v>
      </c>
      <c r="K617" t="s">
        <v>1796</v>
      </c>
      <c r="L617" t="s">
        <v>21</v>
      </c>
      <c r="M617">
        <v>0</v>
      </c>
      <c r="N617">
        <v>0</v>
      </c>
      <c r="O617" t="str">
        <f>_xlfn.XLOOKUP(olist_closed_deals_dataset[[#This Row],[mql_id]], leads!A:A, leads!D:D, "Unknow" )</f>
        <v>paid_search</v>
      </c>
      <c r="P617" t="str">
        <f>IF(olist_closed_deals_dataset[[#This Row],[declared_monthly_revenue]] &gt;= 10000, "High Values ", IF(olist_closed_deals_dataset[[#This Row],[declared_monthly_revenue]] &gt; 0, "Stander ", "No Revenue " ))</f>
        <v xml:space="preserve">No Revenue </v>
      </c>
    </row>
    <row r="618" spans="1:16" x14ac:dyDescent="0.2">
      <c r="A618" t="s">
        <v>1339</v>
      </c>
      <c r="B618" t="s">
        <v>1340</v>
      </c>
      <c r="C618" t="s">
        <v>42</v>
      </c>
      <c r="D618" t="s">
        <v>25</v>
      </c>
      <c r="E618" s="1">
        <v>43230.810162037036</v>
      </c>
      <c r="F618" t="s">
        <v>1309</v>
      </c>
      <c r="G618" t="s">
        <v>34</v>
      </c>
      <c r="H618" t="s">
        <v>20</v>
      </c>
      <c r="I618" t="s">
        <v>1796</v>
      </c>
      <c r="J618" t="s">
        <v>1796</v>
      </c>
      <c r="K618" t="s">
        <v>1796</v>
      </c>
      <c r="L618" t="s">
        <v>21</v>
      </c>
      <c r="M618">
        <v>0</v>
      </c>
      <c r="N618">
        <v>0</v>
      </c>
      <c r="O618" t="str">
        <f>_xlfn.XLOOKUP(olist_closed_deals_dataset[[#This Row],[mql_id]], leads!A:A, leads!D:D, "Unknow" )</f>
        <v>Unknow</v>
      </c>
      <c r="P618" t="str">
        <f>IF(olist_closed_deals_dataset[[#This Row],[declared_monthly_revenue]] &gt;= 10000, "High Values ", IF(olist_closed_deals_dataset[[#This Row],[declared_monthly_revenue]] &gt; 0, "Stander ", "No Revenue " ))</f>
        <v xml:space="preserve">No Revenue </v>
      </c>
    </row>
    <row r="619" spans="1:16" x14ac:dyDescent="0.2">
      <c r="A619" t="s">
        <v>1341</v>
      </c>
      <c r="B619" t="s">
        <v>1342</v>
      </c>
      <c r="C619" t="s">
        <v>42</v>
      </c>
      <c r="D619" t="s">
        <v>102</v>
      </c>
      <c r="E619" s="1">
        <v>43187.890324074076</v>
      </c>
      <c r="F619" t="s">
        <v>96</v>
      </c>
      <c r="G619" t="s">
        <v>27</v>
      </c>
      <c r="H619" t="s">
        <v>43</v>
      </c>
      <c r="I619" t="s">
        <v>1796</v>
      </c>
      <c r="J619" t="s">
        <v>1796</v>
      </c>
      <c r="K619" t="s">
        <v>1796</v>
      </c>
      <c r="L619" t="s">
        <v>44</v>
      </c>
      <c r="M619">
        <v>0</v>
      </c>
      <c r="N619">
        <v>0</v>
      </c>
      <c r="O619" t="str">
        <f>_xlfn.XLOOKUP(olist_closed_deals_dataset[[#This Row],[mql_id]], leads!A:A, leads!D:D, "Unknow" )</f>
        <v>organic_search</v>
      </c>
      <c r="P619" t="str">
        <f>IF(olist_closed_deals_dataset[[#This Row],[declared_monthly_revenue]] &gt;= 10000, "High Values ", IF(olist_closed_deals_dataset[[#This Row],[declared_monthly_revenue]] &gt; 0, "Stander ", "No Revenue " ))</f>
        <v xml:space="preserve">No Revenue </v>
      </c>
    </row>
    <row r="620" spans="1:16" x14ac:dyDescent="0.2">
      <c r="A620" t="s">
        <v>1343</v>
      </c>
      <c r="B620" t="s">
        <v>1344</v>
      </c>
      <c r="C620" t="s">
        <v>60</v>
      </c>
      <c r="D620" t="s">
        <v>25</v>
      </c>
      <c r="E620" s="1">
        <v>43237.724131944444</v>
      </c>
      <c r="F620" t="s">
        <v>68</v>
      </c>
      <c r="G620" t="s">
        <v>19</v>
      </c>
      <c r="H620" t="s">
        <v>20</v>
      </c>
      <c r="I620" t="s">
        <v>1796</v>
      </c>
      <c r="J620" t="s">
        <v>1796</v>
      </c>
      <c r="K620" t="s">
        <v>1796</v>
      </c>
      <c r="L620" t="s">
        <v>21</v>
      </c>
      <c r="M620">
        <v>0</v>
      </c>
      <c r="N620">
        <v>0</v>
      </c>
      <c r="O620" t="str">
        <f>_xlfn.XLOOKUP(olist_closed_deals_dataset[[#This Row],[mql_id]], leads!A:A, leads!D:D, "Unknow" )</f>
        <v>organic_search</v>
      </c>
      <c r="P620" t="str">
        <f>IF(olist_closed_deals_dataset[[#This Row],[declared_monthly_revenue]] &gt;= 10000, "High Values ", IF(olist_closed_deals_dataset[[#This Row],[declared_monthly_revenue]] &gt; 0, "Stander ", "No Revenue " ))</f>
        <v xml:space="preserve">No Revenue </v>
      </c>
    </row>
    <row r="621" spans="1:16" x14ac:dyDescent="0.2">
      <c r="A621" t="s">
        <v>1345</v>
      </c>
      <c r="B621" t="s">
        <v>1346</v>
      </c>
      <c r="C621" t="s">
        <v>37</v>
      </c>
      <c r="D621" t="s">
        <v>102</v>
      </c>
      <c r="E621" s="1">
        <v>43183.125</v>
      </c>
      <c r="F621" t="s">
        <v>49</v>
      </c>
      <c r="G621" t="s">
        <v>57</v>
      </c>
      <c r="H621" t="s">
        <v>20</v>
      </c>
      <c r="I621" t="s">
        <v>1796</v>
      </c>
      <c r="J621" t="s">
        <v>1796</v>
      </c>
      <c r="K621" t="s">
        <v>1796</v>
      </c>
      <c r="L621" t="s">
        <v>44</v>
      </c>
      <c r="M621">
        <v>0</v>
      </c>
      <c r="N621">
        <v>0</v>
      </c>
      <c r="O621" t="str">
        <f>_xlfn.XLOOKUP(olist_closed_deals_dataset[[#This Row],[mql_id]], leads!A:A, leads!D:D, "Unknow" )</f>
        <v>social</v>
      </c>
      <c r="P621" t="str">
        <f>IF(olist_closed_deals_dataset[[#This Row],[declared_monthly_revenue]] &gt;= 10000, "High Values ", IF(olist_closed_deals_dataset[[#This Row],[declared_monthly_revenue]] &gt; 0, "Stander ", "No Revenue " ))</f>
        <v xml:space="preserve">No Revenue </v>
      </c>
    </row>
    <row r="622" spans="1:16" x14ac:dyDescent="0.2">
      <c r="A622" t="s">
        <v>1347</v>
      </c>
      <c r="B622" t="s">
        <v>1348</v>
      </c>
      <c r="C622" t="s">
        <v>42</v>
      </c>
      <c r="D622" t="s">
        <v>32</v>
      </c>
      <c r="E622" s="1">
        <v>43258.562824074077</v>
      </c>
      <c r="F622" t="s">
        <v>61</v>
      </c>
      <c r="G622" t="s">
        <v>19</v>
      </c>
      <c r="H622" t="s">
        <v>20</v>
      </c>
      <c r="I622" t="s">
        <v>1796</v>
      </c>
      <c r="J622" t="s">
        <v>1796</v>
      </c>
      <c r="K622" t="s">
        <v>1796</v>
      </c>
      <c r="L622" t="s">
        <v>21</v>
      </c>
      <c r="M622">
        <v>0</v>
      </c>
      <c r="N622">
        <v>0</v>
      </c>
      <c r="O622" t="str">
        <f>_xlfn.XLOOKUP(olist_closed_deals_dataset[[#This Row],[mql_id]], leads!A:A, leads!D:D, "Unknow" )</f>
        <v>paid_search</v>
      </c>
      <c r="P622" t="str">
        <f>IF(olist_closed_deals_dataset[[#This Row],[declared_monthly_revenue]] &gt;= 10000, "High Values ", IF(olist_closed_deals_dataset[[#This Row],[declared_monthly_revenue]] &gt; 0, "Stander ", "No Revenue " ))</f>
        <v xml:space="preserve">No Revenue </v>
      </c>
    </row>
    <row r="623" spans="1:16" x14ac:dyDescent="0.2">
      <c r="A623" t="s">
        <v>1349</v>
      </c>
      <c r="B623" t="s">
        <v>1350</v>
      </c>
      <c r="C623" t="s">
        <v>37</v>
      </c>
      <c r="D623" t="s">
        <v>25</v>
      </c>
      <c r="E623" s="1">
        <v>43173.510393518518</v>
      </c>
      <c r="F623" t="s">
        <v>204</v>
      </c>
      <c r="G623" t="s">
        <v>34</v>
      </c>
      <c r="H623" t="s">
        <v>28</v>
      </c>
      <c r="I623" t="s">
        <v>1796</v>
      </c>
      <c r="J623" t="s">
        <v>1796</v>
      </c>
      <c r="K623" t="s">
        <v>1796</v>
      </c>
      <c r="L623" t="s">
        <v>44</v>
      </c>
      <c r="M623">
        <v>0</v>
      </c>
      <c r="N623">
        <v>0</v>
      </c>
      <c r="O623" t="str">
        <f>_xlfn.XLOOKUP(olist_closed_deals_dataset[[#This Row],[mql_id]], leads!A:A, leads!D:D, "Unknow" )</f>
        <v>organic_search</v>
      </c>
      <c r="P623" t="str">
        <f>IF(olist_closed_deals_dataset[[#This Row],[declared_monthly_revenue]] &gt;= 10000, "High Values ", IF(olist_closed_deals_dataset[[#This Row],[declared_monthly_revenue]] &gt; 0, "Stander ", "No Revenue " ))</f>
        <v xml:space="preserve">No Revenue </v>
      </c>
    </row>
    <row r="624" spans="1:16" x14ac:dyDescent="0.2">
      <c r="A624" t="s">
        <v>1351</v>
      </c>
      <c r="B624" t="s">
        <v>1352</v>
      </c>
      <c r="C624" t="s">
        <v>65</v>
      </c>
      <c r="D624" t="s">
        <v>52</v>
      </c>
      <c r="E624" s="1">
        <v>43188.576203703706</v>
      </c>
      <c r="F624" t="s">
        <v>494</v>
      </c>
      <c r="G624" t="s">
        <v>57</v>
      </c>
      <c r="H624" t="s">
        <v>20</v>
      </c>
      <c r="I624" t="s">
        <v>1796</v>
      </c>
      <c r="J624" t="s">
        <v>1796</v>
      </c>
      <c r="K624" t="s">
        <v>1796</v>
      </c>
      <c r="L624" t="s">
        <v>44</v>
      </c>
      <c r="M624">
        <v>0</v>
      </c>
      <c r="N624">
        <v>0</v>
      </c>
      <c r="O624" t="str">
        <f>_xlfn.XLOOKUP(olist_closed_deals_dataset[[#This Row],[mql_id]], leads!A:A, leads!D:D, "Unknow" )</f>
        <v>organic_search</v>
      </c>
      <c r="P624" t="str">
        <f>IF(olist_closed_deals_dataset[[#This Row],[declared_monthly_revenue]] &gt;= 10000, "High Values ", IF(olist_closed_deals_dataset[[#This Row],[declared_monthly_revenue]] &gt; 0, "Stander ", "No Revenue " ))</f>
        <v xml:space="preserve">No Revenue </v>
      </c>
    </row>
    <row r="625" spans="1:16" x14ac:dyDescent="0.2">
      <c r="A625" t="s">
        <v>1353</v>
      </c>
      <c r="B625" t="s">
        <v>1354</v>
      </c>
      <c r="C625" t="s">
        <v>42</v>
      </c>
      <c r="D625" t="s">
        <v>17</v>
      </c>
      <c r="E625" s="1">
        <v>43234.831805555557</v>
      </c>
      <c r="F625" t="s">
        <v>131</v>
      </c>
      <c r="G625" t="s">
        <v>27</v>
      </c>
      <c r="H625" t="s">
        <v>43</v>
      </c>
      <c r="I625" t="s">
        <v>1796</v>
      </c>
      <c r="J625" t="s">
        <v>1796</v>
      </c>
      <c r="K625" t="s">
        <v>1796</v>
      </c>
      <c r="L625" t="s">
        <v>44</v>
      </c>
      <c r="M625">
        <v>0</v>
      </c>
      <c r="N625">
        <v>0</v>
      </c>
      <c r="O625" t="str">
        <f>_xlfn.XLOOKUP(olist_closed_deals_dataset[[#This Row],[mql_id]], leads!A:A, leads!D:D, "Unknow" )</f>
        <v>paid_search</v>
      </c>
      <c r="P625" t="str">
        <f>IF(olist_closed_deals_dataset[[#This Row],[declared_monthly_revenue]] &gt;= 10000, "High Values ", IF(olist_closed_deals_dataset[[#This Row],[declared_monthly_revenue]] &gt; 0, "Stander ", "No Revenue " ))</f>
        <v xml:space="preserve">No Revenue </v>
      </c>
    </row>
    <row r="626" spans="1:16" x14ac:dyDescent="0.2">
      <c r="A626" t="s">
        <v>1355</v>
      </c>
      <c r="B626" t="s">
        <v>1356</v>
      </c>
      <c r="C626" t="s">
        <v>64</v>
      </c>
      <c r="D626" t="s">
        <v>95</v>
      </c>
      <c r="E626" s="1">
        <v>43203.681516203702</v>
      </c>
      <c r="F626" t="s">
        <v>49</v>
      </c>
      <c r="G626" t="s">
        <v>27</v>
      </c>
      <c r="H626" t="s">
        <v>20</v>
      </c>
      <c r="I626" t="s">
        <v>1796</v>
      </c>
      <c r="J626" t="s">
        <v>1796</v>
      </c>
      <c r="K626" t="s">
        <v>1796</v>
      </c>
      <c r="L626" t="s">
        <v>44</v>
      </c>
      <c r="M626">
        <v>0</v>
      </c>
      <c r="N626">
        <v>0</v>
      </c>
      <c r="O626" t="str">
        <f>_xlfn.XLOOKUP(olist_closed_deals_dataset[[#This Row],[mql_id]], leads!A:A, leads!D:D, "Unknow" )</f>
        <v>paid_search</v>
      </c>
      <c r="P626" t="str">
        <f>IF(olist_closed_deals_dataset[[#This Row],[declared_monthly_revenue]] &gt;= 10000, "High Values ", IF(olist_closed_deals_dataset[[#This Row],[declared_monthly_revenue]] &gt; 0, "Stander ", "No Revenue " ))</f>
        <v xml:space="preserve">No Revenue </v>
      </c>
    </row>
    <row r="627" spans="1:16" x14ac:dyDescent="0.2">
      <c r="A627" t="s">
        <v>1357</v>
      </c>
      <c r="B627" t="s">
        <v>1358</v>
      </c>
      <c r="C627" t="s">
        <v>141</v>
      </c>
      <c r="D627" t="s">
        <v>81</v>
      </c>
      <c r="E627" s="1">
        <v>43342.52239583333</v>
      </c>
      <c r="F627" t="s">
        <v>53</v>
      </c>
      <c r="G627" t="s">
        <v>34</v>
      </c>
      <c r="H627" t="s">
        <v>1359</v>
      </c>
      <c r="I627" t="b">
        <v>1</v>
      </c>
      <c r="J627" t="b">
        <v>1</v>
      </c>
      <c r="K627" t="s">
        <v>199</v>
      </c>
      <c r="L627" t="s">
        <v>21</v>
      </c>
      <c r="M627">
        <v>47</v>
      </c>
      <c r="N627">
        <v>60000</v>
      </c>
      <c r="O627" t="str">
        <f>_xlfn.XLOOKUP(olist_closed_deals_dataset[[#This Row],[mql_id]], leads!A:A, leads!D:D, "Unknow" )</f>
        <v>organic_search</v>
      </c>
      <c r="P627" t="str">
        <f>IF(olist_closed_deals_dataset[[#This Row],[declared_monthly_revenue]] &gt;= 10000, "High Values ", IF(olist_closed_deals_dataset[[#This Row],[declared_monthly_revenue]] &gt; 0, "Stander ", "No Revenue " ))</f>
        <v xml:space="preserve">High Values </v>
      </c>
    </row>
    <row r="628" spans="1:16" x14ac:dyDescent="0.2">
      <c r="A628" t="s">
        <v>1360</v>
      </c>
      <c r="B628" t="s">
        <v>1361</v>
      </c>
      <c r="C628" t="s">
        <v>16</v>
      </c>
      <c r="D628" t="s">
        <v>65</v>
      </c>
      <c r="E628" s="1">
        <v>43195.632777777777</v>
      </c>
      <c r="F628" t="s">
        <v>26</v>
      </c>
      <c r="G628" t="s">
        <v>19</v>
      </c>
      <c r="H628" t="s">
        <v>20</v>
      </c>
      <c r="I628" t="s">
        <v>1796</v>
      </c>
      <c r="J628" t="s">
        <v>1796</v>
      </c>
      <c r="K628" t="s">
        <v>1796</v>
      </c>
      <c r="L628" t="s">
        <v>44</v>
      </c>
      <c r="M628">
        <v>0</v>
      </c>
      <c r="N628">
        <v>0</v>
      </c>
      <c r="O628" t="str">
        <f>_xlfn.XLOOKUP(olist_closed_deals_dataset[[#This Row],[mql_id]], leads!A:A, leads!D:D, "Unknow" )</f>
        <v>paid_search</v>
      </c>
      <c r="P628" t="str">
        <f>IF(olist_closed_deals_dataset[[#This Row],[declared_monthly_revenue]] &gt;= 10000, "High Values ", IF(olist_closed_deals_dataset[[#This Row],[declared_monthly_revenue]] &gt; 0, "Stander ", "No Revenue " ))</f>
        <v xml:space="preserve">No Revenue </v>
      </c>
    </row>
    <row r="629" spans="1:16" x14ac:dyDescent="0.2">
      <c r="A629" t="s">
        <v>1362</v>
      </c>
      <c r="B629" t="s">
        <v>1363</v>
      </c>
      <c r="C629" t="s">
        <v>37</v>
      </c>
      <c r="D629" t="s">
        <v>17</v>
      </c>
      <c r="E629" s="1">
        <v>43159.765405092592</v>
      </c>
      <c r="F629" t="s">
        <v>297</v>
      </c>
      <c r="G629" t="s">
        <v>57</v>
      </c>
      <c r="H629" t="s">
        <v>28</v>
      </c>
      <c r="I629" t="s">
        <v>1796</v>
      </c>
      <c r="J629" t="s">
        <v>1796</v>
      </c>
      <c r="K629" t="s">
        <v>1796</v>
      </c>
      <c r="L629" t="s">
        <v>21</v>
      </c>
      <c r="M629">
        <v>0</v>
      </c>
      <c r="N629">
        <v>0</v>
      </c>
      <c r="O629" t="str">
        <f>_xlfn.XLOOKUP(olist_closed_deals_dataset[[#This Row],[mql_id]], leads!A:A, leads!D:D, "Unknow" )</f>
        <v>direct_traffic</v>
      </c>
      <c r="P629" t="str">
        <f>IF(olist_closed_deals_dataset[[#This Row],[declared_monthly_revenue]] &gt;= 10000, "High Values ", IF(olist_closed_deals_dataset[[#This Row],[declared_monthly_revenue]] &gt; 0, "Stander ", "No Revenue " ))</f>
        <v xml:space="preserve">No Revenue </v>
      </c>
    </row>
    <row r="630" spans="1:16" x14ac:dyDescent="0.2">
      <c r="A630" t="s">
        <v>1364</v>
      </c>
      <c r="B630" t="s">
        <v>1365</v>
      </c>
      <c r="C630" t="s">
        <v>60</v>
      </c>
      <c r="D630" t="s">
        <v>71</v>
      </c>
      <c r="E630" s="1">
        <v>43329.812349537038</v>
      </c>
      <c r="F630" t="s">
        <v>108</v>
      </c>
      <c r="G630" t="s">
        <v>112</v>
      </c>
      <c r="H630" t="s">
        <v>20</v>
      </c>
      <c r="I630" t="b">
        <v>1</v>
      </c>
      <c r="J630" t="b">
        <v>1</v>
      </c>
      <c r="K630" t="s">
        <v>199</v>
      </c>
      <c r="L630" t="s">
        <v>21</v>
      </c>
      <c r="M630">
        <v>12</v>
      </c>
      <c r="N630">
        <v>1000</v>
      </c>
      <c r="O630" t="str">
        <f>_xlfn.XLOOKUP(olist_closed_deals_dataset[[#This Row],[mql_id]], leads!A:A, leads!D:D, "Unknow" )</f>
        <v>social</v>
      </c>
      <c r="P630" t="str">
        <f>IF(olist_closed_deals_dataset[[#This Row],[declared_monthly_revenue]] &gt;= 10000, "High Values ", IF(olist_closed_deals_dataset[[#This Row],[declared_monthly_revenue]] &gt; 0, "Stander ", "No Revenue " ))</f>
        <v xml:space="preserve">Stander </v>
      </c>
    </row>
    <row r="631" spans="1:16" x14ac:dyDescent="0.2">
      <c r="A631" t="s">
        <v>1366</v>
      </c>
      <c r="B631" t="s">
        <v>1367</v>
      </c>
      <c r="C631" t="s">
        <v>1368</v>
      </c>
      <c r="D631" t="s">
        <v>64</v>
      </c>
      <c r="E631" s="1">
        <v>43404.804131944446</v>
      </c>
      <c r="F631" t="s">
        <v>96</v>
      </c>
      <c r="G631" t="s">
        <v>57</v>
      </c>
      <c r="H631" t="s">
        <v>20</v>
      </c>
      <c r="I631" t="s">
        <v>1796</v>
      </c>
      <c r="J631" t="b">
        <v>1</v>
      </c>
      <c r="K631" t="s">
        <v>86</v>
      </c>
      <c r="L631" t="s">
        <v>21</v>
      </c>
      <c r="M631">
        <v>120</v>
      </c>
      <c r="N631">
        <v>60000</v>
      </c>
      <c r="O631" t="str">
        <f>_xlfn.XLOOKUP(olist_closed_deals_dataset[[#This Row],[mql_id]], leads!A:A, leads!D:D, "Unknow" )</f>
        <v>direct_traffic</v>
      </c>
      <c r="P631" t="str">
        <f>IF(olist_closed_deals_dataset[[#This Row],[declared_monthly_revenue]] &gt;= 10000, "High Values ", IF(olist_closed_deals_dataset[[#This Row],[declared_monthly_revenue]] &gt; 0, "Stander ", "No Revenue " ))</f>
        <v xml:space="preserve">High Values </v>
      </c>
    </row>
    <row r="632" spans="1:16" x14ac:dyDescent="0.2">
      <c r="A632" t="s">
        <v>1369</v>
      </c>
      <c r="B632" t="s">
        <v>1370</v>
      </c>
      <c r="C632" t="s">
        <v>64</v>
      </c>
      <c r="D632" t="s">
        <v>17</v>
      </c>
      <c r="E632" s="1">
        <v>43215.669317129628</v>
      </c>
      <c r="F632" t="s">
        <v>26</v>
      </c>
      <c r="G632" t="s">
        <v>19</v>
      </c>
      <c r="H632" t="s">
        <v>20</v>
      </c>
      <c r="I632" t="s">
        <v>1796</v>
      </c>
      <c r="J632" t="s">
        <v>1796</v>
      </c>
      <c r="K632" t="s">
        <v>1796</v>
      </c>
      <c r="L632" t="s">
        <v>21</v>
      </c>
      <c r="M632">
        <v>0</v>
      </c>
      <c r="N632">
        <v>0</v>
      </c>
      <c r="O632" t="str">
        <f>_xlfn.XLOOKUP(olist_closed_deals_dataset[[#This Row],[mql_id]], leads!A:A, leads!D:D, "Unknow" )</f>
        <v>organic_search</v>
      </c>
      <c r="P632" t="str">
        <f>IF(olist_closed_deals_dataset[[#This Row],[declared_monthly_revenue]] &gt;= 10000, "High Values ", IF(olist_closed_deals_dataset[[#This Row],[declared_monthly_revenue]] &gt; 0, "Stander ", "No Revenue " ))</f>
        <v xml:space="preserve">No Revenue </v>
      </c>
    </row>
    <row r="633" spans="1:16" x14ac:dyDescent="0.2">
      <c r="A633" t="s">
        <v>1371</v>
      </c>
      <c r="B633" t="s">
        <v>1372</v>
      </c>
      <c r="C633" t="s">
        <v>71</v>
      </c>
      <c r="D633" t="s">
        <v>89</v>
      </c>
      <c r="E633" s="1">
        <v>43171.694930555554</v>
      </c>
      <c r="F633" t="s">
        <v>103</v>
      </c>
      <c r="G633" t="s">
        <v>112</v>
      </c>
      <c r="H633" t="s">
        <v>43</v>
      </c>
      <c r="I633" t="s">
        <v>1796</v>
      </c>
      <c r="J633" t="s">
        <v>1796</v>
      </c>
      <c r="K633" t="s">
        <v>1796</v>
      </c>
      <c r="L633" t="s">
        <v>21</v>
      </c>
      <c r="M633">
        <v>0</v>
      </c>
      <c r="N633">
        <v>0</v>
      </c>
      <c r="O633" t="str">
        <f>_xlfn.XLOOKUP(olist_closed_deals_dataset[[#This Row],[mql_id]], leads!A:A, leads!D:D, "Unknow" )</f>
        <v>organic_search</v>
      </c>
      <c r="P633" t="str">
        <f>IF(olist_closed_deals_dataset[[#This Row],[declared_monthly_revenue]] &gt;= 10000, "High Values ", IF(olist_closed_deals_dataset[[#This Row],[declared_monthly_revenue]] &gt; 0, "Stander ", "No Revenue " ))</f>
        <v xml:space="preserve">No Revenue </v>
      </c>
    </row>
    <row r="634" spans="1:16" x14ac:dyDescent="0.2">
      <c r="A634" t="s">
        <v>1373</v>
      </c>
      <c r="B634" t="s">
        <v>1374</v>
      </c>
      <c r="C634" t="s">
        <v>16</v>
      </c>
      <c r="D634" t="s">
        <v>37</v>
      </c>
      <c r="E634" s="1">
        <v>43206.518506944441</v>
      </c>
      <c r="F634" t="s">
        <v>415</v>
      </c>
      <c r="G634" t="s">
        <v>19</v>
      </c>
      <c r="H634" t="s">
        <v>20</v>
      </c>
      <c r="I634" t="s">
        <v>1796</v>
      </c>
      <c r="J634" t="s">
        <v>1796</v>
      </c>
      <c r="K634" t="s">
        <v>1796</v>
      </c>
      <c r="L634" t="s">
        <v>21</v>
      </c>
      <c r="M634">
        <v>0</v>
      </c>
      <c r="N634">
        <v>0</v>
      </c>
      <c r="O634" t="str">
        <f>_xlfn.XLOOKUP(olist_closed_deals_dataset[[#This Row],[mql_id]], leads!A:A, leads!D:D, "Unknow" )</f>
        <v>unknown</v>
      </c>
      <c r="P634" t="str">
        <f>IF(olist_closed_deals_dataset[[#This Row],[declared_monthly_revenue]] &gt;= 10000, "High Values ", IF(olist_closed_deals_dataset[[#This Row],[declared_monthly_revenue]] &gt; 0, "Stander ", "No Revenue " ))</f>
        <v xml:space="preserve">No Revenue </v>
      </c>
    </row>
    <row r="635" spans="1:16" x14ac:dyDescent="0.2">
      <c r="A635" t="s">
        <v>1375</v>
      </c>
      <c r="B635" t="s">
        <v>1376</v>
      </c>
      <c r="C635" t="s">
        <v>56</v>
      </c>
      <c r="D635" t="s">
        <v>17</v>
      </c>
      <c r="E635" s="1">
        <v>43256.750428240739</v>
      </c>
      <c r="F635" t="s">
        <v>18</v>
      </c>
      <c r="G635" t="s">
        <v>27</v>
      </c>
      <c r="H635" t="s">
        <v>28</v>
      </c>
      <c r="I635" t="s">
        <v>1796</v>
      </c>
      <c r="J635" t="s">
        <v>1796</v>
      </c>
      <c r="K635" t="s">
        <v>1796</v>
      </c>
      <c r="L635" t="s">
        <v>44</v>
      </c>
      <c r="M635">
        <v>0</v>
      </c>
      <c r="N635">
        <v>0</v>
      </c>
      <c r="O635" t="str">
        <f>_xlfn.XLOOKUP(olist_closed_deals_dataset[[#This Row],[mql_id]], leads!A:A, leads!D:D, "Unknow" )</f>
        <v>paid_search</v>
      </c>
      <c r="P635" t="str">
        <f>IF(olist_closed_deals_dataset[[#This Row],[declared_monthly_revenue]] &gt;= 10000, "High Values ", IF(olist_closed_deals_dataset[[#This Row],[declared_monthly_revenue]] &gt; 0, "Stander ", "No Revenue " ))</f>
        <v xml:space="preserve">No Revenue </v>
      </c>
    </row>
    <row r="636" spans="1:16" x14ac:dyDescent="0.2">
      <c r="A636" t="s">
        <v>1377</v>
      </c>
      <c r="B636" t="s">
        <v>1378</v>
      </c>
      <c r="C636" t="s">
        <v>65</v>
      </c>
      <c r="D636" t="s">
        <v>95</v>
      </c>
      <c r="E636" s="1">
        <v>43180.544212962966</v>
      </c>
      <c r="F636" t="s">
        <v>49</v>
      </c>
      <c r="G636" t="s">
        <v>57</v>
      </c>
      <c r="H636" t="s">
        <v>20</v>
      </c>
      <c r="I636" t="s">
        <v>1796</v>
      </c>
      <c r="J636" t="s">
        <v>1796</v>
      </c>
      <c r="K636" t="s">
        <v>1796</v>
      </c>
      <c r="L636" t="s">
        <v>44</v>
      </c>
      <c r="M636">
        <v>0</v>
      </c>
      <c r="N636">
        <v>0</v>
      </c>
      <c r="O636" t="str">
        <f>_xlfn.XLOOKUP(olist_closed_deals_dataset[[#This Row],[mql_id]], leads!A:A, leads!D:D, "Unknow" )</f>
        <v>Unknow</v>
      </c>
      <c r="P636" t="str">
        <f>IF(olist_closed_deals_dataset[[#This Row],[declared_monthly_revenue]] &gt;= 10000, "High Values ", IF(olist_closed_deals_dataset[[#This Row],[declared_monthly_revenue]] &gt; 0, "Stander ", "No Revenue " ))</f>
        <v xml:space="preserve">No Revenue </v>
      </c>
    </row>
    <row r="637" spans="1:16" x14ac:dyDescent="0.2">
      <c r="A637" t="s">
        <v>1379</v>
      </c>
      <c r="B637" t="s">
        <v>1380</v>
      </c>
      <c r="C637" t="s">
        <v>16</v>
      </c>
      <c r="D637" t="s">
        <v>32</v>
      </c>
      <c r="E637" s="1">
        <v>43200.7655787037</v>
      </c>
      <c r="F637" t="s">
        <v>96</v>
      </c>
      <c r="G637" t="s">
        <v>112</v>
      </c>
      <c r="H637" t="s">
        <v>20</v>
      </c>
      <c r="I637" t="s">
        <v>1796</v>
      </c>
      <c r="J637" t="s">
        <v>1796</v>
      </c>
      <c r="K637" t="s">
        <v>1796</v>
      </c>
      <c r="L637" t="s">
        <v>44</v>
      </c>
      <c r="M637">
        <v>0</v>
      </c>
      <c r="N637">
        <v>0</v>
      </c>
      <c r="O637" t="str">
        <f>_xlfn.XLOOKUP(olist_closed_deals_dataset[[#This Row],[mql_id]], leads!A:A, leads!D:D, "Unknow" )</f>
        <v>unknown</v>
      </c>
      <c r="P637" t="str">
        <f>IF(olist_closed_deals_dataset[[#This Row],[declared_monthly_revenue]] &gt;= 10000, "High Values ", IF(olist_closed_deals_dataset[[#This Row],[declared_monthly_revenue]] &gt; 0, "Stander ", "No Revenue " ))</f>
        <v xml:space="preserve">No Revenue </v>
      </c>
    </row>
    <row r="638" spans="1:16" x14ac:dyDescent="0.2">
      <c r="A638" t="s">
        <v>1381</v>
      </c>
      <c r="B638" t="s">
        <v>1382</v>
      </c>
      <c r="C638" t="s">
        <v>16</v>
      </c>
      <c r="D638" t="s">
        <v>102</v>
      </c>
      <c r="E638" s="1">
        <v>43181.543194444443</v>
      </c>
      <c r="F638" t="s">
        <v>49</v>
      </c>
      <c r="G638" t="s">
        <v>112</v>
      </c>
      <c r="H638" t="s">
        <v>20</v>
      </c>
      <c r="I638" t="s">
        <v>1796</v>
      </c>
      <c r="J638" t="s">
        <v>1796</v>
      </c>
      <c r="K638" t="s">
        <v>1796</v>
      </c>
      <c r="L638" t="s">
        <v>44</v>
      </c>
      <c r="M638">
        <v>0</v>
      </c>
      <c r="N638">
        <v>0</v>
      </c>
      <c r="O638" t="str">
        <f>_xlfn.XLOOKUP(olist_closed_deals_dataset[[#This Row],[mql_id]], leads!A:A, leads!D:D, "Unknow" )</f>
        <v>unknown</v>
      </c>
      <c r="P638" t="str">
        <f>IF(olist_closed_deals_dataset[[#This Row],[declared_monthly_revenue]] &gt;= 10000, "High Values ", IF(olist_closed_deals_dataset[[#This Row],[declared_monthly_revenue]] &gt; 0, "Stander ", "No Revenue " ))</f>
        <v xml:space="preserve">No Revenue </v>
      </c>
    </row>
    <row r="639" spans="1:16" x14ac:dyDescent="0.2">
      <c r="A639" t="s">
        <v>1383</v>
      </c>
      <c r="B639" t="s">
        <v>1384</v>
      </c>
      <c r="C639" t="s">
        <v>42</v>
      </c>
      <c r="D639" t="s">
        <v>17</v>
      </c>
      <c r="E639" s="1">
        <v>43206.617824074077</v>
      </c>
      <c r="F639" t="s">
        <v>103</v>
      </c>
      <c r="G639" t="s">
        <v>34</v>
      </c>
      <c r="H639" t="s">
        <v>43</v>
      </c>
      <c r="I639" t="s">
        <v>1796</v>
      </c>
      <c r="J639" t="s">
        <v>1796</v>
      </c>
      <c r="K639" t="s">
        <v>1796</v>
      </c>
      <c r="L639" t="s">
        <v>44</v>
      </c>
      <c r="M639">
        <v>0</v>
      </c>
      <c r="N639">
        <v>0</v>
      </c>
      <c r="O639" t="str">
        <f>_xlfn.XLOOKUP(olist_closed_deals_dataset[[#This Row],[mql_id]], leads!A:A, leads!D:D, "Unknow" )</f>
        <v>organic_search</v>
      </c>
      <c r="P639" t="str">
        <f>IF(olist_closed_deals_dataset[[#This Row],[declared_monthly_revenue]] &gt;= 10000, "High Values ", IF(olist_closed_deals_dataset[[#This Row],[declared_monthly_revenue]] &gt; 0, "Stander ", "No Revenue " ))</f>
        <v xml:space="preserve">No Revenue </v>
      </c>
    </row>
    <row r="640" spans="1:16" x14ac:dyDescent="0.2">
      <c r="A640" t="s">
        <v>1385</v>
      </c>
      <c r="B640" t="s">
        <v>1386</v>
      </c>
      <c r="C640" t="s">
        <v>159</v>
      </c>
      <c r="D640" t="s">
        <v>77</v>
      </c>
      <c r="E640" s="1">
        <v>43294.823750000003</v>
      </c>
      <c r="F640" t="s">
        <v>115</v>
      </c>
      <c r="G640" t="s">
        <v>57</v>
      </c>
      <c r="H640" t="s">
        <v>1796</v>
      </c>
      <c r="I640" t="s">
        <v>1796</v>
      </c>
      <c r="J640" t="s">
        <v>1796</v>
      </c>
      <c r="K640" t="s">
        <v>1796</v>
      </c>
      <c r="L640" t="s">
        <v>21</v>
      </c>
      <c r="M640">
        <v>0</v>
      </c>
      <c r="N640">
        <v>0</v>
      </c>
      <c r="O640" t="str">
        <f>_xlfn.XLOOKUP(olist_closed_deals_dataset[[#This Row],[mql_id]], leads!A:A, leads!D:D, "Unknow" )</f>
        <v>organic_search</v>
      </c>
      <c r="P640" t="str">
        <f>IF(olist_closed_deals_dataset[[#This Row],[declared_monthly_revenue]] &gt;= 10000, "High Values ", IF(olist_closed_deals_dataset[[#This Row],[declared_monthly_revenue]] &gt; 0, "Stander ", "No Revenue " ))</f>
        <v xml:space="preserve">No Revenue </v>
      </c>
    </row>
    <row r="641" spans="1:16" x14ac:dyDescent="0.2">
      <c r="A641" t="s">
        <v>1387</v>
      </c>
      <c r="B641" t="s">
        <v>1388</v>
      </c>
      <c r="C641" t="s">
        <v>42</v>
      </c>
      <c r="D641" t="s">
        <v>17</v>
      </c>
      <c r="E641" s="1">
        <v>43175.681192129632</v>
      </c>
      <c r="F641" t="s">
        <v>68</v>
      </c>
      <c r="G641" t="s">
        <v>34</v>
      </c>
      <c r="H641" t="s">
        <v>43</v>
      </c>
      <c r="I641" t="s">
        <v>1796</v>
      </c>
      <c r="J641" t="s">
        <v>1796</v>
      </c>
      <c r="K641" t="s">
        <v>1796</v>
      </c>
      <c r="L641" t="s">
        <v>21</v>
      </c>
      <c r="M641">
        <v>0</v>
      </c>
      <c r="N641">
        <v>0</v>
      </c>
      <c r="O641" t="str">
        <f>_xlfn.XLOOKUP(olist_closed_deals_dataset[[#This Row],[mql_id]], leads!A:A, leads!D:D, "Unknow" )</f>
        <v>unknown</v>
      </c>
      <c r="P641" t="str">
        <f>IF(olist_closed_deals_dataset[[#This Row],[declared_monthly_revenue]] &gt;= 10000, "High Values ", IF(olist_closed_deals_dataset[[#This Row],[declared_monthly_revenue]] &gt; 0, "Stander ", "No Revenue " ))</f>
        <v xml:space="preserve">No Revenue </v>
      </c>
    </row>
    <row r="642" spans="1:16" x14ac:dyDescent="0.2">
      <c r="A642" t="s">
        <v>1389</v>
      </c>
      <c r="B642" t="s">
        <v>1390</v>
      </c>
      <c r="C642" t="s">
        <v>42</v>
      </c>
      <c r="D642" t="s">
        <v>102</v>
      </c>
      <c r="E642" s="1">
        <v>43154.486168981479</v>
      </c>
      <c r="F642" t="s">
        <v>128</v>
      </c>
      <c r="G642" t="s">
        <v>57</v>
      </c>
      <c r="H642" t="s">
        <v>1796</v>
      </c>
      <c r="I642" t="s">
        <v>1796</v>
      </c>
      <c r="J642" t="s">
        <v>1796</v>
      </c>
      <c r="K642" t="s">
        <v>1796</v>
      </c>
      <c r="L642" t="s">
        <v>44</v>
      </c>
      <c r="M642">
        <v>0</v>
      </c>
      <c r="N642">
        <v>0</v>
      </c>
      <c r="O642" t="str">
        <f>_xlfn.XLOOKUP(olist_closed_deals_dataset[[#This Row],[mql_id]], leads!A:A, leads!D:D, "Unknow" )</f>
        <v>unknown</v>
      </c>
      <c r="P642" t="str">
        <f>IF(olist_closed_deals_dataset[[#This Row],[declared_monthly_revenue]] &gt;= 10000, "High Values ", IF(olist_closed_deals_dataset[[#This Row],[declared_monthly_revenue]] &gt; 0, "Stander ", "No Revenue " ))</f>
        <v xml:space="preserve">No Revenue </v>
      </c>
    </row>
    <row r="643" spans="1:16" x14ac:dyDescent="0.2">
      <c r="A643" t="s">
        <v>1391</v>
      </c>
      <c r="B643" t="s">
        <v>1392</v>
      </c>
      <c r="C643" t="s">
        <v>16</v>
      </c>
      <c r="D643" t="s">
        <v>25</v>
      </c>
      <c r="E643" s="1">
        <v>43208.697141203702</v>
      </c>
      <c r="F643" t="s">
        <v>49</v>
      </c>
      <c r="G643" t="s">
        <v>57</v>
      </c>
      <c r="H643" t="s">
        <v>28</v>
      </c>
      <c r="I643" t="s">
        <v>1796</v>
      </c>
      <c r="J643" t="s">
        <v>1796</v>
      </c>
      <c r="K643" t="s">
        <v>1796</v>
      </c>
      <c r="L643" t="s">
        <v>21</v>
      </c>
      <c r="M643">
        <v>0</v>
      </c>
      <c r="N643">
        <v>0</v>
      </c>
      <c r="O643" t="str">
        <f>_xlfn.XLOOKUP(olist_closed_deals_dataset[[#This Row],[mql_id]], leads!A:A, leads!D:D, "Unknow" )</f>
        <v>referral</v>
      </c>
      <c r="P643" t="str">
        <f>IF(olist_closed_deals_dataset[[#This Row],[declared_monthly_revenue]] &gt;= 10000, "High Values ", IF(olist_closed_deals_dataset[[#This Row],[declared_monthly_revenue]] &gt; 0, "Stander ", "No Revenue " ))</f>
        <v xml:space="preserve">No Revenue </v>
      </c>
    </row>
    <row r="644" spans="1:16" x14ac:dyDescent="0.2">
      <c r="A644" t="s">
        <v>1393</v>
      </c>
      <c r="B644" t="s">
        <v>1394</v>
      </c>
      <c r="C644" t="s">
        <v>224</v>
      </c>
      <c r="D644" t="s">
        <v>56</v>
      </c>
      <c r="E644" s="1">
        <v>43363.717418981483</v>
      </c>
      <c r="F644" t="s">
        <v>38</v>
      </c>
      <c r="G644" t="s">
        <v>57</v>
      </c>
      <c r="H644" t="s">
        <v>225</v>
      </c>
      <c r="I644" t="b">
        <v>1</v>
      </c>
      <c r="J644" t="b">
        <v>1</v>
      </c>
      <c r="K644" t="s">
        <v>199</v>
      </c>
      <c r="L644" t="s">
        <v>21</v>
      </c>
      <c r="M644">
        <v>50</v>
      </c>
      <c r="N644">
        <v>10000</v>
      </c>
      <c r="O644" t="str">
        <f>_xlfn.XLOOKUP(olist_closed_deals_dataset[[#This Row],[mql_id]], leads!A:A, leads!D:D, "Unknow" )</f>
        <v>organic_search</v>
      </c>
      <c r="P644" t="str">
        <f>IF(olist_closed_deals_dataset[[#This Row],[declared_monthly_revenue]] &gt;= 10000, "High Values ", IF(olist_closed_deals_dataset[[#This Row],[declared_monthly_revenue]] &gt; 0, "Stander ", "No Revenue " ))</f>
        <v xml:space="preserve">High Values </v>
      </c>
    </row>
    <row r="645" spans="1:16" x14ac:dyDescent="0.2">
      <c r="A645" t="s">
        <v>1395</v>
      </c>
      <c r="B645" t="s">
        <v>1396</v>
      </c>
      <c r="C645" t="s">
        <v>42</v>
      </c>
      <c r="D645" t="s">
        <v>71</v>
      </c>
      <c r="E645" s="1">
        <v>43202.125</v>
      </c>
      <c r="F645" t="s">
        <v>68</v>
      </c>
      <c r="G645" t="s">
        <v>19</v>
      </c>
      <c r="H645" t="s">
        <v>20</v>
      </c>
      <c r="I645" t="s">
        <v>1796</v>
      </c>
      <c r="J645" t="s">
        <v>1796</v>
      </c>
      <c r="K645" t="s">
        <v>1796</v>
      </c>
      <c r="L645" t="s">
        <v>21</v>
      </c>
      <c r="M645">
        <v>0</v>
      </c>
      <c r="N645">
        <v>0</v>
      </c>
      <c r="O645" t="str">
        <f>_xlfn.XLOOKUP(olist_closed_deals_dataset[[#This Row],[mql_id]], leads!A:A, leads!D:D, "Unknow" )</f>
        <v>email</v>
      </c>
      <c r="P645" t="str">
        <f>IF(olist_closed_deals_dataset[[#This Row],[declared_monthly_revenue]] &gt;= 10000, "High Values ", IF(olist_closed_deals_dataset[[#This Row],[declared_monthly_revenue]] &gt; 0, "Stander ", "No Revenue " ))</f>
        <v xml:space="preserve">No Revenue </v>
      </c>
    </row>
    <row r="646" spans="1:16" x14ac:dyDescent="0.2">
      <c r="A646" t="s">
        <v>1397</v>
      </c>
      <c r="B646" t="s">
        <v>1398</v>
      </c>
      <c r="C646" t="s">
        <v>24</v>
      </c>
      <c r="D646" t="s">
        <v>48</v>
      </c>
      <c r="E646" s="1">
        <v>43201.71429398148</v>
      </c>
      <c r="F646" t="s">
        <v>26</v>
      </c>
      <c r="G646" t="s">
        <v>34</v>
      </c>
      <c r="H646" t="s">
        <v>20</v>
      </c>
      <c r="I646" t="s">
        <v>1796</v>
      </c>
      <c r="J646" t="s">
        <v>1796</v>
      </c>
      <c r="K646" t="s">
        <v>1796</v>
      </c>
      <c r="L646" t="s">
        <v>21</v>
      </c>
      <c r="M646">
        <v>0</v>
      </c>
      <c r="N646">
        <v>0</v>
      </c>
      <c r="O646" t="str">
        <f>_xlfn.XLOOKUP(olist_closed_deals_dataset[[#This Row],[mql_id]], leads!A:A, leads!D:D, "Unknow" )</f>
        <v>direct_traffic</v>
      </c>
      <c r="P646" t="str">
        <f>IF(olist_closed_deals_dataset[[#This Row],[declared_monthly_revenue]] &gt;= 10000, "High Values ", IF(olist_closed_deals_dataset[[#This Row],[declared_monthly_revenue]] &gt; 0, "Stander ", "No Revenue " ))</f>
        <v xml:space="preserve">No Revenue </v>
      </c>
    </row>
    <row r="647" spans="1:16" x14ac:dyDescent="0.2">
      <c r="A647" t="s">
        <v>1399</v>
      </c>
      <c r="B647" t="s">
        <v>1400</v>
      </c>
      <c r="C647" t="s">
        <v>65</v>
      </c>
      <c r="D647" t="s">
        <v>95</v>
      </c>
      <c r="E647" s="1">
        <v>43157.543726851851</v>
      </c>
      <c r="F647" t="s">
        <v>68</v>
      </c>
      <c r="G647" t="s">
        <v>57</v>
      </c>
      <c r="H647" t="s">
        <v>20</v>
      </c>
      <c r="I647" t="s">
        <v>1796</v>
      </c>
      <c r="J647" t="s">
        <v>1796</v>
      </c>
      <c r="K647" t="s">
        <v>1796</v>
      </c>
      <c r="L647" t="s">
        <v>21</v>
      </c>
      <c r="M647">
        <v>0</v>
      </c>
      <c r="N647">
        <v>0</v>
      </c>
      <c r="O647" t="str">
        <f>_xlfn.XLOOKUP(olist_closed_deals_dataset[[#This Row],[mql_id]], leads!A:A, leads!D:D, "Unknow" )</f>
        <v>referral</v>
      </c>
      <c r="P647" t="str">
        <f>IF(olist_closed_deals_dataset[[#This Row],[declared_monthly_revenue]] &gt;= 10000, "High Values ", IF(olist_closed_deals_dataset[[#This Row],[declared_monthly_revenue]] &gt; 0, "Stander ", "No Revenue " ))</f>
        <v xml:space="preserve">No Revenue </v>
      </c>
    </row>
    <row r="648" spans="1:16" x14ac:dyDescent="0.2">
      <c r="A648" t="s">
        <v>1401</v>
      </c>
      <c r="B648" t="s">
        <v>1402</v>
      </c>
      <c r="C648" t="s">
        <v>31</v>
      </c>
      <c r="D648" t="s">
        <v>56</v>
      </c>
      <c r="E648" s="1">
        <v>43402.620856481481</v>
      </c>
      <c r="F648" t="s">
        <v>61</v>
      </c>
      <c r="G648" t="s">
        <v>27</v>
      </c>
      <c r="H648" t="s">
        <v>28</v>
      </c>
      <c r="I648" t="s">
        <v>1796</v>
      </c>
      <c r="J648" t="s">
        <v>1796</v>
      </c>
      <c r="K648" t="s">
        <v>1796</v>
      </c>
      <c r="L648" t="s">
        <v>44</v>
      </c>
      <c r="M648">
        <v>20</v>
      </c>
      <c r="N648">
        <v>5000</v>
      </c>
      <c r="O648" t="str">
        <f>_xlfn.XLOOKUP(olist_closed_deals_dataset[[#This Row],[mql_id]], leads!A:A, leads!D:D, "Unknow" )</f>
        <v>organic_search</v>
      </c>
      <c r="P648" t="str">
        <f>IF(olist_closed_deals_dataset[[#This Row],[declared_monthly_revenue]] &gt;= 10000, "High Values ", IF(olist_closed_deals_dataset[[#This Row],[declared_monthly_revenue]] &gt; 0, "Stander ", "No Revenue " ))</f>
        <v xml:space="preserve">Stander </v>
      </c>
    </row>
    <row r="649" spans="1:16" x14ac:dyDescent="0.2">
      <c r="A649" t="s">
        <v>1403</v>
      </c>
      <c r="B649" t="s">
        <v>1404</v>
      </c>
      <c r="C649" t="s">
        <v>16</v>
      </c>
      <c r="D649" t="s">
        <v>32</v>
      </c>
      <c r="E649" s="1">
        <v>43187.556493055556</v>
      </c>
      <c r="F649" t="s">
        <v>96</v>
      </c>
      <c r="G649" t="s">
        <v>34</v>
      </c>
      <c r="H649" t="s">
        <v>20</v>
      </c>
      <c r="I649" t="s">
        <v>1796</v>
      </c>
      <c r="J649" t="s">
        <v>1796</v>
      </c>
      <c r="K649" t="s">
        <v>1796</v>
      </c>
      <c r="L649" t="s">
        <v>21</v>
      </c>
      <c r="M649">
        <v>0</v>
      </c>
      <c r="N649">
        <v>0</v>
      </c>
      <c r="O649" t="str">
        <f>_xlfn.XLOOKUP(olist_closed_deals_dataset[[#This Row],[mql_id]], leads!A:A, leads!D:D, "Unknow" )</f>
        <v>organic_search</v>
      </c>
      <c r="P649" t="str">
        <f>IF(olist_closed_deals_dataset[[#This Row],[declared_monthly_revenue]] &gt;= 10000, "High Values ", IF(olist_closed_deals_dataset[[#This Row],[declared_monthly_revenue]] &gt; 0, "Stander ", "No Revenue " ))</f>
        <v xml:space="preserve">No Revenue </v>
      </c>
    </row>
    <row r="650" spans="1:16" x14ac:dyDescent="0.2">
      <c r="A650" t="s">
        <v>1405</v>
      </c>
      <c r="B650" t="s">
        <v>1406</v>
      </c>
      <c r="C650" t="s">
        <v>181</v>
      </c>
      <c r="D650" t="s">
        <v>16</v>
      </c>
      <c r="E650" s="1">
        <v>43294.915729166663</v>
      </c>
      <c r="F650" t="s">
        <v>53</v>
      </c>
      <c r="G650" t="s">
        <v>112</v>
      </c>
      <c r="H650" t="s">
        <v>20</v>
      </c>
      <c r="I650" t="s">
        <v>1796</v>
      </c>
      <c r="J650" t="s">
        <v>1796</v>
      </c>
      <c r="K650" t="s">
        <v>1796</v>
      </c>
      <c r="L650" t="s">
        <v>21</v>
      </c>
      <c r="M650">
        <v>0</v>
      </c>
      <c r="N650">
        <v>0</v>
      </c>
      <c r="O650" t="str">
        <f>_xlfn.XLOOKUP(olist_closed_deals_dataset[[#This Row],[mql_id]], leads!A:A, leads!D:D, "Unknow" )</f>
        <v>organic_search</v>
      </c>
      <c r="P650" t="str">
        <f>IF(olist_closed_deals_dataset[[#This Row],[declared_monthly_revenue]] &gt;= 10000, "High Values ", IF(olist_closed_deals_dataset[[#This Row],[declared_monthly_revenue]] &gt; 0, "Stander ", "No Revenue " ))</f>
        <v xml:space="preserve">No Revenue </v>
      </c>
    </row>
    <row r="651" spans="1:16" x14ac:dyDescent="0.2">
      <c r="A651" t="s">
        <v>1407</v>
      </c>
      <c r="B651" t="s">
        <v>1408</v>
      </c>
      <c r="C651" t="s">
        <v>42</v>
      </c>
      <c r="D651" t="s">
        <v>74</v>
      </c>
      <c r="E651" s="1">
        <v>43147.497754629629</v>
      </c>
      <c r="F651" t="s">
        <v>138</v>
      </c>
      <c r="G651" t="s">
        <v>19</v>
      </c>
      <c r="H651" t="s">
        <v>20</v>
      </c>
      <c r="I651" t="s">
        <v>1796</v>
      </c>
      <c r="J651" t="s">
        <v>1796</v>
      </c>
      <c r="K651" t="s">
        <v>1796</v>
      </c>
      <c r="L651" t="s">
        <v>21</v>
      </c>
      <c r="M651">
        <v>0</v>
      </c>
      <c r="N651">
        <v>0</v>
      </c>
      <c r="O651" t="str">
        <f>_xlfn.XLOOKUP(olist_closed_deals_dataset[[#This Row],[mql_id]], leads!A:A, leads!D:D, "Unknow" )</f>
        <v>unknown</v>
      </c>
      <c r="P651" t="str">
        <f>IF(olist_closed_deals_dataset[[#This Row],[declared_monthly_revenue]] &gt;= 10000, "High Values ", IF(olist_closed_deals_dataset[[#This Row],[declared_monthly_revenue]] &gt; 0, "Stander ", "No Revenue " ))</f>
        <v xml:space="preserve">No Revenue </v>
      </c>
    </row>
    <row r="652" spans="1:16" x14ac:dyDescent="0.2">
      <c r="A652" t="s">
        <v>1409</v>
      </c>
      <c r="B652" t="s">
        <v>1410</v>
      </c>
      <c r="C652" t="s">
        <v>65</v>
      </c>
      <c r="D652" t="s">
        <v>74</v>
      </c>
      <c r="E652" s="1">
        <v>43173.730219907404</v>
      </c>
      <c r="F652" t="s">
        <v>494</v>
      </c>
      <c r="G652" t="s">
        <v>39</v>
      </c>
      <c r="H652" t="s">
        <v>20</v>
      </c>
      <c r="I652" t="s">
        <v>1796</v>
      </c>
      <c r="J652" t="s">
        <v>1796</v>
      </c>
      <c r="K652" t="s">
        <v>1796</v>
      </c>
      <c r="L652" t="s">
        <v>44</v>
      </c>
      <c r="M652">
        <v>0</v>
      </c>
      <c r="N652">
        <v>0</v>
      </c>
      <c r="O652" t="str">
        <f>_xlfn.XLOOKUP(olist_closed_deals_dataset[[#This Row],[mql_id]], leads!A:A, leads!D:D, "Unknow" )</f>
        <v>paid_search</v>
      </c>
      <c r="P652" t="str">
        <f>IF(olist_closed_deals_dataset[[#This Row],[declared_monthly_revenue]] &gt;= 10000, "High Values ", IF(olist_closed_deals_dataset[[#This Row],[declared_monthly_revenue]] &gt; 0, "Stander ", "No Revenue " ))</f>
        <v xml:space="preserve">No Revenue </v>
      </c>
    </row>
    <row r="653" spans="1:16" x14ac:dyDescent="0.2">
      <c r="A653" t="s">
        <v>1411</v>
      </c>
      <c r="B653" t="s">
        <v>1412</v>
      </c>
      <c r="C653" t="s">
        <v>127</v>
      </c>
      <c r="D653" t="s">
        <v>52</v>
      </c>
      <c r="E653" s="1">
        <v>43283.72247685185</v>
      </c>
      <c r="F653" t="s">
        <v>49</v>
      </c>
      <c r="G653" t="s">
        <v>19</v>
      </c>
      <c r="H653" t="s">
        <v>20</v>
      </c>
      <c r="I653" t="s">
        <v>1796</v>
      </c>
      <c r="J653" t="s">
        <v>1796</v>
      </c>
      <c r="K653" t="s">
        <v>1796</v>
      </c>
      <c r="L653" t="s">
        <v>21</v>
      </c>
      <c r="M653">
        <v>0</v>
      </c>
      <c r="N653">
        <v>0</v>
      </c>
      <c r="O653" t="str">
        <f>_xlfn.XLOOKUP(olist_closed_deals_dataset[[#This Row],[mql_id]], leads!A:A, leads!D:D, "Unknow" )</f>
        <v>unknown</v>
      </c>
      <c r="P653" t="str">
        <f>IF(olist_closed_deals_dataset[[#This Row],[declared_monthly_revenue]] &gt;= 10000, "High Values ", IF(olist_closed_deals_dataset[[#This Row],[declared_monthly_revenue]] &gt; 0, "Stander ", "No Revenue " ))</f>
        <v xml:space="preserve">No Revenue </v>
      </c>
    </row>
    <row r="654" spans="1:16" x14ac:dyDescent="0.2">
      <c r="A654" t="s">
        <v>1413</v>
      </c>
      <c r="B654" t="s">
        <v>1414</v>
      </c>
      <c r="C654" t="s">
        <v>127</v>
      </c>
      <c r="D654" t="s">
        <v>56</v>
      </c>
      <c r="E654" s="1">
        <v>43305.830636574072</v>
      </c>
      <c r="F654" t="s">
        <v>96</v>
      </c>
      <c r="G654" t="s">
        <v>34</v>
      </c>
      <c r="H654" t="s">
        <v>20</v>
      </c>
      <c r="I654" t="s">
        <v>1796</v>
      </c>
      <c r="J654" t="s">
        <v>1796</v>
      </c>
      <c r="K654" t="s">
        <v>1796</v>
      </c>
      <c r="L654" t="s">
        <v>21</v>
      </c>
      <c r="M654">
        <v>0</v>
      </c>
      <c r="N654">
        <v>0</v>
      </c>
      <c r="O654" t="str">
        <f>_xlfn.XLOOKUP(olist_closed_deals_dataset[[#This Row],[mql_id]], leads!A:A, leads!D:D, "Unknow" )</f>
        <v>social</v>
      </c>
      <c r="P654" t="str">
        <f>IF(olist_closed_deals_dataset[[#This Row],[declared_monthly_revenue]] &gt;= 10000, "High Values ", IF(olist_closed_deals_dataset[[#This Row],[declared_monthly_revenue]] &gt; 0, "Stander ", "No Revenue " ))</f>
        <v xml:space="preserve">No Revenue </v>
      </c>
    </row>
    <row r="655" spans="1:16" x14ac:dyDescent="0.2">
      <c r="A655" t="s">
        <v>1415</v>
      </c>
      <c r="B655" t="s">
        <v>1416</v>
      </c>
      <c r="C655" t="s">
        <v>65</v>
      </c>
      <c r="D655" t="s">
        <v>48</v>
      </c>
      <c r="E655" s="1">
        <v>43192.544027777774</v>
      </c>
      <c r="F655" t="s">
        <v>96</v>
      </c>
      <c r="G655" t="s">
        <v>19</v>
      </c>
      <c r="H655" t="s">
        <v>20</v>
      </c>
      <c r="I655" t="s">
        <v>1796</v>
      </c>
      <c r="J655" t="s">
        <v>1796</v>
      </c>
      <c r="K655" t="s">
        <v>1796</v>
      </c>
      <c r="L655" t="s">
        <v>44</v>
      </c>
      <c r="M655">
        <v>0</v>
      </c>
      <c r="N655">
        <v>0</v>
      </c>
      <c r="O655" t="str">
        <f>_xlfn.XLOOKUP(olist_closed_deals_dataset[[#This Row],[mql_id]], leads!A:A, leads!D:D, "Unknow" )</f>
        <v>unknown</v>
      </c>
      <c r="P655" t="str">
        <f>IF(olist_closed_deals_dataset[[#This Row],[declared_monthly_revenue]] &gt;= 10000, "High Values ", IF(olist_closed_deals_dataset[[#This Row],[declared_monthly_revenue]] &gt; 0, "Stander ", "No Revenue " ))</f>
        <v xml:space="preserve">No Revenue </v>
      </c>
    </row>
    <row r="656" spans="1:16" x14ac:dyDescent="0.2">
      <c r="A656" t="s">
        <v>1417</v>
      </c>
      <c r="B656" t="s">
        <v>1418</v>
      </c>
      <c r="C656" t="s">
        <v>159</v>
      </c>
      <c r="D656" t="s">
        <v>52</v>
      </c>
      <c r="E656" s="1">
        <v>43231.677928240744</v>
      </c>
      <c r="F656" t="s">
        <v>49</v>
      </c>
      <c r="G656" t="s">
        <v>39</v>
      </c>
      <c r="H656" t="s">
        <v>28</v>
      </c>
      <c r="I656" t="s">
        <v>1796</v>
      </c>
      <c r="J656" t="s">
        <v>1796</v>
      </c>
      <c r="K656" t="s">
        <v>1796</v>
      </c>
      <c r="L656" t="s">
        <v>44</v>
      </c>
      <c r="M656">
        <v>0</v>
      </c>
      <c r="N656">
        <v>0</v>
      </c>
      <c r="O656" t="str">
        <f>_xlfn.XLOOKUP(olist_closed_deals_dataset[[#This Row],[mql_id]], leads!A:A, leads!D:D, "Unknow" )</f>
        <v>unknown</v>
      </c>
      <c r="P656" t="str">
        <f>IF(olist_closed_deals_dataset[[#This Row],[declared_monthly_revenue]] &gt;= 10000, "High Values ", IF(olist_closed_deals_dataset[[#This Row],[declared_monthly_revenue]] &gt; 0, "Stander ", "No Revenue " ))</f>
        <v xml:space="preserve">No Revenue </v>
      </c>
    </row>
    <row r="657" spans="1:16" x14ac:dyDescent="0.2">
      <c r="A657" t="s">
        <v>1419</v>
      </c>
      <c r="B657" t="s">
        <v>1420</v>
      </c>
      <c r="C657" t="s">
        <v>432</v>
      </c>
      <c r="D657" t="s">
        <v>89</v>
      </c>
      <c r="E657" s="1">
        <v>43080.755162037036</v>
      </c>
      <c r="F657" t="s">
        <v>92</v>
      </c>
      <c r="G657" t="s">
        <v>27</v>
      </c>
      <c r="H657" t="s">
        <v>1796</v>
      </c>
      <c r="I657" t="s">
        <v>1796</v>
      </c>
      <c r="J657" t="s">
        <v>1796</v>
      </c>
      <c r="K657" t="s">
        <v>1796</v>
      </c>
      <c r="L657" t="s">
        <v>44</v>
      </c>
      <c r="M657">
        <v>0</v>
      </c>
      <c r="N657">
        <v>0</v>
      </c>
      <c r="O657" t="str">
        <f>_xlfn.XLOOKUP(olist_closed_deals_dataset[[#This Row],[mql_id]], leads!A:A, leads!D:D, "Unknow" )</f>
        <v>paid_search</v>
      </c>
      <c r="P657" t="str">
        <f>IF(olist_closed_deals_dataset[[#This Row],[declared_monthly_revenue]] &gt;= 10000, "High Values ", IF(olist_closed_deals_dataset[[#This Row],[declared_monthly_revenue]] &gt; 0, "Stander ", "No Revenue " ))</f>
        <v xml:space="preserve">No Revenue </v>
      </c>
    </row>
    <row r="658" spans="1:16" x14ac:dyDescent="0.2">
      <c r="A658" t="s">
        <v>1421</v>
      </c>
      <c r="B658" t="s">
        <v>1422</v>
      </c>
      <c r="C658" t="s">
        <v>1249</v>
      </c>
      <c r="D658" t="s">
        <v>77</v>
      </c>
      <c r="E658" s="1">
        <v>43294.735289351855</v>
      </c>
      <c r="F658" t="s">
        <v>18</v>
      </c>
      <c r="G658" t="s">
        <v>112</v>
      </c>
      <c r="H658" t="s">
        <v>43</v>
      </c>
      <c r="I658" t="b">
        <v>1</v>
      </c>
      <c r="J658" t="b">
        <v>1</v>
      </c>
      <c r="K658" t="s">
        <v>199</v>
      </c>
      <c r="L658" t="s">
        <v>21</v>
      </c>
      <c r="M658">
        <v>0</v>
      </c>
      <c r="N658">
        <v>0</v>
      </c>
      <c r="O658" t="str">
        <f>_xlfn.XLOOKUP(olist_closed_deals_dataset[[#This Row],[mql_id]], leads!A:A, leads!D:D, "Unknow" )</f>
        <v>social</v>
      </c>
      <c r="P658" t="str">
        <f>IF(olist_closed_deals_dataset[[#This Row],[declared_monthly_revenue]] &gt;= 10000, "High Values ", IF(olist_closed_deals_dataset[[#This Row],[declared_monthly_revenue]] &gt; 0, "Stander ", "No Revenue " ))</f>
        <v xml:space="preserve">No Revenue </v>
      </c>
    </row>
    <row r="659" spans="1:16" x14ac:dyDescent="0.2">
      <c r="A659" t="s">
        <v>1423</v>
      </c>
      <c r="B659" t="s">
        <v>1424</v>
      </c>
      <c r="C659" t="s">
        <v>42</v>
      </c>
      <c r="D659" t="s">
        <v>77</v>
      </c>
      <c r="E659" s="1">
        <v>43122.083333333336</v>
      </c>
      <c r="F659" t="s">
        <v>68</v>
      </c>
      <c r="G659" t="s">
        <v>19</v>
      </c>
      <c r="H659" t="s">
        <v>1796</v>
      </c>
      <c r="I659" t="s">
        <v>1796</v>
      </c>
      <c r="J659" t="s">
        <v>1796</v>
      </c>
      <c r="K659" t="s">
        <v>1796</v>
      </c>
      <c r="L659" t="s">
        <v>21</v>
      </c>
      <c r="M659">
        <v>0</v>
      </c>
      <c r="N659">
        <v>0</v>
      </c>
      <c r="O659" t="str">
        <f>_xlfn.XLOOKUP(olist_closed_deals_dataset[[#This Row],[mql_id]], leads!A:A, leads!D:D, "Unknow" )</f>
        <v>unknown</v>
      </c>
      <c r="P659" t="str">
        <f>IF(olist_closed_deals_dataset[[#This Row],[declared_monthly_revenue]] &gt;= 10000, "High Values ", IF(olist_closed_deals_dataset[[#This Row],[declared_monthly_revenue]] &gt; 0, "Stander ", "No Revenue " ))</f>
        <v xml:space="preserve">No Revenue </v>
      </c>
    </row>
    <row r="660" spans="1:16" x14ac:dyDescent="0.2">
      <c r="A660" t="s">
        <v>1425</v>
      </c>
      <c r="B660" t="s">
        <v>1426</v>
      </c>
      <c r="C660" t="s">
        <v>42</v>
      </c>
      <c r="D660" t="s">
        <v>52</v>
      </c>
      <c r="E660" s="1">
        <v>43178.860706018517</v>
      </c>
      <c r="F660" t="s">
        <v>68</v>
      </c>
      <c r="G660" t="s">
        <v>19</v>
      </c>
      <c r="H660" t="s">
        <v>20</v>
      </c>
      <c r="I660" t="s">
        <v>1796</v>
      </c>
      <c r="J660" t="s">
        <v>1796</v>
      </c>
      <c r="K660" t="s">
        <v>1796</v>
      </c>
      <c r="L660" t="s">
        <v>44</v>
      </c>
      <c r="M660">
        <v>0</v>
      </c>
      <c r="N660">
        <v>0</v>
      </c>
      <c r="O660" t="str">
        <f>_xlfn.XLOOKUP(olist_closed_deals_dataset[[#This Row],[mql_id]], leads!A:A, leads!D:D, "Unknow" )</f>
        <v>Unknow</v>
      </c>
      <c r="P660" t="str">
        <f>IF(olist_closed_deals_dataset[[#This Row],[declared_monthly_revenue]] &gt;= 10000, "High Values ", IF(olist_closed_deals_dataset[[#This Row],[declared_monthly_revenue]] &gt; 0, "Stander ", "No Revenue " ))</f>
        <v xml:space="preserve">No Revenue </v>
      </c>
    </row>
    <row r="661" spans="1:16" x14ac:dyDescent="0.2">
      <c r="A661" t="s">
        <v>1427</v>
      </c>
      <c r="B661" t="s">
        <v>1428</v>
      </c>
      <c r="C661" t="s">
        <v>64</v>
      </c>
      <c r="D661" t="s">
        <v>95</v>
      </c>
      <c r="E661" s="1">
        <v>43237.125</v>
      </c>
      <c r="F661" t="s">
        <v>61</v>
      </c>
      <c r="G661" t="s">
        <v>27</v>
      </c>
      <c r="H661" t="s">
        <v>28</v>
      </c>
      <c r="I661" t="s">
        <v>1796</v>
      </c>
      <c r="J661" t="s">
        <v>1796</v>
      </c>
      <c r="K661" t="s">
        <v>1796</v>
      </c>
      <c r="L661" t="s">
        <v>44</v>
      </c>
      <c r="M661">
        <v>0</v>
      </c>
      <c r="N661">
        <v>0</v>
      </c>
      <c r="O661" t="str">
        <f>_xlfn.XLOOKUP(olist_closed_deals_dataset[[#This Row],[mql_id]], leads!A:A, leads!D:D, "Unknow" )</f>
        <v>organic_search</v>
      </c>
      <c r="P661" t="str">
        <f>IF(olist_closed_deals_dataset[[#This Row],[declared_monthly_revenue]] &gt;= 10000, "High Values ", IF(olist_closed_deals_dataset[[#This Row],[declared_monthly_revenue]] &gt; 0, "Stander ", "No Revenue " ))</f>
        <v xml:space="preserve">No Revenue </v>
      </c>
    </row>
    <row r="662" spans="1:16" x14ac:dyDescent="0.2">
      <c r="A662" t="s">
        <v>1429</v>
      </c>
      <c r="B662" t="s">
        <v>1430</v>
      </c>
      <c r="C662" t="s">
        <v>127</v>
      </c>
      <c r="D662" t="s">
        <v>31</v>
      </c>
      <c r="E662" s="1">
        <v>43348.605983796297</v>
      </c>
      <c r="F662" t="s">
        <v>92</v>
      </c>
      <c r="G662" t="s">
        <v>19</v>
      </c>
      <c r="H662" t="s">
        <v>28</v>
      </c>
      <c r="I662" t="b">
        <v>1</v>
      </c>
      <c r="J662" t="b">
        <v>1</v>
      </c>
      <c r="K662" t="s">
        <v>142</v>
      </c>
      <c r="L662" t="s">
        <v>21</v>
      </c>
      <c r="M662">
        <v>1000</v>
      </c>
      <c r="N662">
        <v>0</v>
      </c>
      <c r="O662" t="str">
        <f>_xlfn.XLOOKUP(olist_closed_deals_dataset[[#This Row],[mql_id]], leads!A:A, leads!D:D, "Unknow" )</f>
        <v>paid_search</v>
      </c>
      <c r="P662" t="str">
        <f>IF(olist_closed_deals_dataset[[#This Row],[declared_monthly_revenue]] &gt;= 10000, "High Values ", IF(olist_closed_deals_dataset[[#This Row],[declared_monthly_revenue]] &gt; 0, "Stander ", "No Revenue " ))</f>
        <v xml:space="preserve">No Revenue </v>
      </c>
    </row>
    <row r="663" spans="1:16" x14ac:dyDescent="0.2">
      <c r="A663" t="s">
        <v>1431</v>
      </c>
      <c r="B663" t="s">
        <v>1432</v>
      </c>
      <c r="C663" t="s">
        <v>24</v>
      </c>
      <c r="D663" t="s">
        <v>74</v>
      </c>
      <c r="E663" s="1">
        <v>43222.568981481483</v>
      </c>
      <c r="F663" t="s">
        <v>221</v>
      </c>
      <c r="G663" t="s">
        <v>39</v>
      </c>
      <c r="H663" t="s">
        <v>28</v>
      </c>
      <c r="I663" t="s">
        <v>1796</v>
      </c>
      <c r="J663" t="s">
        <v>1796</v>
      </c>
      <c r="K663" t="s">
        <v>1796</v>
      </c>
      <c r="L663" t="s">
        <v>21</v>
      </c>
      <c r="M663">
        <v>0</v>
      </c>
      <c r="N663">
        <v>0</v>
      </c>
      <c r="O663" t="str">
        <f>_xlfn.XLOOKUP(olist_closed_deals_dataset[[#This Row],[mql_id]], leads!A:A, leads!D:D, "Unknow" )</f>
        <v>unknown</v>
      </c>
      <c r="P663" t="str">
        <f>IF(olist_closed_deals_dataset[[#This Row],[declared_monthly_revenue]] &gt;= 10000, "High Values ", IF(olist_closed_deals_dataset[[#This Row],[declared_monthly_revenue]] &gt; 0, "Stander ", "No Revenue " ))</f>
        <v xml:space="preserve">No Revenue </v>
      </c>
    </row>
    <row r="664" spans="1:16" x14ac:dyDescent="0.2">
      <c r="A664" t="s">
        <v>1433</v>
      </c>
      <c r="B664" t="s">
        <v>1434</v>
      </c>
      <c r="C664" t="s">
        <v>64</v>
      </c>
      <c r="D664" t="s">
        <v>95</v>
      </c>
      <c r="E664" s="1">
        <v>43220.502905092595</v>
      </c>
      <c r="F664" t="s">
        <v>85</v>
      </c>
      <c r="G664" t="s">
        <v>19</v>
      </c>
      <c r="H664" t="s">
        <v>20</v>
      </c>
      <c r="I664" t="s">
        <v>1796</v>
      </c>
      <c r="J664" t="s">
        <v>1796</v>
      </c>
      <c r="K664" t="s">
        <v>1796</v>
      </c>
      <c r="L664" t="s">
        <v>44</v>
      </c>
      <c r="M664">
        <v>0</v>
      </c>
      <c r="N664">
        <v>0</v>
      </c>
      <c r="O664" t="str">
        <f>_xlfn.XLOOKUP(olist_closed_deals_dataset[[#This Row],[mql_id]], leads!A:A, leads!D:D, "Unknow" )</f>
        <v>paid_search</v>
      </c>
      <c r="P664" t="str">
        <f>IF(olist_closed_deals_dataset[[#This Row],[declared_monthly_revenue]] &gt;= 10000, "High Values ", IF(olist_closed_deals_dataset[[#This Row],[declared_monthly_revenue]] &gt; 0, "Stander ", "No Revenue " ))</f>
        <v xml:space="preserve">No Revenue </v>
      </c>
    </row>
    <row r="665" spans="1:16" x14ac:dyDescent="0.2">
      <c r="A665" t="s">
        <v>1435</v>
      </c>
      <c r="B665" t="s">
        <v>1436</v>
      </c>
      <c r="C665" t="s">
        <v>16</v>
      </c>
      <c r="D665" t="s">
        <v>17</v>
      </c>
      <c r="E665" s="1">
        <v>43203.125</v>
      </c>
      <c r="F665" t="s">
        <v>26</v>
      </c>
      <c r="G665" t="s">
        <v>27</v>
      </c>
      <c r="H665" t="s">
        <v>20</v>
      </c>
      <c r="I665" t="s">
        <v>1796</v>
      </c>
      <c r="J665" t="s">
        <v>1796</v>
      </c>
      <c r="K665" t="s">
        <v>1796</v>
      </c>
      <c r="L665" t="s">
        <v>44</v>
      </c>
      <c r="M665">
        <v>0</v>
      </c>
      <c r="N665">
        <v>0</v>
      </c>
      <c r="O665" t="str">
        <f>_xlfn.XLOOKUP(olist_closed_deals_dataset[[#This Row],[mql_id]], leads!A:A, leads!D:D, "Unknow" )</f>
        <v>direct_traffic</v>
      </c>
      <c r="P665" t="str">
        <f>IF(olist_closed_deals_dataset[[#This Row],[declared_monthly_revenue]] &gt;= 10000, "High Values ", IF(olist_closed_deals_dataset[[#This Row],[declared_monthly_revenue]] &gt; 0, "Stander ", "No Revenue " ))</f>
        <v xml:space="preserve">No Revenue </v>
      </c>
    </row>
    <row r="666" spans="1:16" x14ac:dyDescent="0.2">
      <c r="A666" t="s">
        <v>1437</v>
      </c>
      <c r="B666" t="s">
        <v>1438</v>
      </c>
      <c r="C666" t="s">
        <v>81</v>
      </c>
      <c r="D666" t="s">
        <v>48</v>
      </c>
      <c r="E666" s="1">
        <v>43139.551099537035</v>
      </c>
      <c r="F666" t="s">
        <v>49</v>
      </c>
      <c r="G666" t="s">
        <v>19</v>
      </c>
      <c r="H666" t="s">
        <v>1796</v>
      </c>
      <c r="I666" t="s">
        <v>1796</v>
      </c>
      <c r="J666" t="s">
        <v>1796</v>
      </c>
      <c r="K666" t="s">
        <v>1796</v>
      </c>
      <c r="L666" t="s">
        <v>44</v>
      </c>
      <c r="M666">
        <v>0</v>
      </c>
      <c r="N666">
        <v>0</v>
      </c>
      <c r="O666" t="str">
        <f>_xlfn.XLOOKUP(olist_closed_deals_dataset[[#This Row],[mql_id]], leads!A:A, leads!D:D, "Unknow" )</f>
        <v>organic_search</v>
      </c>
      <c r="P666" t="str">
        <f>IF(olist_closed_deals_dataset[[#This Row],[declared_monthly_revenue]] &gt;= 10000, "High Values ", IF(olist_closed_deals_dataset[[#This Row],[declared_monthly_revenue]] &gt; 0, "Stander ", "No Revenue " ))</f>
        <v xml:space="preserve">No Revenue </v>
      </c>
    </row>
    <row r="667" spans="1:16" x14ac:dyDescent="0.2">
      <c r="A667" t="s">
        <v>1439</v>
      </c>
      <c r="B667" t="s">
        <v>1440</v>
      </c>
      <c r="C667" t="s">
        <v>42</v>
      </c>
      <c r="D667" t="s">
        <v>48</v>
      </c>
      <c r="E667" s="1">
        <v>43186.802187499998</v>
      </c>
      <c r="F667" t="s">
        <v>61</v>
      </c>
      <c r="G667" t="s">
        <v>34</v>
      </c>
      <c r="H667" t="s">
        <v>122</v>
      </c>
      <c r="I667" t="s">
        <v>1796</v>
      </c>
      <c r="J667" t="s">
        <v>1796</v>
      </c>
      <c r="K667" t="s">
        <v>1796</v>
      </c>
      <c r="L667" t="s">
        <v>21</v>
      </c>
      <c r="M667">
        <v>0</v>
      </c>
      <c r="N667">
        <v>0</v>
      </c>
      <c r="O667" t="str">
        <f>_xlfn.XLOOKUP(olist_closed_deals_dataset[[#This Row],[mql_id]], leads!A:A, leads!D:D, "Unknow" )</f>
        <v>organic_search</v>
      </c>
      <c r="P667" t="str">
        <f>IF(olist_closed_deals_dataset[[#This Row],[declared_monthly_revenue]] &gt;= 10000, "High Values ", IF(olist_closed_deals_dataset[[#This Row],[declared_monthly_revenue]] &gt; 0, "Stander ", "No Revenue " ))</f>
        <v xml:space="preserve">No Revenue </v>
      </c>
    </row>
    <row r="668" spans="1:16" x14ac:dyDescent="0.2">
      <c r="A668" t="s">
        <v>1441</v>
      </c>
      <c r="B668" t="s">
        <v>1442</v>
      </c>
      <c r="C668" t="s">
        <v>64</v>
      </c>
      <c r="D668" t="s">
        <v>71</v>
      </c>
      <c r="E668" s="1">
        <v>43179.849606481483</v>
      </c>
      <c r="F668" t="s">
        <v>26</v>
      </c>
      <c r="G668" t="s">
        <v>19</v>
      </c>
      <c r="H668" t="s">
        <v>20</v>
      </c>
      <c r="I668" t="s">
        <v>1796</v>
      </c>
      <c r="J668" t="s">
        <v>1796</v>
      </c>
      <c r="K668" t="s">
        <v>1796</v>
      </c>
      <c r="L668" t="s">
        <v>44</v>
      </c>
      <c r="M668">
        <v>0</v>
      </c>
      <c r="N668">
        <v>0</v>
      </c>
      <c r="O668" t="str">
        <f>_xlfn.XLOOKUP(olist_closed_deals_dataset[[#This Row],[mql_id]], leads!A:A, leads!D:D, "Unknow" )</f>
        <v>paid_search</v>
      </c>
      <c r="P668" t="str">
        <f>IF(olist_closed_deals_dataset[[#This Row],[declared_monthly_revenue]] &gt;= 10000, "High Values ", IF(olist_closed_deals_dataset[[#This Row],[declared_monthly_revenue]] &gt; 0, "Stander ", "No Revenue " ))</f>
        <v xml:space="preserve">No Revenue </v>
      </c>
    </row>
    <row r="669" spans="1:16" x14ac:dyDescent="0.2">
      <c r="A669" t="s">
        <v>1443</v>
      </c>
      <c r="B669" t="s">
        <v>1444</v>
      </c>
      <c r="C669" t="s">
        <v>16</v>
      </c>
      <c r="D669" t="s">
        <v>48</v>
      </c>
      <c r="E669" s="1">
        <v>43165.818692129629</v>
      </c>
      <c r="F669" t="s">
        <v>49</v>
      </c>
      <c r="G669" t="s">
        <v>34</v>
      </c>
      <c r="H669" t="s">
        <v>20</v>
      </c>
      <c r="I669" t="s">
        <v>1796</v>
      </c>
      <c r="J669" t="s">
        <v>1796</v>
      </c>
      <c r="K669" t="s">
        <v>1796</v>
      </c>
      <c r="L669" t="s">
        <v>21</v>
      </c>
      <c r="M669">
        <v>0</v>
      </c>
      <c r="N669">
        <v>0</v>
      </c>
      <c r="O669" t="str">
        <f>_xlfn.XLOOKUP(olist_closed_deals_dataset[[#This Row],[mql_id]], leads!A:A, leads!D:D, "Unknow" )</f>
        <v>organic_search</v>
      </c>
      <c r="P669" t="str">
        <f>IF(olist_closed_deals_dataset[[#This Row],[declared_monthly_revenue]] &gt;= 10000, "High Values ", IF(olist_closed_deals_dataset[[#This Row],[declared_monthly_revenue]] &gt; 0, "Stander ", "No Revenue " ))</f>
        <v xml:space="preserve">No Revenue </v>
      </c>
    </row>
    <row r="670" spans="1:16" x14ac:dyDescent="0.2">
      <c r="A670" t="s">
        <v>1445</v>
      </c>
      <c r="B670" t="s">
        <v>1446</v>
      </c>
      <c r="C670" t="s">
        <v>81</v>
      </c>
      <c r="D670" t="s">
        <v>95</v>
      </c>
      <c r="E670" s="1">
        <v>43166.80804398148</v>
      </c>
      <c r="F670" t="s">
        <v>53</v>
      </c>
      <c r="G670" t="s">
        <v>19</v>
      </c>
      <c r="H670" t="s">
        <v>20</v>
      </c>
      <c r="I670" t="s">
        <v>1796</v>
      </c>
      <c r="J670" t="s">
        <v>1796</v>
      </c>
      <c r="K670" t="s">
        <v>1796</v>
      </c>
      <c r="L670" t="s">
        <v>21</v>
      </c>
      <c r="M670">
        <v>0</v>
      </c>
      <c r="N670">
        <v>0</v>
      </c>
      <c r="O670" t="str">
        <f>_xlfn.XLOOKUP(olist_closed_deals_dataset[[#This Row],[mql_id]], leads!A:A, leads!D:D, "Unknow" )</f>
        <v>unknown</v>
      </c>
      <c r="P670" t="str">
        <f>IF(olist_closed_deals_dataset[[#This Row],[declared_monthly_revenue]] &gt;= 10000, "High Values ", IF(olist_closed_deals_dataset[[#This Row],[declared_monthly_revenue]] &gt; 0, "Stander ", "No Revenue " ))</f>
        <v xml:space="preserve">No Revenue </v>
      </c>
    </row>
    <row r="671" spans="1:16" x14ac:dyDescent="0.2">
      <c r="A671" t="s">
        <v>1447</v>
      </c>
      <c r="B671" t="s">
        <v>1448</v>
      </c>
      <c r="C671" t="s">
        <v>60</v>
      </c>
      <c r="D671" t="s">
        <v>64</v>
      </c>
      <c r="E671" s="1">
        <v>43369.492280092592</v>
      </c>
      <c r="F671" t="s">
        <v>26</v>
      </c>
      <c r="G671" t="s">
        <v>19</v>
      </c>
      <c r="H671" t="s">
        <v>225</v>
      </c>
      <c r="I671" t="b">
        <v>1</v>
      </c>
      <c r="J671" t="b">
        <v>1</v>
      </c>
      <c r="K671" t="s">
        <v>1798</v>
      </c>
      <c r="L671" t="s">
        <v>21</v>
      </c>
      <c r="M671">
        <v>700</v>
      </c>
      <c r="N671">
        <v>50000</v>
      </c>
      <c r="O671" t="str">
        <f>_xlfn.XLOOKUP(olist_closed_deals_dataset[[#This Row],[mql_id]], leads!A:A, leads!D:D, "Unknow" )</f>
        <v>paid_search</v>
      </c>
      <c r="P671" t="str">
        <f>IF(olist_closed_deals_dataset[[#This Row],[declared_monthly_revenue]] &gt;= 10000, "High Values ", IF(olist_closed_deals_dataset[[#This Row],[declared_monthly_revenue]] &gt; 0, "Stander ", "No Revenue " ))</f>
        <v xml:space="preserve">High Values </v>
      </c>
    </row>
    <row r="672" spans="1:16" x14ac:dyDescent="0.2">
      <c r="A672" t="s">
        <v>1449</v>
      </c>
      <c r="B672" t="s">
        <v>1450</v>
      </c>
      <c r="C672" t="s">
        <v>65</v>
      </c>
      <c r="D672" t="s">
        <v>48</v>
      </c>
      <c r="E672" s="1">
        <v>43174.855486111112</v>
      </c>
      <c r="F672" t="s">
        <v>49</v>
      </c>
      <c r="G672" t="s">
        <v>57</v>
      </c>
      <c r="H672" t="s">
        <v>28</v>
      </c>
      <c r="I672" t="s">
        <v>1796</v>
      </c>
      <c r="J672" t="s">
        <v>1796</v>
      </c>
      <c r="K672" t="s">
        <v>1796</v>
      </c>
      <c r="L672" t="s">
        <v>21</v>
      </c>
      <c r="M672">
        <v>0</v>
      </c>
      <c r="N672">
        <v>0</v>
      </c>
      <c r="O672" t="str">
        <f>_xlfn.XLOOKUP(olist_closed_deals_dataset[[#This Row],[mql_id]], leads!A:A, leads!D:D, "Unknow" )</f>
        <v>paid_search</v>
      </c>
      <c r="P672" t="str">
        <f>IF(olist_closed_deals_dataset[[#This Row],[declared_monthly_revenue]] &gt;= 10000, "High Values ", IF(olist_closed_deals_dataset[[#This Row],[declared_monthly_revenue]] &gt; 0, "Stander ", "No Revenue " ))</f>
        <v xml:space="preserve">No Revenue </v>
      </c>
    </row>
    <row r="673" spans="1:16" x14ac:dyDescent="0.2">
      <c r="A673" t="s">
        <v>1451</v>
      </c>
      <c r="B673" t="s">
        <v>1452</v>
      </c>
      <c r="C673" t="s">
        <v>65</v>
      </c>
      <c r="D673" t="s">
        <v>102</v>
      </c>
      <c r="E673" s="1">
        <v>43185.711377314816</v>
      </c>
      <c r="F673" t="s">
        <v>138</v>
      </c>
      <c r="G673" t="s">
        <v>19</v>
      </c>
      <c r="H673" t="s">
        <v>20</v>
      </c>
      <c r="I673" t="s">
        <v>1796</v>
      </c>
      <c r="J673" t="s">
        <v>1796</v>
      </c>
      <c r="K673" t="s">
        <v>1796</v>
      </c>
      <c r="L673" t="s">
        <v>21</v>
      </c>
      <c r="M673">
        <v>0</v>
      </c>
      <c r="N673">
        <v>0</v>
      </c>
      <c r="O673" t="str">
        <f>_xlfn.XLOOKUP(olist_closed_deals_dataset[[#This Row],[mql_id]], leads!A:A, leads!D:D, "Unknow" )</f>
        <v>paid_search</v>
      </c>
      <c r="P673" t="str">
        <f>IF(olist_closed_deals_dataset[[#This Row],[declared_monthly_revenue]] &gt;= 10000, "High Values ", IF(olist_closed_deals_dataset[[#This Row],[declared_monthly_revenue]] &gt; 0, "Stander ", "No Revenue " ))</f>
        <v xml:space="preserve">No Revenue </v>
      </c>
    </row>
    <row r="674" spans="1:16" x14ac:dyDescent="0.2">
      <c r="A674" t="s">
        <v>1453</v>
      </c>
      <c r="B674" t="s">
        <v>1454</v>
      </c>
      <c r="C674" t="s">
        <v>37</v>
      </c>
      <c r="D674" t="s">
        <v>17</v>
      </c>
      <c r="E674" s="1">
        <v>43161.888055555559</v>
      </c>
      <c r="F674" t="s">
        <v>78</v>
      </c>
      <c r="G674" t="s">
        <v>19</v>
      </c>
      <c r="H674" t="s">
        <v>28</v>
      </c>
      <c r="I674" t="s">
        <v>1796</v>
      </c>
      <c r="J674" t="s">
        <v>1796</v>
      </c>
      <c r="K674" t="s">
        <v>1796</v>
      </c>
      <c r="L674" t="s">
        <v>21</v>
      </c>
      <c r="M674">
        <v>0</v>
      </c>
      <c r="N674">
        <v>0</v>
      </c>
      <c r="O674" t="str">
        <f>_xlfn.XLOOKUP(olist_closed_deals_dataset[[#This Row],[mql_id]], leads!A:A, leads!D:D, "Unknow" )</f>
        <v>organic_search</v>
      </c>
      <c r="P674" t="str">
        <f>IF(olist_closed_deals_dataset[[#This Row],[declared_monthly_revenue]] &gt;= 10000, "High Values ", IF(olist_closed_deals_dataset[[#This Row],[declared_monthly_revenue]] &gt; 0, "Stander ", "No Revenue " ))</f>
        <v xml:space="preserve">No Revenue </v>
      </c>
    </row>
    <row r="675" spans="1:16" x14ac:dyDescent="0.2">
      <c r="A675" t="s">
        <v>1455</v>
      </c>
      <c r="B675" t="s">
        <v>1456</v>
      </c>
      <c r="C675" t="s">
        <v>81</v>
      </c>
      <c r="D675" t="s">
        <v>48</v>
      </c>
      <c r="E675" s="1">
        <v>43119.812442129631</v>
      </c>
      <c r="F675" t="s">
        <v>186</v>
      </c>
      <c r="G675" t="s">
        <v>19</v>
      </c>
      <c r="H675" t="s">
        <v>1796</v>
      </c>
      <c r="I675" t="s">
        <v>1796</v>
      </c>
      <c r="J675" t="s">
        <v>1796</v>
      </c>
      <c r="K675" t="s">
        <v>1796</v>
      </c>
      <c r="L675" t="s">
        <v>21</v>
      </c>
      <c r="M675">
        <v>0</v>
      </c>
      <c r="N675">
        <v>0</v>
      </c>
      <c r="O675" t="str">
        <f>_xlfn.XLOOKUP(olist_closed_deals_dataset[[#This Row],[mql_id]], leads!A:A, leads!D:D, "Unknow" )</f>
        <v>organic_search</v>
      </c>
      <c r="P675" t="str">
        <f>IF(olist_closed_deals_dataset[[#This Row],[declared_monthly_revenue]] &gt;= 10000, "High Values ", IF(olist_closed_deals_dataset[[#This Row],[declared_monthly_revenue]] &gt; 0, "Stander ", "No Revenue " ))</f>
        <v xml:space="preserve">No Revenue </v>
      </c>
    </row>
    <row r="676" spans="1:16" x14ac:dyDescent="0.2">
      <c r="A676" t="s">
        <v>1457</v>
      </c>
      <c r="B676" t="s">
        <v>1458</v>
      </c>
      <c r="C676" t="s">
        <v>159</v>
      </c>
      <c r="D676" t="s">
        <v>74</v>
      </c>
      <c r="E676" s="1">
        <v>43399.713113425925</v>
      </c>
      <c r="F676" t="s">
        <v>138</v>
      </c>
      <c r="G676" t="s">
        <v>19</v>
      </c>
      <c r="H676" t="s">
        <v>28</v>
      </c>
      <c r="I676" t="s">
        <v>1796</v>
      </c>
      <c r="J676" t="s">
        <v>1796</v>
      </c>
      <c r="K676" t="s">
        <v>1796</v>
      </c>
      <c r="L676" t="s">
        <v>44</v>
      </c>
      <c r="M676">
        <v>100</v>
      </c>
      <c r="N676">
        <v>0</v>
      </c>
      <c r="O676" t="str">
        <f>_xlfn.XLOOKUP(olist_closed_deals_dataset[[#This Row],[mql_id]], leads!A:A, leads!D:D, "Unknow" )</f>
        <v>paid_search</v>
      </c>
      <c r="P676" t="str">
        <f>IF(olist_closed_deals_dataset[[#This Row],[declared_monthly_revenue]] &gt;= 10000, "High Values ", IF(olist_closed_deals_dataset[[#This Row],[declared_monthly_revenue]] &gt; 0, "Stander ", "No Revenue " ))</f>
        <v xml:space="preserve">No Revenue </v>
      </c>
    </row>
    <row r="677" spans="1:16" x14ac:dyDescent="0.2">
      <c r="A677" t="s">
        <v>1459</v>
      </c>
      <c r="B677" t="s">
        <v>1460</v>
      </c>
      <c r="C677" t="s">
        <v>47</v>
      </c>
      <c r="D677" t="s">
        <v>77</v>
      </c>
      <c r="E677" s="1">
        <v>43117.507870370369</v>
      </c>
      <c r="F677" t="s">
        <v>103</v>
      </c>
      <c r="G677" t="s">
        <v>27</v>
      </c>
      <c r="H677" t="s">
        <v>1796</v>
      </c>
      <c r="I677" t="s">
        <v>1796</v>
      </c>
      <c r="J677" t="s">
        <v>1796</v>
      </c>
      <c r="K677" t="s">
        <v>1796</v>
      </c>
      <c r="L677" t="s">
        <v>44</v>
      </c>
      <c r="M677">
        <v>0</v>
      </c>
      <c r="N677">
        <v>0</v>
      </c>
      <c r="O677" t="str">
        <f>_xlfn.XLOOKUP(olist_closed_deals_dataset[[#This Row],[mql_id]], leads!A:A, leads!D:D, "Unknow" )</f>
        <v>paid_search</v>
      </c>
      <c r="P677" t="str">
        <f>IF(olist_closed_deals_dataset[[#This Row],[declared_monthly_revenue]] &gt;= 10000, "High Values ", IF(olist_closed_deals_dataset[[#This Row],[declared_monthly_revenue]] &gt; 0, "Stander ", "No Revenue " ))</f>
        <v xml:space="preserve">No Revenue </v>
      </c>
    </row>
    <row r="678" spans="1:16" x14ac:dyDescent="0.2">
      <c r="A678" t="s">
        <v>1461</v>
      </c>
      <c r="B678" t="s">
        <v>1462</v>
      </c>
      <c r="C678" t="s">
        <v>60</v>
      </c>
      <c r="D678" t="s">
        <v>32</v>
      </c>
      <c r="E678" s="1">
        <v>43210.820891203701</v>
      </c>
      <c r="F678" t="s">
        <v>96</v>
      </c>
      <c r="G678" t="s">
        <v>19</v>
      </c>
      <c r="H678" t="s">
        <v>28</v>
      </c>
      <c r="I678" t="s">
        <v>1796</v>
      </c>
      <c r="J678" t="s">
        <v>1796</v>
      </c>
      <c r="K678" t="s">
        <v>1796</v>
      </c>
      <c r="L678" t="s">
        <v>21</v>
      </c>
      <c r="M678">
        <v>0</v>
      </c>
      <c r="N678">
        <v>0</v>
      </c>
      <c r="O678" t="str">
        <f>_xlfn.XLOOKUP(olist_closed_deals_dataset[[#This Row],[mql_id]], leads!A:A, leads!D:D, "Unknow" )</f>
        <v>paid_search</v>
      </c>
      <c r="P678" t="str">
        <f>IF(olist_closed_deals_dataset[[#This Row],[declared_monthly_revenue]] &gt;= 10000, "High Values ", IF(olist_closed_deals_dataset[[#This Row],[declared_monthly_revenue]] &gt; 0, "Stander ", "No Revenue " ))</f>
        <v xml:space="preserve">No Revenue </v>
      </c>
    </row>
    <row r="679" spans="1:16" x14ac:dyDescent="0.2">
      <c r="A679" t="s">
        <v>1463</v>
      </c>
      <c r="B679" t="s">
        <v>1464</v>
      </c>
      <c r="C679" t="s">
        <v>127</v>
      </c>
      <c r="D679" t="s">
        <v>32</v>
      </c>
      <c r="E679" s="1">
        <v>43220.891446759262</v>
      </c>
      <c r="F679" t="s">
        <v>138</v>
      </c>
      <c r="G679" t="s">
        <v>19</v>
      </c>
      <c r="H679" t="s">
        <v>28</v>
      </c>
      <c r="I679" t="s">
        <v>1796</v>
      </c>
      <c r="J679" t="s">
        <v>1796</v>
      </c>
      <c r="K679" t="s">
        <v>1796</v>
      </c>
      <c r="L679" t="s">
        <v>21</v>
      </c>
      <c r="M679">
        <v>0</v>
      </c>
      <c r="N679">
        <v>0</v>
      </c>
      <c r="O679" t="str">
        <f>_xlfn.XLOOKUP(olist_closed_deals_dataset[[#This Row],[mql_id]], leads!A:A, leads!D:D, "Unknow" )</f>
        <v>social</v>
      </c>
      <c r="P679" t="str">
        <f>IF(olist_closed_deals_dataset[[#This Row],[declared_monthly_revenue]] &gt;= 10000, "High Values ", IF(olist_closed_deals_dataset[[#This Row],[declared_monthly_revenue]] &gt; 0, "Stander ", "No Revenue " ))</f>
        <v xml:space="preserve">No Revenue </v>
      </c>
    </row>
    <row r="680" spans="1:16" x14ac:dyDescent="0.2">
      <c r="A680" t="s">
        <v>1465</v>
      </c>
      <c r="B680" t="s">
        <v>1466</v>
      </c>
      <c r="C680" t="s">
        <v>56</v>
      </c>
      <c r="D680" t="s">
        <v>81</v>
      </c>
      <c r="E680" s="1">
        <v>43229.553611111114</v>
      </c>
      <c r="F680" t="s">
        <v>49</v>
      </c>
      <c r="G680" t="s">
        <v>57</v>
      </c>
      <c r="H680" t="s">
        <v>28</v>
      </c>
      <c r="I680" t="s">
        <v>1796</v>
      </c>
      <c r="J680" t="s">
        <v>1796</v>
      </c>
      <c r="K680" t="s">
        <v>1796</v>
      </c>
      <c r="L680" t="s">
        <v>21</v>
      </c>
      <c r="M680">
        <v>0</v>
      </c>
      <c r="N680">
        <v>0</v>
      </c>
      <c r="O680" t="str">
        <f>_xlfn.XLOOKUP(olist_closed_deals_dataset[[#This Row],[mql_id]], leads!A:A, leads!D:D, "Unknow" )</f>
        <v>unknown</v>
      </c>
      <c r="P680" t="str">
        <f>IF(olist_closed_deals_dataset[[#This Row],[declared_monthly_revenue]] &gt;= 10000, "High Values ", IF(olist_closed_deals_dataset[[#This Row],[declared_monthly_revenue]] &gt; 0, "Stander ", "No Revenue " ))</f>
        <v xml:space="preserve">No Revenue </v>
      </c>
    </row>
    <row r="681" spans="1:16" x14ac:dyDescent="0.2">
      <c r="A681" t="s">
        <v>1467</v>
      </c>
      <c r="B681" t="s">
        <v>1468</v>
      </c>
      <c r="C681" t="s">
        <v>47</v>
      </c>
      <c r="D681" t="s">
        <v>74</v>
      </c>
      <c r="E681" s="1">
        <v>43165.759814814817</v>
      </c>
      <c r="F681" t="s">
        <v>49</v>
      </c>
      <c r="G681" t="s">
        <v>34</v>
      </c>
      <c r="H681" t="s">
        <v>20</v>
      </c>
      <c r="I681" t="s">
        <v>1796</v>
      </c>
      <c r="J681" t="s">
        <v>1796</v>
      </c>
      <c r="K681" t="s">
        <v>1796</v>
      </c>
      <c r="L681" t="s">
        <v>21</v>
      </c>
      <c r="M681">
        <v>0</v>
      </c>
      <c r="N681">
        <v>0</v>
      </c>
      <c r="O681" t="str">
        <f>_xlfn.XLOOKUP(olist_closed_deals_dataset[[#This Row],[mql_id]], leads!A:A, leads!D:D, "Unknow" )</f>
        <v>other_publicities</v>
      </c>
      <c r="P681" t="str">
        <f>IF(olist_closed_deals_dataset[[#This Row],[declared_monthly_revenue]] &gt;= 10000, "High Values ", IF(olist_closed_deals_dataset[[#This Row],[declared_monthly_revenue]] &gt; 0, "Stander ", "No Revenue " ))</f>
        <v xml:space="preserve">No Revenue </v>
      </c>
    </row>
    <row r="682" spans="1:16" x14ac:dyDescent="0.2">
      <c r="A682" t="s">
        <v>1469</v>
      </c>
      <c r="B682" t="s">
        <v>1470</v>
      </c>
      <c r="C682" t="s">
        <v>42</v>
      </c>
      <c r="D682" t="s">
        <v>65</v>
      </c>
      <c r="E682" s="1">
        <v>43208.531261574077</v>
      </c>
      <c r="F682" t="s">
        <v>49</v>
      </c>
      <c r="G682" t="s">
        <v>19</v>
      </c>
      <c r="H682" t="s">
        <v>28</v>
      </c>
      <c r="I682" t="s">
        <v>1796</v>
      </c>
      <c r="J682" t="s">
        <v>1796</v>
      </c>
      <c r="K682" t="s">
        <v>1796</v>
      </c>
      <c r="L682" t="s">
        <v>21</v>
      </c>
      <c r="M682">
        <v>0</v>
      </c>
      <c r="N682">
        <v>0</v>
      </c>
      <c r="O682" t="str">
        <f>_xlfn.XLOOKUP(olist_closed_deals_dataset[[#This Row],[mql_id]], leads!A:A, leads!D:D, "Unknow" )</f>
        <v>organic_search</v>
      </c>
      <c r="P682" t="str">
        <f>IF(olist_closed_deals_dataset[[#This Row],[declared_monthly_revenue]] &gt;= 10000, "High Values ", IF(olist_closed_deals_dataset[[#This Row],[declared_monthly_revenue]] &gt; 0, "Stander ", "No Revenue " ))</f>
        <v xml:space="preserve">No Revenue </v>
      </c>
    </row>
    <row r="683" spans="1:16" x14ac:dyDescent="0.2">
      <c r="A683" t="s">
        <v>1471</v>
      </c>
      <c r="B683" t="s">
        <v>1472</v>
      </c>
      <c r="C683" t="s">
        <v>1473</v>
      </c>
      <c r="D683" t="s">
        <v>16</v>
      </c>
      <c r="E683" s="1">
        <v>43413.837939814817</v>
      </c>
      <c r="F683" t="s">
        <v>160</v>
      </c>
      <c r="G683" t="s">
        <v>160</v>
      </c>
      <c r="H683" t="s">
        <v>20</v>
      </c>
      <c r="I683" t="s">
        <v>1796</v>
      </c>
      <c r="J683" t="s">
        <v>1796</v>
      </c>
      <c r="K683" t="s">
        <v>1796</v>
      </c>
      <c r="L683" t="s">
        <v>160</v>
      </c>
      <c r="M683">
        <v>100</v>
      </c>
      <c r="N683">
        <v>500000</v>
      </c>
      <c r="O683" t="str">
        <f>_xlfn.XLOOKUP(olist_closed_deals_dataset[[#This Row],[mql_id]], leads!A:A, leads!D:D, "Unknow" )</f>
        <v>organic_search</v>
      </c>
      <c r="P683" t="str">
        <f>IF(olist_closed_deals_dataset[[#This Row],[declared_monthly_revenue]] &gt;= 10000, "High Values ", IF(olist_closed_deals_dataset[[#This Row],[declared_monthly_revenue]] &gt; 0, "Stander ", "No Revenue " ))</f>
        <v xml:space="preserve">High Values </v>
      </c>
    </row>
    <row r="684" spans="1:16" x14ac:dyDescent="0.2">
      <c r="A684" t="s">
        <v>1474</v>
      </c>
      <c r="B684" t="s">
        <v>1475</v>
      </c>
      <c r="C684" t="s">
        <v>71</v>
      </c>
      <c r="D684" t="s">
        <v>25</v>
      </c>
      <c r="E684" s="1">
        <v>43196.509120370371</v>
      </c>
      <c r="F684" t="s">
        <v>26</v>
      </c>
      <c r="G684" t="s">
        <v>57</v>
      </c>
      <c r="H684" t="s">
        <v>20</v>
      </c>
      <c r="I684" t="s">
        <v>1796</v>
      </c>
      <c r="J684" t="s">
        <v>1796</v>
      </c>
      <c r="K684" t="s">
        <v>1796</v>
      </c>
      <c r="L684" t="s">
        <v>21</v>
      </c>
      <c r="M684">
        <v>0</v>
      </c>
      <c r="N684">
        <v>0</v>
      </c>
      <c r="O684" t="str">
        <f>_xlfn.XLOOKUP(olist_closed_deals_dataset[[#This Row],[mql_id]], leads!A:A, leads!D:D, "Unknow" )</f>
        <v>unknown</v>
      </c>
      <c r="P684" t="str">
        <f>IF(olist_closed_deals_dataset[[#This Row],[declared_monthly_revenue]] &gt;= 10000, "High Values ", IF(olist_closed_deals_dataset[[#This Row],[declared_monthly_revenue]] &gt; 0, "Stander ", "No Revenue " ))</f>
        <v xml:space="preserve">No Revenue </v>
      </c>
    </row>
    <row r="685" spans="1:16" x14ac:dyDescent="0.2">
      <c r="A685" t="s">
        <v>1476</v>
      </c>
      <c r="B685" t="s">
        <v>1477</v>
      </c>
      <c r="C685" t="s">
        <v>42</v>
      </c>
      <c r="D685" t="s">
        <v>17</v>
      </c>
      <c r="E685" s="1">
        <v>43153.892453703702</v>
      </c>
      <c r="F685" t="s">
        <v>61</v>
      </c>
      <c r="G685" t="s">
        <v>19</v>
      </c>
      <c r="H685" t="s">
        <v>1796</v>
      </c>
      <c r="I685" t="s">
        <v>1796</v>
      </c>
      <c r="J685" t="s">
        <v>1796</v>
      </c>
      <c r="K685" t="s">
        <v>1796</v>
      </c>
      <c r="L685" t="s">
        <v>21</v>
      </c>
      <c r="M685">
        <v>0</v>
      </c>
      <c r="N685">
        <v>0</v>
      </c>
      <c r="O685" t="str">
        <f>_xlfn.XLOOKUP(olist_closed_deals_dataset[[#This Row],[mql_id]], leads!A:A, leads!D:D, "Unknow" )</f>
        <v>referral</v>
      </c>
      <c r="P685" t="str">
        <f>IF(olist_closed_deals_dataset[[#This Row],[declared_monthly_revenue]] &gt;= 10000, "High Values ", IF(olist_closed_deals_dataset[[#This Row],[declared_monthly_revenue]] &gt; 0, "Stander ", "No Revenue " ))</f>
        <v xml:space="preserve">No Revenue </v>
      </c>
    </row>
    <row r="686" spans="1:16" x14ac:dyDescent="0.2">
      <c r="A686" t="s">
        <v>1478</v>
      </c>
      <c r="B686" t="s">
        <v>1479</v>
      </c>
      <c r="C686" t="s">
        <v>42</v>
      </c>
      <c r="D686" t="s">
        <v>17</v>
      </c>
      <c r="E686" s="1">
        <v>43200.797627314816</v>
      </c>
      <c r="F686" t="s">
        <v>108</v>
      </c>
      <c r="G686" t="s">
        <v>57</v>
      </c>
      <c r="H686" t="s">
        <v>43</v>
      </c>
      <c r="I686" t="s">
        <v>1796</v>
      </c>
      <c r="J686" t="s">
        <v>1796</v>
      </c>
      <c r="K686" t="s">
        <v>1796</v>
      </c>
      <c r="L686" t="s">
        <v>21</v>
      </c>
      <c r="M686">
        <v>0</v>
      </c>
      <c r="N686">
        <v>0</v>
      </c>
      <c r="O686" t="str">
        <f>_xlfn.XLOOKUP(olist_closed_deals_dataset[[#This Row],[mql_id]], leads!A:A, leads!D:D, "Unknow" )</f>
        <v>organic_search</v>
      </c>
      <c r="P686" t="str">
        <f>IF(olist_closed_deals_dataset[[#This Row],[declared_monthly_revenue]] &gt;= 10000, "High Values ", IF(olist_closed_deals_dataset[[#This Row],[declared_monthly_revenue]] &gt; 0, "Stander ", "No Revenue " ))</f>
        <v xml:space="preserve">No Revenue </v>
      </c>
    </row>
    <row r="687" spans="1:16" x14ac:dyDescent="0.2">
      <c r="A687" t="s">
        <v>1480</v>
      </c>
      <c r="B687" t="s">
        <v>1481</v>
      </c>
      <c r="C687" t="s">
        <v>81</v>
      </c>
      <c r="D687" t="s">
        <v>32</v>
      </c>
      <c r="E687" s="1">
        <v>43129.631284722222</v>
      </c>
      <c r="F687" t="s">
        <v>49</v>
      </c>
      <c r="G687" t="s">
        <v>19</v>
      </c>
      <c r="H687" t="s">
        <v>1796</v>
      </c>
      <c r="I687" t="s">
        <v>1796</v>
      </c>
      <c r="J687" t="s">
        <v>1796</v>
      </c>
      <c r="K687" t="s">
        <v>1796</v>
      </c>
      <c r="L687" t="s">
        <v>21</v>
      </c>
      <c r="M687">
        <v>0</v>
      </c>
      <c r="N687">
        <v>0</v>
      </c>
      <c r="O687" t="str">
        <f>_xlfn.XLOOKUP(olist_closed_deals_dataset[[#This Row],[mql_id]], leads!A:A, leads!D:D, "Unknow" )</f>
        <v>Unknow</v>
      </c>
      <c r="P687" t="str">
        <f>IF(olist_closed_deals_dataset[[#This Row],[declared_monthly_revenue]] &gt;= 10000, "High Values ", IF(olist_closed_deals_dataset[[#This Row],[declared_monthly_revenue]] &gt; 0, "Stander ", "No Revenue " ))</f>
        <v xml:space="preserve">No Revenue </v>
      </c>
    </row>
    <row r="688" spans="1:16" x14ac:dyDescent="0.2">
      <c r="A688" t="s">
        <v>1482</v>
      </c>
      <c r="B688" t="s">
        <v>1483</v>
      </c>
      <c r="C688" t="s">
        <v>60</v>
      </c>
      <c r="D688" t="s">
        <v>52</v>
      </c>
      <c r="E688" s="1">
        <v>43236.62877314815</v>
      </c>
      <c r="F688" t="s">
        <v>85</v>
      </c>
      <c r="G688" t="s">
        <v>19</v>
      </c>
      <c r="H688" t="s">
        <v>43</v>
      </c>
      <c r="I688" t="s">
        <v>1796</v>
      </c>
      <c r="J688" t="s">
        <v>1796</v>
      </c>
      <c r="K688" t="s">
        <v>1796</v>
      </c>
      <c r="L688" t="s">
        <v>21</v>
      </c>
      <c r="M688">
        <v>0</v>
      </c>
      <c r="N688">
        <v>0</v>
      </c>
      <c r="O688" t="str">
        <f>_xlfn.XLOOKUP(olist_closed_deals_dataset[[#This Row],[mql_id]], leads!A:A, leads!D:D, "Unknow" )</f>
        <v>organic_search</v>
      </c>
      <c r="P688" t="str">
        <f>IF(olist_closed_deals_dataset[[#This Row],[declared_monthly_revenue]] &gt;= 10000, "High Values ", IF(olist_closed_deals_dataset[[#This Row],[declared_monthly_revenue]] &gt; 0, "Stander ", "No Revenue " ))</f>
        <v xml:space="preserve">No Revenue </v>
      </c>
    </row>
    <row r="689" spans="1:16" x14ac:dyDescent="0.2">
      <c r="A689" t="s">
        <v>1484</v>
      </c>
      <c r="B689" t="s">
        <v>1485</v>
      </c>
      <c r="C689" t="s">
        <v>127</v>
      </c>
      <c r="D689" t="s">
        <v>74</v>
      </c>
      <c r="E689" s="1">
        <v>43210.850254629629</v>
      </c>
      <c r="F689" t="s">
        <v>92</v>
      </c>
      <c r="G689" t="s">
        <v>27</v>
      </c>
      <c r="H689" t="s">
        <v>20</v>
      </c>
      <c r="I689" t="s">
        <v>1796</v>
      </c>
      <c r="J689" t="s">
        <v>1796</v>
      </c>
      <c r="K689" t="s">
        <v>1796</v>
      </c>
      <c r="L689" t="s">
        <v>44</v>
      </c>
      <c r="M689">
        <v>0</v>
      </c>
      <c r="N689">
        <v>0</v>
      </c>
      <c r="O689" t="str">
        <f>_xlfn.XLOOKUP(olist_closed_deals_dataset[[#This Row],[mql_id]], leads!A:A, leads!D:D, "Unknow" )</f>
        <v>unknown</v>
      </c>
      <c r="P689" t="str">
        <f>IF(olist_closed_deals_dataset[[#This Row],[declared_monthly_revenue]] &gt;= 10000, "High Values ", IF(olist_closed_deals_dataset[[#This Row],[declared_monthly_revenue]] &gt; 0, "Stander ", "No Revenue " ))</f>
        <v xml:space="preserve">No Revenue </v>
      </c>
    </row>
    <row r="690" spans="1:16" x14ac:dyDescent="0.2">
      <c r="A690" t="s">
        <v>1486</v>
      </c>
      <c r="B690" t="s">
        <v>1487</v>
      </c>
      <c r="C690" t="s">
        <v>127</v>
      </c>
      <c r="D690" t="s">
        <v>17</v>
      </c>
      <c r="E690" s="1">
        <v>43200.776041666664</v>
      </c>
      <c r="F690" t="s">
        <v>297</v>
      </c>
      <c r="G690" t="s">
        <v>34</v>
      </c>
      <c r="H690" t="s">
        <v>28</v>
      </c>
      <c r="I690" t="s">
        <v>1796</v>
      </c>
      <c r="J690" t="s">
        <v>1796</v>
      </c>
      <c r="K690" t="s">
        <v>1796</v>
      </c>
      <c r="L690" t="s">
        <v>21</v>
      </c>
      <c r="M690">
        <v>0</v>
      </c>
      <c r="N690">
        <v>0</v>
      </c>
      <c r="O690" t="str">
        <f>_xlfn.XLOOKUP(olist_closed_deals_dataset[[#This Row],[mql_id]], leads!A:A, leads!D:D, "Unknow" )</f>
        <v>unknown</v>
      </c>
      <c r="P690" t="str">
        <f>IF(olist_closed_deals_dataset[[#This Row],[declared_monthly_revenue]] &gt;= 10000, "High Values ", IF(olist_closed_deals_dataset[[#This Row],[declared_monthly_revenue]] &gt; 0, "Stander ", "No Revenue " ))</f>
        <v xml:space="preserve">No Revenue </v>
      </c>
    </row>
    <row r="691" spans="1:16" x14ac:dyDescent="0.2">
      <c r="A691" t="s">
        <v>1488</v>
      </c>
      <c r="B691" t="s">
        <v>1489</v>
      </c>
      <c r="C691" t="s">
        <v>81</v>
      </c>
      <c r="D691" t="s">
        <v>37</v>
      </c>
      <c r="E691" s="1">
        <v>43203.710752314815</v>
      </c>
      <c r="F691" t="s">
        <v>96</v>
      </c>
      <c r="G691" t="s">
        <v>19</v>
      </c>
      <c r="H691" t="s">
        <v>20</v>
      </c>
      <c r="I691" t="s">
        <v>1796</v>
      </c>
      <c r="J691" t="s">
        <v>1796</v>
      </c>
      <c r="K691" t="s">
        <v>1796</v>
      </c>
      <c r="L691" t="s">
        <v>44</v>
      </c>
      <c r="M691">
        <v>0</v>
      </c>
      <c r="N691">
        <v>0</v>
      </c>
      <c r="O691" t="str">
        <f>_xlfn.XLOOKUP(olist_closed_deals_dataset[[#This Row],[mql_id]], leads!A:A, leads!D:D, "Unknow" )</f>
        <v>direct_traffic</v>
      </c>
      <c r="P691" t="str">
        <f>IF(olist_closed_deals_dataset[[#This Row],[declared_monthly_revenue]] &gt;= 10000, "High Values ", IF(olist_closed_deals_dataset[[#This Row],[declared_monthly_revenue]] &gt; 0, "Stander ", "No Revenue " ))</f>
        <v xml:space="preserve">No Revenue </v>
      </c>
    </row>
    <row r="692" spans="1:16" x14ac:dyDescent="0.2">
      <c r="A692" t="s">
        <v>1490</v>
      </c>
      <c r="B692" t="s">
        <v>1491</v>
      </c>
      <c r="C692" t="s">
        <v>65</v>
      </c>
      <c r="D692" t="s">
        <v>17</v>
      </c>
      <c r="E692" s="1">
        <v>43167.790231481478</v>
      </c>
      <c r="F692" t="s">
        <v>85</v>
      </c>
      <c r="G692" t="s">
        <v>19</v>
      </c>
      <c r="H692" t="s">
        <v>20</v>
      </c>
      <c r="I692" t="s">
        <v>1796</v>
      </c>
      <c r="J692" t="s">
        <v>1796</v>
      </c>
      <c r="K692" t="s">
        <v>1796</v>
      </c>
      <c r="L692" t="s">
        <v>21</v>
      </c>
      <c r="M692">
        <v>0</v>
      </c>
      <c r="N692">
        <v>0</v>
      </c>
      <c r="O692" t="str">
        <f>_xlfn.XLOOKUP(olist_closed_deals_dataset[[#This Row],[mql_id]], leads!A:A, leads!D:D, "Unknow" )</f>
        <v>social</v>
      </c>
      <c r="P692" t="str">
        <f>IF(olist_closed_deals_dataset[[#This Row],[declared_monthly_revenue]] &gt;= 10000, "High Values ", IF(olist_closed_deals_dataset[[#This Row],[declared_monthly_revenue]] &gt; 0, "Stander ", "No Revenue " ))</f>
        <v xml:space="preserve">No Revenue </v>
      </c>
    </row>
    <row r="693" spans="1:16" x14ac:dyDescent="0.2">
      <c r="A693" t="s">
        <v>1492</v>
      </c>
      <c r="B693" t="s">
        <v>1493</v>
      </c>
      <c r="C693" t="s">
        <v>60</v>
      </c>
      <c r="D693" t="s">
        <v>89</v>
      </c>
      <c r="E693" s="1">
        <v>43220.766817129632</v>
      </c>
      <c r="F693" t="s">
        <v>49</v>
      </c>
      <c r="G693" t="s">
        <v>19</v>
      </c>
      <c r="H693" t="s">
        <v>20</v>
      </c>
      <c r="I693" t="s">
        <v>1796</v>
      </c>
      <c r="J693" t="s">
        <v>1796</v>
      </c>
      <c r="K693" t="s">
        <v>1796</v>
      </c>
      <c r="L693" t="s">
        <v>21</v>
      </c>
      <c r="M693">
        <v>0</v>
      </c>
      <c r="N693">
        <v>0</v>
      </c>
      <c r="O693" t="str">
        <f>_xlfn.XLOOKUP(olist_closed_deals_dataset[[#This Row],[mql_id]], leads!A:A, leads!D:D, "Unknow" )</f>
        <v>organic_search</v>
      </c>
      <c r="P693" t="str">
        <f>IF(olist_closed_deals_dataset[[#This Row],[declared_monthly_revenue]] &gt;= 10000, "High Values ", IF(olist_closed_deals_dataset[[#This Row],[declared_monthly_revenue]] &gt; 0, "Stander ", "No Revenue " ))</f>
        <v xml:space="preserve">No Revenue </v>
      </c>
    </row>
    <row r="694" spans="1:16" x14ac:dyDescent="0.2">
      <c r="A694" t="s">
        <v>1494</v>
      </c>
      <c r="B694" t="s">
        <v>1495</v>
      </c>
      <c r="C694" t="s">
        <v>47</v>
      </c>
      <c r="D694" t="s">
        <v>77</v>
      </c>
      <c r="E694" s="1">
        <v>43122.801678240743</v>
      </c>
      <c r="F694" t="s">
        <v>85</v>
      </c>
      <c r="G694" t="s">
        <v>34</v>
      </c>
      <c r="H694" t="s">
        <v>1796</v>
      </c>
      <c r="I694" t="s">
        <v>1796</v>
      </c>
      <c r="J694" t="s">
        <v>1796</v>
      </c>
      <c r="K694" t="s">
        <v>1796</v>
      </c>
      <c r="L694" t="s">
        <v>21</v>
      </c>
      <c r="M694">
        <v>0</v>
      </c>
      <c r="N694">
        <v>0</v>
      </c>
      <c r="O694" t="str">
        <f>_xlfn.XLOOKUP(olist_closed_deals_dataset[[#This Row],[mql_id]], leads!A:A, leads!D:D, "Unknow" )</f>
        <v>referral</v>
      </c>
      <c r="P694" t="str">
        <f>IF(olist_closed_deals_dataset[[#This Row],[declared_monthly_revenue]] &gt;= 10000, "High Values ", IF(olist_closed_deals_dataset[[#This Row],[declared_monthly_revenue]] &gt; 0, "Stander ", "No Revenue " ))</f>
        <v xml:space="preserve">No Revenue </v>
      </c>
    </row>
    <row r="695" spans="1:16" x14ac:dyDescent="0.2">
      <c r="A695" t="s">
        <v>1496</v>
      </c>
      <c r="B695" t="s">
        <v>1497</v>
      </c>
      <c r="C695" t="s">
        <v>42</v>
      </c>
      <c r="D695" t="s">
        <v>65</v>
      </c>
      <c r="E695" s="1">
        <v>43200.613263888888</v>
      </c>
      <c r="F695" t="s">
        <v>49</v>
      </c>
      <c r="G695" t="s">
        <v>19</v>
      </c>
      <c r="H695" t="s">
        <v>20</v>
      </c>
      <c r="I695" t="s">
        <v>1796</v>
      </c>
      <c r="J695" t="s">
        <v>1796</v>
      </c>
      <c r="K695" t="s">
        <v>1796</v>
      </c>
      <c r="L695" t="s">
        <v>21</v>
      </c>
      <c r="M695">
        <v>0</v>
      </c>
      <c r="N695">
        <v>0</v>
      </c>
      <c r="O695" t="str">
        <f>_xlfn.XLOOKUP(olist_closed_deals_dataset[[#This Row],[mql_id]], leads!A:A, leads!D:D, "Unknow" )</f>
        <v>paid_search</v>
      </c>
      <c r="P695" t="str">
        <f>IF(olist_closed_deals_dataset[[#This Row],[declared_monthly_revenue]] &gt;= 10000, "High Values ", IF(olist_closed_deals_dataset[[#This Row],[declared_monthly_revenue]] &gt; 0, "Stander ", "No Revenue " ))</f>
        <v xml:space="preserve">No Revenue </v>
      </c>
    </row>
    <row r="696" spans="1:16" x14ac:dyDescent="0.2">
      <c r="A696" t="s">
        <v>1498</v>
      </c>
      <c r="B696" t="s">
        <v>1499</v>
      </c>
      <c r="C696" t="s">
        <v>24</v>
      </c>
      <c r="D696" t="s">
        <v>95</v>
      </c>
      <c r="E696" s="1">
        <v>43207.551979166667</v>
      </c>
      <c r="F696" t="s">
        <v>49</v>
      </c>
      <c r="G696" t="s">
        <v>19</v>
      </c>
      <c r="H696" t="s">
        <v>20</v>
      </c>
      <c r="I696" t="s">
        <v>1796</v>
      </c>
      <c r="J696" t="s">
        <v>1796</v>
      </c>
      <c r="K696" t="s">
        <v>1796</v>
      </c>
      <c r="L696" t="s">
        <v>21</v>
      </c>
      <c r="M696">
        <v>0</v>
      </c>
      <c r="N696">
        <v>0</v>
      </c>
      <c r="O696" t="str">
        <f>_xlfn.XLOOKUP(olist_closed_deals_dataset[[#This Row],[mql_id]], leads!A:A, leads!D:D, "Unknow" )</f>
        <v>paid_search</v>
      </c>
      <c r="P696" t="str">
        <f>IF(olist_closed_deals_dataset[[#This Row],[declared_monthly_revenue]] &gt;= 10000, "High Values ", IF(olist_closed_deals_dataset[[#This Row],[declared_monthly_revenue]] &gt; 0, "Stander ", "No Revenue " ))</f>
        <v xml:space="preserve">No Revenue </v>
      </c>
    </row>
    <row r="697" spans="1:16" x14ac:dyDescent="0.2">
      <c r="A697" t="s">
        <v>1500</v>
      </c>
      <c r="B697" t="s">
        <v>1501</v>
      </c>
      <c r="C697" t="s">
        <v>31</v>
      </c>
      <c r="D697" t="s">
        <v>32</v>
      </c>
      <c r="E697" s="1">
        <v>43236.850914351853</v>
      </c>
      <c r="F697" t="s">
        <v>49</v>
      </c>
      <c r="G697" t="s">
        <v>112</v>
      </c>
      <c r="H697" t="s">
        <v>28</v>
      </c>
      <c r="I697" t="s">
        <v>1796</v>
      </c>
      <c r="J697" t="s">
        <v>1796</v>
      </c>
      <c r="K697" t="s">
        <v>1796</v>
      </c>
      <c r="L697" t="s">
        <v>44</v>
      </c>
      <c r="M697">
        <v>0</v>
      </c>
      <c r="N697">
        <v>0</v>
      </c>
      <c r="O697" t="str">
        <f>_xlfn.XLOOKUP(olist_closed_deals_dataset[[#This Row],[mql_id]], leads!A:A, leads!D:D, "Unknow" )</f>
        <v>organic_search</v>
      </c>
      <c r="P697" t="str">
        <f>IF(olist_closed_deals_dataset[[#This Row],[declared_monthly_revenue]] &gt;= 10000, "High Values ", IF(olist_closed_deals_dataset[[#This Row],[declared_monthly_revenue]] &gt; 0, "Stander ", "No Revenue " ))</f>
        <v xml:space="preserve">No Revenue </v>
      </c>
    </row>
    <row r="698" spans="1:16" x14ac:dyDescent="0.2">
      <c r="A698" t="s">
        <v>1502</v>
      </c>
      <c r="B698" t="s">
        <v>1503</v>
      </c>
      <c r="C698" t="s">
        <v>71</v>
      </c>
      <c r="D698" t="s">
        <v>25</v>
      </c>
      <c r="E698" s="1">
        <v>43136.628252314818</v>
      </c>
      <c r="F698" t="s">
        <v>53</v>
      </c>
      <c r="G698" t="s">
        <v>112</v>
      </c>
      <c r="H698" t="s">
        <v>1796</v>
      </c>
      <c r="I698" t="s">
        <v>1796</v>
      </c>
      <c r="J698" t="s">
        <v>1796</v>
      </c>
      <c r="K698" t="s">
        <v>1796</v>
      </c>
      <c r="L698" t="s">
        <v>21</v>
      </c>
      <c r="M698">
        <v>0</v>
      </c>
      <c r="N698">
        <v>0</v>
      </c>
      <c r="O698" t="str">
        <f>_xlfn.XLOOKUP(olist_closed_deals_dataset[[#This Row],[mql_id]], leads!A:A, leads!D:D, "Unknow" )</f>
        <v>organic_search</v>
      </c>
      <c r="P698" t="str">
        <f>IF(olist_closed_deals_dataset[[#This Row],[declared_monthly_revenue]] &gt;= 10000, "High Values ", IF(olist_closed_deals_dataset[[#This Row],[declared_monthly_revenue]] &gt; 0, "Stander ", "No Revenue " ))</f>
        <v xml:space="preserve">No Revenue </v>
      </c>
    </row>
    <row r="699" spans="1:16" x14ac:dyDescent="0.2">
      <c r="A699" t="s">
        <v>1504</v>
      </c>
      <c r="B699" t="s">
        <v>1505</v>
      </c>
      <c r="C699" t="s">
        <v>42</v>
      </c>
      <c r="D699" t="s">
        <v>95</v>
      </c>
      <c r="E699" s="1">
        <v>43115.547349537039</v>
      </c>
      <c r="F699" t="s">
        <v>96</v>
      </c>
      <c r="G699" t="s">
        <v>112</v>
      </c>
      <c r="H699" t="s">
        <v>1796</v>
      </c>
      <c r="I699" t="s">
        <v>1796</v>
      </c>
      <c r="J699" t="s">
        <v>1796</v>
      </c>
      <c r="K699" t="s">
        <v>1796</v>
      </c>
      <c r="L699" t="s">
        <v>44</v>
      </c>
      <c r="M699">
        <v>0</v>
      </c>
      <c r="N699">
        <v>0</v>
      </c>
      <c r="O699" t="str">
        <f>_xlfn.XLOOKUP(olist_closed_deals_dataset[[#This Row],[mql_id]], leads!A:A, leads!D:D, "Unknow" )</f>
        <v>organic_search</v>
      </c>
      <c r="P699" t="str">
        <f>IF(olist_closed_deals_dataset[[#This Row],[declared_monthly_revenue]] &gt;= 10000, "High Values ", IF(olist_closed_deals_dataset[[#This Row],[declared_monthly_revenue]] &gt; 0, "Stander ", "No Revenue " ))</f>
        <v xml:space="preserve">No Revenue </v>
      </c>
    </row>
    <row r="700" spans="1:16" x14ac:dyDescent="0.2">
      <c r="A700" t="s">
        <v>1506</v>
      </c>
      <c r="B700" t="s">
        <v>1507</v>
      </c>
      <c r="C700" t="s">
        <v>71</v>
      </c>
      <c r="D700" t="s">
        <v>25</v>
      </c>
      <c r="E700" s="1">
        <v>43263.791273148148</v>
      </c>
      <c r="F700" t="s">
        <v>49</v>
      </c>
      <c r="G700" t="s">
        <v>34</v>
      </c>
      <c r="H700" t="s">
        <v>1796</v>
      </c>
      <c r="I700" t="s">
        <v>1796</v>
      </c>
      <c r="J700" t="s">
        <v>1796</v>
      </c>
      <c r="K700" t="s">
        <v>1796</v>
      </c>
      <c r="L700" t="s">
        <v>21</v>
      </c>
      <c r="M700">
        <v>0</v>
      </c>
      <c r="N700">
        <v>0</v>
      </c>
      <c r="O700" t="str">
        <f>_xlfn.XLOOKUP(olist_closed_deals_dataset[[#This Row],[mql_id]], leads!A:A, leads!D:D, "Unknow" )</f>
        <v>organic_search</v>
      </c>
      <c r="P700" t="str">
        <f>IF(olist_closed_deals_dataset[[#This Row],[declared_monthly_revenue]] &gt;= 10000, "High Values ", IF(olist_closed_deals_dataset[[#This Row],[declared_monthly_revenue]] &gt; 0, "Stander ", "No Revenue " ))</f>
        <v xml:space="preserve">No Revenue </v>
      </c>
    </row>
    <row r="701" spans="1:16" x14ac:dyDescent="0.2">
      <c r="A701" t="s">
        <v>1508</v>
      </c>
      <c r="B701" t="s">
        <v>1509</v>
      </c>
      <c r="C701" t="s">
        <v>471</v>
      </c>
      <c r="D701" t="s">
        <v>25</v>
      </c>
      <c r="E701" s="1">
        <v>43354.551817129628</v>
      </c>
      <c r="F701" t="s">
        <v>68</v>
      </c>
      <c r="G701" t="s">
        <v>39</v>
      </c>
      <c r="H701" t="s">
        <v>43</v>
      </c>
      <c r="I701" t="b">
        <v>1</v>
      </c>
      <c r="J701" t="b">
        <v>1</v>
      </c>
      <c r="K701" t="s">
        <v>352</v>
      </c>
      <c r="L701" t="s">
        <v>21</v>
      </c>
      <c r="M701">
        <v>400</v>
      </c>
      <c r="N701">
        <v>130000</v>
      </c>
      <c r="O701" t="str">
        <f>_xlfn.XLOOKUP(olist_closed_deals_dataset[[#This Row],[mql_id]], leads!A:A, leads!D:D, "Unknow" )</f>
        <v>Unknow</v>
      </c>
      <c r="P701" t="str">
        <f>IF(olist_closed_deals_dataset[[#This Row],[declared_monthly_revenue]] &gt;= 10000, "High Values ", IF(olist_closed_deals_dataset[[#This Row],[declared_monthly_revenue]] &gt; 0, "Stander ", "No Revenue " ))</f>
        <v xml:space="preserve">High Values </v>
      </c>
    </row>
    <row r="702" spans="1:16" x14ac:dyDescent="0.2">
      <c r="A702" t="s">
        <v>1510</v>
      </c>
      <c r="B702" t="s">
        <v>1511</v>
      </c>
      <c r="C702" t="s">
        <v>71</v>
      </c>
      <c r="D702" t="s">
        <v>48</v>
      </c>
      <c r="E702" s="1">
        <v>43152.621377314812</v>
      </c>
      <c r="F702" t="s">
        <v>61</v>
      </c>
      <c r="G702" t="s">
        <v>27</v>
      </c>
      <c r="H702" t="s">
        <v>1796</v>
      </c>
      <c r="I702" t="s">
        <v>1796</v>
      </c>
      <c r="J702" t="s">
        <v>1796</v>
      </c>
      <c r="K702" t="s">
        <v>1796</v>
      </c>
      <c r="L702" t="s">
        <v>44</v>
      </c>
      <c r="M702">
        <v>0</v>
      </c>
      <c r="N702">
        <v>0</v>
      </c>
      <c r="O702" t="str">
        <f>_xlfn.XLOOKUP(olist_closed_deals_dataset[[#This Row],[mql_id]], leads!A:A, leads!D:D, "Unknow" )</f>
        <v>organic_search</v>
      </c>
      <c r="P702" t="str">
        <f>IF(olist_closed_deals_dataset[[#This Row],[declared_monthly_revenue]] &gt;= 10000, "High Values ", IF(olist_closed_deals_dataset[[#This Row],[declared_monthly_revenue]] &gt; 0, "Stander ", "No Revenue " ))</f>
        <v xml:space="preserve">No Revenue </v>
      </c>
    </row>
    <row r="703" spans="1:16" x14ac:dyDescent="0.2">
      <c r="A703" t="s">
        <v>1512</v>
      </c>
      <c r="B703" t="s">
        <v>1513</v>
      </c>
      <c r="C703" t="s">
        <v>56</v>
      </c>
      <c r="D703" t="s">
        <v>17</v>
      </c>
      <c r="E703" s="1">
        <v>43238.720625000002</v>
      </c>
      <c r="F703" t="s">
        <v>96</v>
      </c>
      <c r="G703" t="s">
        <v>57</v>
      </c>
      <c r="H703" t="s">
        <v>28</v>
      </c>
      <c r="I703" t="s">
        <v>1796</v>
      </c>
      <c r="J703" t="s">
        <v>1796</v>
      </c>
      <c r="K703" t="s">
        <v>1796</v>
      </c>
      <c r="L703" t="s">
        <v>21</v>
      </c>
      <c r="M703">
        <v>0</v>
      </c>
      <c r="N703">
        <v>0</v>
      </c>
      <c r="O703" t="str">
        <f>_xlfn.XLOOKUP(olist_closed_deals_dataset[[#This Row],[mql_id]], leads!A:A, leads!D:D, "Unknow" )</f>
        <v>email</v>
      </c>
      <c r="P703" t="str">
        <f>IF(olist_closed_deals_dataset[[#This Row],[declared_monthly_revenue]] &gt;= 10000, "High Values ", IF(olist_closed_deals_dataset[[#This Row],[declared_monthly_revenue]] &gt; 0, "Stander ", "No Revenue " ))</f>
        <v xml:space="preserve">No Revenue </v>
      </c>
    </row>
    <row r="704" spans="1:16" x14ac:dyDescent="0.2">
      <c r="A704" t="s">
        <v>1514</v>
      </c>
      <c r="B704" t="s">
        <v>1515</v>
      </c>
      <c r="C704" t="s">
        <v>37</v>
      </c>
      <c r="D704" t="s">
        <v>102</v>
      </c>
      <c r="E704" s="1">
        <v>43173.838506944441</v>
      </c>
      <c r="F704" t="s">
        <v>92</v>
      </c>
      <c r="G704" t="s">
        <v>19</v>
      </c>
      <c r="H704" t="s">
        <v>1796</v>
      </c>
      <c r="I704" t="s">
        <v>1796</v>
      </c>
      <c r="J704" t="s">
        <v>1796</v>
      </c>
      <c r="K704" t="s">
        <v>1796</v>
      </c>
      <c r="L704" t="s">
        <v>21</v>
      </c>
      <c r="M704">
        <v>0</v>
      </c>
      <c r="N704">
        <v>0</v>
      </c>
      <c r="O704" t="str">
        <f>_xlfn.XLOOKUP(olist_closed_deals_dataset[[#This Row],[mql_id]], leads!A:A, leads!D:D, "Unknow" )</f>
        <v>direct_traffic</v>
      </c>
      <c r="P704" t="str">
        <f>IF(olist_closed_deals_dataset[[#This Row],[declared_monthly_revenue]] &gt;= 10000, "High Values ", IF(olist_closed_deals_dataset[[#This Row],[declared_monthly_revenue]] &gt; 0, "Stander ", "No Revenue " ))</f>
        <v xml:space="preserve">No Revenue </v>
      </c>
    </row>
    <row r="705" spans="1:16" x14ac:dyDescent="0.2">
      <c r="A705" t="s">
        <v>1516</v>
      </c>
      <c r="B705" t="s">
        <v>1517</v>
      </c>
      <c r="C705" t="s">
        <v>24</v>
      </c>
      <c r="D705" t="s">
        <v>52</v>
      </c>
      <c r="E705" s="1">
        <v>43229.681342592594</v>
      </c>
      <c r="F705" t="s">
        <v>111</v>
      </c>
      <c r="G705" t="s">
        <v>19</v>
      </c>
      <c r="H705" t="s">
        <v>20</v>
      </c>
      <c r="I705" t="s">
        <v>1796</v>
      </c>
      <c r="J705" t="s">
        <v>1796</v>
      </c>
      <c r="K705" t="s">
        <v>1796</v>
      </c>
      <c r="L705" t="s">
        <v>44</v>
      </c>
      <c r="M705">
        <v>0</v>
      </c>
      <c r="N705">
        <v>0</v>
      </c>
      <c r="O705" t="str">
        <f>_xlfn.XLOOKUP(olist_closed_deals_dataset[[#This Row],[mql_id]], leads!A:A, leads!D:D, "Unknow" )</f>
        <v>organic_search</v>
      </c>
      <c r="P705" t="str">
        <f>IF(olist_closed_deals_dataset[[#This Row],[declared_monthly_revenue]] &gt;= 10000, "High Values ", IF(olist_closed_deals_dataset[[#This Row],[declared_monthly_revenue]] &gt; 0, "Stander ", "No Revenue " ))</f>
        <v xml:space="preserve">No Revenue </v>
      </c>
    </row>
    <row r="706" spans="1:16" x14ac:dyDescent="0.2">
      <c r="A706" t="s">
        <v>1518</v>
      </c>
      <c r="B706" t="s">
        <v>1519</v>
      </c>
      <c r="C706" t="s">
        <v>159</v>
      </c>
      <c r="D706" t="s">
        <v>95</v>
      </c>
      <c r="E706" s="1">
        <v>43220.873402777775</v>
      </c>
      <c r="F706" t="s">
        <v>797</v>
      </c>
      <c r="G706" t="s">
        <v>19</v>
      </c>
      <c r="H706" t="s">
        <v>28</v>
      </c>
      <c r="I706" t="s">
        <v>1796</v>
      </c>
      <c r="J706" t="s">
        <v>1796</v>
      </c>
      <c r="K706" t="s">
        <v>1796</v>
      </c>
      <c r="L706" t="s">
        <v>21</v>
      </c>
      <c r="M706">
        <v>0</v>
      </c>
      <c r="N706">
        <v>0</v>
      </c>
      <c r="O706" t="str">
        <f>_xlfn.XLOOKUP(olist_closed_deals_dataset[[#This Row],[mql_id]], leads!A:A, leads!D:D, "Unknow" )</f>
        <v>unknown</v>
      </c>
      <c r="P706" t="str">
        <f>IF(olist_closed_deals_dataset[[#This Row],[declared_monthly_revenue]] &gt;= 10000, "High Values ", IF(olist_closed_deals_dataset[[#This Row],[declared_monthly_revenue]] &gt; 0, "Stander ", "No Revenue " ))</f>
        <v xml:space="preserve">No Revenue </v>
      </c>
    </row>
    <row r="707" spans="1:16" x14ac:dyDescent="0.2">
      <c r="A707" t="s">
        <v>1520</v>
      </c>
      <c r="B707" t="s">
        <v>1521</v>
      </c>
      <c r="C707" t="s">
        <v>127</v>
      </c>
      <c r="D707" t="s">
        <v>71</v>
      </c>
      <c r="E707" s="1">
        <v>43251.892025462963</v>
      </c>
      <c r="F707" t="s">
        <v>33</v>
      </c>
      <c r="G707" t="s">
        <v>19</v>
      </c>
      <c r="H707" t="s">
        <v>43</v>
      </c>
      <c r="I707" t="s">
        <v>1796</v>
      </c>
      <c r="J707" t="s">
        <v>1796</v>
      </c>
      <c r="K707" t="s">
        <v>1796</v>
      </c>
      <c r="L707" t="s">
        <v>21</v>
      </c>
      <c r="M707">
        <v>0</v>
      </c>
      <c r="N707">
        <v>0</v>
      </c>
      <c r="O707" t="str">
        <f>_xlfn.XLOOKUP(olist_closed_deals_dataset[[#This Row],[mql_id]], leads!A:A, leads!D:D, "Unknow" )</f>
        <v>paid_search</v>
      </c>
      <c r="P707" t="str">
        <f>IF(olist_closed_deals_dataset[[#This Row],[declared_monthly_revenue]] &gt;= 10000, "High Values ", IF(olist_closed_deals_dataset[[#This Row],[declared_monthly_revenue]] &gt; 0, "Stander ", "No Revenue " ))</f>
        <v xml:space="preserve">No Revenue </v>
      </c>
    </row>
    <row r="708" spans="1:16" x14ac:dyDescent="0.2">
      <c r="A708" t="s">
        <v>1522</v>
      </c>
      <c r="B708" t="s">
        <v>1523</v>
      </c>
      <c r="C708" t="s">
        <v>127</v>
      </c>
      <c r="D708" t="s">
        <v>17</v>
      </c>
      <c r="E708" s="1">
        <v>43250.677222222221</v>
      </c>
      <c r="F708" t="s">
        <v>111</v>
      </c>
      <c r="G708" t="s">
        <v>112</v>
      </c>
      <c r="H708" t="s">
        <v>20</v>
      </c>
      <c r="I708" t="s">
        <v>1796</v>
      </c>
      <c r="J708" t="s">
        <v>1796</v>
      </c>
      <c r="K708" t="s">
        <v>1796</v>
      </c>
      <c r="L708" t="s">
        <v>44</v>
      </c>
      <c r="M708">
        <v>0</v>
      </c>
      <c r="N708">
        <v>0</v>
      </c>
      <c r="O708" t="str">
        <f>_xlfn.XLOOKUP(olist_closed_deals_dataset[[#This Row],[mql_id]], leads!A:A, leads!D:D, "Unknow" )</f>
        <v>email</v>
      </c>
      <c r="P708" t="str">
        <f>IF(olist_closed_deals_dataset[[#This Row],[declared_monthly_revenue]] &gt;= 10000, "High Values ", IF(olist_closed_deals_dataset[[#This Row],[declared_monthly_revenue]] &gt; 0, "Stander ", "No Revenue " ))</f>
        <v xml:space="preserve">No Revenue </v>
      </c>
    </row>
    <row r="709" spans="1:16" x14ac:dyDescent="0.2">
      <c r="A709" t="s">
        <v>1524</v>
      </c>
      <c r="B709" t="s">
        <v>1525</v>
      </c>
      <c r="C709" t="s">
        <v>16</v>
      </c>
      <c r="D709" t="s">
        <v>52</v>
      </c>
      <c r="E709" s="1">
        <v>43224.125</v>
      </c>
      <c r="F709" t="s">
        <v>96</v>
      </c>
      <c r="G709" t="s">
        <v>19</v>
      </c>
      <c r="H709" t="s">
        <v>28</v>
      </c>
      <c r="I709" t="s">
        <v>1796</v>
      </c>
      <c r="J709" t="s">
        <v>1796</v>
      </c>
      <c r="K709" t="s">
        <v>1796</v>
      </c>
      <c r="L709" t="s">
        <v>21</v>
      </c>
      <c r="M709">
        <v>0</v>
      </c>
      <c r="N709">
        <v>0</v>
      </c>
      <c r="O709" t="str">
        <f>_xlfn.XLOOKUP(olist_closed_deals_dataset[[#This Row],[mql_id]], leads!A:A, leads!D:D, "Unknow" )</f>
        <v>organic_search</v>
      </c>
      <c r="P709" t="str">
        <f>IF(olist_closed_deals_dataset[[#This Row],[declared_monthly_revenue]] &gt;= 10000, "High Values ", IF(olist_closed_deals_dataset[[#This Row],[declared_monthly_revenue]] &gt; 0, "Stander ", "No Revenue " ))</f>
        <v xml:space="preserve">No Revenue </v>
      </c>
    </row>
    <row r="710" spans="1:16" x14ac:dyDescent="0.2">
      <c r="A710" t="s">
        <v>1526</v>
      </c>
      <c r="B710" t="s">
        <v>1527</v>
      </c>
      <c r="C710" t="s">
        <v>159</v>
      </c>
      <c r="D710" t="s">
        <v>65</v>
      </c>
      <c r="E710" s="1">
        <v>43214.863333333335</v>
      </c>
      <c r="F710" t="s">
        <v>85</v>
      </c>
      <c r="G710" t="s">
        <v>27</v>
      </c>
      <c r="H710" t="s">
        <v>28</v>
      </c>
      <c r="I710" t="s">
        <v>1796</v>
      </c>
      <c r="J710" t="s">
        <v>1796</v>
      </c>
      <c r="K710" t="s">
        <v>1796</v>
      </c>
      <c r="L710" t="s">
        <v>44</v>
      </c>
      <c r="M710">
        <v>0</v>
      </c>
      <c r="N710">
        <v>0</v>
      </c>
      <c r="O710" t="str">
        <f>_xlfn.XLOOKUP(olist_closed_deals_dataset[[#This Row],[mql_id]], leads!A:A, leads!D:D, "Unknow" )</f>
        <v>unknown</v>
      </c>
      <c r="P710" t="str">
        <f>IF(olist_closed_deals_dataset[[#This Row],[declared_monthly_revenue]] &gt;= 10000, "High Values ", IF(olist_closed_deals_dataset[[#This Row],[declared_monthly_revenue]] &gt; 0, "Stander ", "No Revenue " ))</f>
        <v xml:space="preserve">No Revenue </v>
      </c>
    </row>
    <row r="711" spans="1:16" x14ac:dyDescent="0.2">
      <c r="A711" t="s">
        <v>1528</v>
      </c>
      <c r="B711" t="s">
        <v>1529</v>
      </c>
      <c r="C711" t="s">
        <v>16</v>
      </c>
      <c r="D711" t="s">
        <v>52</v>
      </c>
      <c r="E711" s="1">
        <v>43270.525057870371</v>
      </c>
      <c r="F711" t="s">
        <v>26</v>
      </c>
      <c r="G711" t="s">
        <v>34</v>
      </c>
      <c r="H711" t="s">
        <v>20</v>
      </c>
      <c r="I711" t="s">
        <v>1796</v>
      </c>
      <c r="J711" t="s">
        <v>1796</v>
      </c>
      <c r="K711" t="s">
        <v>1796</v>
      </c>
      <c r="L711" t="s">
        <v>21</v>
      </c>
      <c r="M711">
        <v>0</v>
      </c>
      <c r="N711">
        <v>0</v>
      </c>
      <c r="O711" t="str">
        <f>_xlfn.XLOOKUP(olist_closed_deals_dataset[[#This Row],[mql_id]], leads!A:A, leads!D:D, "Unknow" )</f>
        <v>organic_search</v>
      </c>
      <c r="P711" t="str">
        <f>IF(olist_closed_deals_dataset[[#This Row],[declared_monthly_revenue]] &gt;= 10000, "High Values ", IF(olist_closed_deals_dataset[[#This Row],[declared_monthly_revenue]] &gt; 0, "Stander ", "No Revenue " ))</f>
        <v xml:space="preserve">No Revenue </v>
      </c>
    </row>
    <row r="712" spans="1:16" x14ac:dyDescent="0.2">
      <c r="A712" t="s">
        <v>1530</v>
      </c>
      <c r="B712" t="s">
        <v>1531</v>
      </c>
      <c r="C712" t="s">
        <v>47</v>
      </c>
      <c r="D712" t="s">
        <v>48</v>
      </c>
      <c r="E712" s="1">
        <v>43137.580277777779</v>
      </c>
      <c r="F712" t="s">
        <v>26</v>
      </c>
      <c r="G712" t="s">
        <v>112</v>
      </c>
      <c r="H712" t="s">
        <v>1796</v>
      </c>
      <c r="I712" t="s">
        <v>1796</v>
      </c>
      <c r="J712" t="s">
        <v>1796</v>
      </c>
      <c r="K712" t="s">
        <v>1796</v>
      </c>
      <c r="L712" t="s">
        <v>21</v>
      </c>
      <c r="M712">
        <v>0</v>
      </c>
      <c r="N712">
        <v>0</v>
      </c>
      <c r="O712" t="str">
        <f>_xlfn.XLOOKUP(olist_closed_deals_dataset[[#This Row],[mql_id]], leads!A:A, leads!D:D, "Unknow" )</f>
        <v>organic_search</v>
      </c>
      <c r="P712" t="str">
        <f>IF(olist_closed_deals_dataset[[#This Row],[declared_monthly_revenue]] &gt;= 10000, "High Values ", IF(olist_closed_deals_dataset[[#This Row],[declared_monthly_revenue]] &gt; 0, "Stander ", "No Revenue " ))</f>
        <v xml:space="preserve">No Revenue </v>
      </c>
    </row>
    <row r="713" spans="1:16" x14ac:dyDescent="0.2">
      <c r="A713" t="s">
        <v>1532</v>
      </c>
      <c r="B713" t="s">
        <v>1533</v>
      </c>
      <c r="C713" t="s">
        <v>64</v>
      </c>
      <c r="D713" t="s">
        <v>65</v>
      </c>
      <c r="E713" s="1">
        <v>43215.821574074071</v>
      </c>
      <c r="F713" t="s">
        <v>61</v>
      </c>
      <c r="G713" t="s">
        <v>27</v>
      </c>
      <c r="H713" t="s">
        <v>20</v>
      </c>
      <c r="I713" t="s">
        <v>1796</v>
      </c>
      <c r="J713" t="s">
        <v>1796</v>
      </c>
      <c r="K713" t="s">
        <v>1796</v>
      </c>
      <c r="L713" t="s">
        <v>44</v>
      </c>
      <c r="M713">
        <v>0</v>
      </c>
      <c r="N713">
        <v>0</v>
      </c>
      <c r="O713" t="str">
        <f>_xlfn.XLOOKUP(olist_closed_deals_dataset[[#This Row],[mql_id]], leads!A:A, leads!D:D, "Unknow" )</f>
        <v>paid_search</v>
      </c>
      <c r="P713" t="str">
        <f>IF(olist_closed_deals_dataset[[#This Row],[declared_monthly_revenue]] &gt;= 10000, "High Values ", IF(olist_closed_deals_dataset[[#This Row],[declared_monthly_revenue]] &gt; 0, "Stander ", "No Revenue " ))</f>
        <v xml:space="preserve">No Revenue </v>
      </c>
    </row>
    <row r="714" spans="1:16" x14ac:dyDescent="0.2">
      <c r="A714" t="s">
        <v>1534</v>
      </c>
      <c r="B714" t="s">
        <v>1535</v>
      </c>
      <c r="C714" t="s">
        <v>56</v>
      </c>
      <c r="D714" t="s">
        <v>48</v>
      </c>
      <c r="E714" s="1">
        <v>43280.769745370373</v>
      </c>
      <c r="F714" t="s">
        <v>138</v>
      </c>
      <c r="G714" t="s">
        <v>57</v>
      </c>
      <c r="H714" t="s">
        <v>122</v>
      </c>
      <c r="I714" t="s">
        <v>1796</v>
      </c>
      <c r="J714" t="s">
        <v>1796</v>
      </c>
      <c r="K714" t="s">
        <v>1796</v>
      </c>
      <c r="L714" t="s">
        <v>21</v>
      </c>
      <c r="M714">
        <v>0</v>
      </c>
      <c r="N714">
        <v>0</v>
      </c>
      <c r="O714" t="str">
        <f>_xlfn.XLOOKUP(olist_closed_deals_dataset[[#This Row],[mql_id]], leads!A:A, leads!D:D, "Unknow" )</f>
        <v>social</v>
      </c>
      <c r="P714" t="str">
        <f>IF(olist_closed_deals_dataset[[#This Row],[declared_monthly_revenue]] &gt;= 10000, "High Values ", IF(olist_closed_deals_dataset[[#This Row],[declared_monthly_revenue]] &gt; 0, "Stander ", "No Revenue " ))</f>
        <v xml:space="preserve">No Revenue </v>
      </c>
    </row>
    <row r="715" spans="1:16" x14ac:dyDescent="0.2">
      <c r="A715" t="s">
        <v>1536</v>
      </c>
      <c r="B715" t="s">
        <v>1537</v>
      </c>
      <c r="C715" t="s">
        <v>37</v>
      </c>
      <c r="D715" t="s">
        <v>77</v>
      </c>
      <c r="E715" s="1">
        <v>43187.678171296298</v>
      </c>
      <c r="F715" t="s">
        <v>49</v>
      </c>
      <c r="G715" t="s">
        <v>27</v>
      </c>
      <c r="H715" t="s">
        <v>1796</v>
      </c>
      <c r="I715" t="s">
        <v>1796</v>
      </c>
      <c r="J715" t="s">
        <v>1796</v>
      </c>
      <c r="K715" t="s">
        <v>1796</v>
      </c>
      <c r="L715" t="s">
        <v>44</v>
      </c>
      <c r="M715">
        <v>0</v>
      </c>
      <c r="N715">
        <v>0</v>
      </c>
      <c r="O715" t="str">
        <f>_xlfn.XLOOKUP(olist_closed_deals_dataset[[#This Row],[mql_id]], leads!A:A, leads!D:D, "Unknow" )</f>
        <v>unknown</v>
      </c>
      <c r="P715" t="str">
        <f>IF(olist_closed_deals_dataset[[#This Row],[declared_monthly_revenue]] &gt;= 10000, "High Values ", IF(olist_closed_deals_dataset[[#This Row],[declared_monthly_revenue]] &gt; 0, "Stander ", "No Revenue " ))</f>
        <v xml:space="preserve">No Revenue </v>
      </c>
    </row>
    <row r="716" spans="1:16" x14ac:dyDescent="0.2">
      <c r="A716" t="s">
        <v>1538</v>
      </c>
      <c r="B716" t="s">
        <v>1539</v>
      </c>
      <c r="C716" t="s">
        <v>42</v>
      </c>
      <c r="D716" t="s">
        <v>89</v>
      </c>
      <c r="E716" s="1">
        <v>43161.540335648147</v>
      </c>
      <c r="F716" t="s">
        <v>26</v>
      </c>
      <c r="G716" t="s">
        <v>19</v>
      </c>
      <c r="H716" t="s">
        <v>43</v>
      </c>
      <c r="I716" t="s">
        <v>1796</v>
      </c>
      <c r="J716" t="s">
        <v>1796</v>
      </c>
      <c r="K716" t="s">
        <v>1796</v>
      </c>
      <c r="L716" t="s">
        <v>21</v>
      </c>
      <c r="M716">
        <v>0</v>
      </c>
      <c r="N716">
        <v>0</v>
      </c>
      <c r="O716" t="str">
        <f>_xlfn.XLOOKUP(olist_closed_deals_dataset[[#This Row],[mql_id]], leads!A:A, leads!D:D, "Unknow" )</f>
        <v>social</v>
      </c>
      <c r="P716" t="str">
        <f>IF(olist_closed_deals_dataset[[#This Row],[declared_monthly_revenue]] &gt;= 10000, "High Values ", IF(olist_closed_deals_dataset[[#This Row],[declared_monthly_revenue]] &gt; 0, "Stander ", "No Revenue " ))</f>
        <v xml:space="preserve">No Revenue </v>
      </c>
    </row>
    <row r="717" spans="1:16" x14ac:dyDescent="0.2">
      <c r="A717" t="s">
        <v>1540</v>
      </c>
      <c r="B717" t="s">
        <v>1541</v>
      </c>
      <c r="C717" t="s">
        <v>60</v>
      </c>
      <c r="D717" t="s">
        <v>17</v>
      </c>
      <c r="E717" s="1">
        <v>43287.715474537035</v>
      </c>
      <c r="F717" t="s">
        <v>138</v>
      </c>
      <c r="G717" t="s">
        <v>19</v>
      </c>
      <c r="H717" t="s">
        <v>28</v>
      </c>
      <c r="I717" t="s">
        <v>1796</v>
      </c>
      <c r="J717" t="s">
        <v>1796</v>
      </c>
      <c r="K717" t="s">
        <v>1796</v>
      </c>
      <c r="L717" t="s">
        <v>21</v>
      </c>
      <c r="M717">
        <v>0</v>
      </c>
      <c r="N717">
        <v>0</v>
      </c>
      <c r="O717" t="str">
        <f>_xlfn.XLOOKUP(olist_closed_deals_dataset[[#This Row],[mql_id]], leads!A:A, leads!D:D, "Unknow" )</f>
        <v>social</v>
      </c>
      <c r="P717" t="str">
        <f>IF(olist_closed_deals_dataset[[#This Row],[declared_monthly_revenue]] &gt;= 10000, "High Values ", IF(olist_closed_deals_dataset[[#This Row],[declared_monthly_revenue]] &gt; 0, "Stander ", "No Revenue " ))</f>
        <v xml:space="preserve">No Revenue </v>
      </c>
    </row>
    <row r="718" spans="1:16" x14ac:dyDescent="0.2">
      <c r="A718" t="s">
        <v>1542</v>
      </c>
      <c r="B718" t="s">
        <v>1543</v>
      </c>
      <c r="C718" t="s">
        <v>42</v>
      </c>
      <c r="D718" t="s">
        <v>25</v>
      </c>
      <c r="E718" s="1">
        <v>43139.54928240741</v>
      </c>
      <c r="F718" t="s">
        <v>61</v>
      </c>
      <c r="G718" t="s">
        <v>19</v>
      </c>
      <c r="H718" t="s">
        <v>1796</v>
      </c>
      <c r="I718" t="s">
        <v>1796</v>
      </c>
      <c r="J718" t="s">
        <v>1796</v>
      </c>
      <c r="K718" t="s">
        <v>1796</v>
      </c>
      <c r="L718" t="s">
        <v>21</v>
      </c>
      <c r="M718">
        <v>0</v>
      </c>
      <c r="N718">
        <v>0</v>
      </c>
      <c r="O718" t="str">
        <f>_xlfn.XLOOKUP(olist_closed_deals_dataset[[#This Row],[mql_id]], leads!A:A, leads!D:D, "Unknow" )</f>
        <v>paid_search</v>
      </c>
      <c r="P718" t="str">
        <f>IF(olist_closed_deals_dataset[[#This Row],[declared_monthly_revenue]] &gt;= 10000, "High Values ", IF(olist_closed_deals_dataset[[#This Row],[declared_monthly_revenue]] &gt; 0, "Stander ", "No Revenue " ))</f>
        <v xml:space="preserve">No Revenue </v>
      </c>
    </row>
    <row r="719" spans="1:16" x14ac:dyDescent="0.2">
      <c r="A719" t="s">
        <v>1544</v>
      </c>
      <c r="B719" t="s">
        <v>1545</v>
      </c>
      <c r="C719" t="s">
        <v>16</v>
      </c>
      <c r="D719" t="s">
        <v>25</v>
      </c>
      <c r="E719" s="1">
        <v>43210.514282407406</v>
      </c>
      <c r="F719" t="s">
        <v>82</v>
      </c>
      <c r="G719" t="s">
        <v>19</v>
      </c>
      <c r="H719" t="s">
        <v>20</v>
      </c>
      <c r="I719" t="s">
        <v>1796</v>
      </c>
      <c r="J719" t="s">
        <v>1796</v>
      </c>
      <c r="K719" t="s">
        <v>1796</v>
      </c>
      <c r="L719" t="s">
        <v>21</v>
      </c>
      <c r="M719">
        <v>0</v>
      </c>
      <c r="N719">
        <v>0</v>
      </c>
      <c r="O719" t="str">
        <f>_xlfn.XLOOKUP(olist_closed_deals_dataset[[#This Row],[mql_id]], leads!A:A, leads!D:D, "Unknow" )</f>
        <v>organic_search</v>
      </c>
      <c r="P719" t="str">
        <f>IF(olist_closed_deals_dataset[[#This Row],[declared_monthly_revenue]] &gt;= 10000, "High Values ", IF(olist_closed_deals_dataset[[#This Row],[declared_monthly_revenue]] &gt; 0, "Stander ", "No Revenue " ))</f>
        <v xml:space="preserve">No Revenue </v>
      </c>
    </row>
    <row r="720" spans="1:16" x14ac:dyDescent="0.2">
      <c r="A720" t="s">
        <v>1546</v>
      </c>
      <c r="B720" t="s">
        <v>1547</v>
      </c>
      <c r="C720" t="s">
        <v>56</v>
      </c>
      <c r="D720" t="s">
        <v>37</v>
      </c>
      <c r="E720" s="1">
        <v>43241.845578703702</v>
      </c>
      <c r="F720" t="s">
        <v>82</v>
      </c>
      <c r="G720" t="s">
        <v>57</v>
      </c>
      <c r="H720" t="s">
        <v>20</v>
      </c>
      <c r="I720" t="s">
        <v>1796</v>
      </c>
      <c r="J720" t="s">
        <v>1796</v>
      </c>
      <c r="K720" t="s">
        <v>1796</v>
      </c>
      <c r="L720" t="s">
        <v>44</v>
      </c>
      <c r="M720">
        <v>0</v>
      </c>
      <c r="N720">
        <v>0</v>
      </c>
      <c r="O720" t="str">
        <f>_xlfn.XLOOKUP(olist_closed_deals_dataset[[#This Row],[mql_id]], leads!A:A, leads!D:D, "Unknow" )</f>
        <v>organic_search</v>
      </c>
      <c r="P720" t="str">
        <f>IF(olist_closed_deals_dataset[[#This Row],[declared_monthly_revenue]] &gt;= 10000, "High Values ", IF(olist_closed_deals_dataset[[#This Row],[declared_monthly_revenue]] &gt; 0, "Stander ", "No Revenue " ))</f>
        <v xml:space="preserve">No Revenue </v>
      </c>
    </row>
    <row r="721" spans="1:16" x14ac:dyDescent="0.2">
      <c r="A721" t="s">
        <v>1548</v>
      </c>
      <c r="B721" t="s">
        <v>1549</v>
      </c>
      <c r="C721" t="s">
        <v>42</v>
      </c>
      <c r="D721" t="s">
        <v>17</v>
      </c>
      <c r="E721" s="1">
        <v>43227.679768518516</v>
      </c>
      <c r="F721" t="s">
        <v>68</v>
      </c>
      <c r="G721" t="s">
        <v>34</v>
      </c>
      <c r="H721" t="s">
        <v>20</v>
      </c>
      <c r="I721" t="s">
        <v>1796</v>
      </c>
      <c r="J721" t="s">
        <v>1796</v>
      </c>
      <c r="K721" t="s">
        <v>1796</v>
      </c>
      <c r="L721" t="s">
        <v>44</v>
      </c>
      <c r="M721">
        <v>0</v>
      </c>
      <c r="N721">
        <v>0</v>
      </c>
      <c r="O721" t="str">
        <f>_xlfn.XLOOKUP(olist_closed_deals_dataset[[#This Row],[mql_id]], leads!A:A, leads!D:D, "Unknow" )</f>
        <v>direct_traffic</v>
      </c>
      <c r="P721" t="str">
        <f>IF(olist_closed_deals_dataset[[#This Row],[declared_monthly_revenue]] &gt;= 10000, "High Values ", IF(olist_closed_deals_dataset[[#This Row],[declared_monthly_revenue]] &gt; 0, "Stander ", "No Revenue " ))</f>
        <v xml:space="preserve">No Revenue </v>
      </c>
    </row>
    <row r="722" spans="1:16" x14ac:dyDescent="0.2">
      <c r="A722" t="s">
        <v>1550</v>
      </c>
      <c r="B722" t="s">
        <v>1551</v>
      </c>
      <c r="C722" t="s">
        <v>56</v>
      </c>
      <c r="D722" t="s">
        <v>65</v>
      </c>
      <c r="E722" s="1">
        <v>43203.604305555556</v>
      </c>
      <c r="F722" t="s">
        <v>78</v>
      </c>
      <c r="G722" t="s">
        <v>19</v>
      </c>
      <c r="H722" t="s">
        <v>122</v>
      </c>
      <c r="I722" t="s">
        <v>1796</v>
      </c>
      <c r="J722" t="s">
        <v>1796</v>
      </c>
      <c r="K722" t="s">
        <v>1796</v>
      </c>
      <c r="L722" t="s">
        <v>21</v>
      </c>
      <c r="M722">
        <v>0</v>
      </c>
      <c r="N722">
        <v>0</v>
      </c>
      <c r="O722" t="str">
        <f>_xlfn.XLOOKUP(olist_closed_deals_dataset[[#This Row],[mql_id]], leads!A:A, leads!D:D, "Unknow" )</f>
        <v>unknown</v>
      </c>
      <c r="P722" t="str">
        <f>IF(olist_closed_deals_dataset[[#This Row],[declared_monthly_revenue]] &gt;= 10000, "High Values ", IF(olist_closed_deals_dataset[[#This Row],[declared_monthly_revenue]] &gt; 0, "Stander ", "No Revenue " ))</f>
        <v xml:space="preserve">No Revenue </v>
      </c>
    </row>
    <row r="723" spans="1:16" x14ac:dyDescent="0.2">
      <c r="A723" t="s">
        <v>1552</v>
      </c>
      <c r="B723" t="s">
        <v>1553</v>
      </c>
      <c r="C723" t="s">
        <v>60</v>
      </c>
      <c r="D723" t="s">
        <v>25</v>
      </c>
      <c r="E723" s="1">
        <v>43259.51085648148</v>
      </c>
      <c r="F723" t="s">
        <v>103</v>
      </c>
      <c r="G723" t="s">
        <v>19</v>
      </c>
      <c r="H723" t="s">
        <v>28</v>
      </c>
      <c r="I723" t="s">
        <v>1796</v>
      </c>
      <c r="J723" t="s">
        <v>1796</v>
      </c>
      <c r="K723" t="s">
        <v>1796</v>
      </c>
      <c r="L723" t="s">
        <v>21</v>
      </c>
      <c r="M723">
        <v>0</v>
      </c>
      <c r="N723">
        <v>0</v>
      </c>
      <c r="O723" t="str">
        <f>_xlfn.XLOOKUP(olist_closed_deals_dataset[[#This Row],[mql_id]], leads!A:A, leads!D:D, "Unknow" )</f>
        <v>paid_search</v>
      </c>
      <c r="P723" t="str">
        <f>IF(olist_closed_deals_dataset[[#This Row],[declared_monthly_revenue]] &gt;= 10000, "High Values ", IF(olist_closed_deals_dataset[[#This Row],[declared_monthly_revenue]] &gt; 0, "Stander ", "No Revenue " ))</f>
        <v xml:space="preserve">No Revenue </v>
      </c>
    </row>
    <row r="724" spans="1:16" x14ac:dyDescent="0.2">
      <c r="A724" t="s">
        <v>1554</v>
      </c>
      <c r="B724" t="s">
        <v>1555</v>
      </c>
      <c r="C724" t="s">
        <v>471</v>
      </c>
      <c r="D724" t="s">
        <v>17</v>
      </c>
      <c r="E724" s="1">
        <v>43391.686006944445</v>
      </c>
      <c r="F724" t="s">
        <v>96</v>
      </c>
      <c r="G724" t="s">
        <v>112</v>
      </c>
      <c r="H724" t="s">
        <v>20</v>
      </c>
      <c r="I724" t="b">
        <v>1</v>
      </c>
      <c r="J724" t="b">
        <v>0</v>
      </c>
      <c r="K724" t="s">
        <v>352</v>
      </c>
      <c r="L724" t="s">
        <v>44</v>
      </c>
      <c r="M724">
        <v>1200</v>
      </c>
      <c r="N724">
        <v>0</v>
      </c>
      <c r="O724" t="str">
        <f>_xlfn.XLOOKUP(olist_closed_deals_dataset[[#This Row],[mql_id]], leads!A:A, leads!D:D, "Unknow" )</f>
        <v>organic_search</v>
      </c>
      <c r="P724" t="str">
        <f>IF(olist_closed_deals_dataset[[#This Row],[declared_monthly_revenue]] &gt;= 10000, "High Values ", IF(olist_closed_deals_dataset[[#This Row],[declared_monthly_revenue]] &gt; 0, "Stander ", "No Revenue " ))</f>
        <v xml:space="preserve">No Revenue </v>
      </c>
    </row>
    <row r="725" spans="1:16" x14ac:dyDescent="0.2">
      <c r="A725" t="s">
        <v>1556</v>
      </c>
      <c r="B725" t="s">
        <v>1557</v>
      </c>
      <c r="C725" t="s">
        <v>64</v>
      </c>
      <c r="D725" t="s">
        <v>52</v>
      </c>
      <c r="E725" s="1">
        <v>43217.584710648145</v>
      </c>
      <c r="F725" t="s">
        <v>61</v>
      </c>
      <c r="G725" t="s">
        <v>34</v>
      </c>
      <c r="H725" t="s">
        <v>20</v>
      </c>
      <c r="I725" t="s">
        <v>1796</v>
      </c>
      <c r="J725" t="s">
        <v>1796</v>
      </c>
      <c r="K725" t="s">
        <v>1796</v>
      </c>
      <c r="L725" t="s">
        <v>21</v>
      </c>
      <c r="M725">
        <v>0</v>
      </c>
      <c r="N725">
        <v>0</v>
      </c>
      <c r="O725" t="str">
        <f>_xlfn.XLOOKUP(olist_closed_deals_dataset[[#This Row],[mql_id]], leads!A:A, leads!D:D, "Unknow" )</f>
        <v>organic_search</v>
      </c>
      <c r="P725" t="str">
        <f>IF(olist_closed_deals_dataset[[#This Row],[declared_monthly_revenue]] &gt;= 10000, "High Values ", IF(olist_closed_deals_dataset[[#This Row],[declared_monthly_revenue]] &gt; 0, "Stander ", "No Revenue " ))</f>
        <v xml:space="preserve">No Revenue </v>
      </c>
    </row>
    <row r="726" spans="1:16" x14ac:dyDescent="0.2">
      <c r="A726" t="s">
        <v>1558</v>
      </c>
      <c r="B726" t="s">
        <v>1559</v>
      </c>
      <c r="C726" t="s">
        <v>24</v>
      </c>
      <c r="D726" t="s">
        <v>71</v>
      </c>
      <c r="E726" s="1">
        <v>43194.779826388891</v>
      </c>
      <c r="F726" t="s">
        <v>103</v>
      </c>
      <c r="G726" t="s">
        <v>19</v>
      </c>
      <c r="H726" t="s">
        <v>20</v>
      </c>
      <c r="I726" t="s">
        <v>1796</v>
      </c>
      <c r="J726" t="s">
        <v>1796</v>
      </c>
      <c r="K726" t="s">
        <v>1796</v>
      </c>
      <c r="L726" t="s">
        <v>21</v>
      </c>
      <c r="M726">
        <v>0</v>
      </c>
      <c r="N726">
        <v>0</v>
      </c>
      <c r="O726" t="str">
        <f>_xlfn.XLOOKUP(olist_closed_deals_dataset[[#This Row],[mql_id]], leads!A:A, leads!D:D, "Unknow" )</f>
        <v>unknown</v>
      </c>
      <c r="P726" t="str">
        <f>IF(olist_closed_deals_dataset[[#This Row],[declared_monthly_revenue]] &gt;= 10000, "High Values ", IF(olist_closed_deals_dataset[[#This Row],[declared_monthly_revenue]] &gt; 0, "Stander ", "No Revenue " ))</f>
        <v xml:space="preserve">No Revenue </v>
      </c>
    </row>
    <row r="727" spans="1:16" x14ac:dyDescent="0.2">
      <c r="A727" t="s">
        <v>1560</v>
      </c>
      <c r="B727" t="s">
        <v>1561</v>
      </c>
      <c r="C727" t="s">
        <v>47</v>
      </c>
      <c r="D727" t="s">
        <v>32</v>
      </c>
      <c r="E727" s="1">
        <v>43129.507164351853</v>
      </c>
      <c r="F727" t="s">
        <v>49</v>
      </c>
      <c r="G727" t="s">
        <v>27</v>
      </c>
      <c r="H727" t="s">
        <v>1796</v>
      </c>
      <c r="I727" t="s">
        <v>1796</v>
      </c>
      <c r="J727" t="s">
        <v>1796</v>
      </c>
      <c r="K727" t="s">
        <v>1796</v>
      </c>
      <c r="L727" t="s">
        <v>44</v>
      </c>
      <c r="M727">
        <v>0</v>
      </c>
      <c r="N727">
        <v>0</v>
      </c>
      <c r="O727" t="str">
        <f>_xlfn.XLOOKUP(olist_closed_deals_dataset[[#This Row],[mql_id]], leads!A:A, leads!D:D, "Unknow" )</f>
        <v>organic_search</v>
      </c>
      <c r="P727" t="str">
        <f>IF(olist_closed_deals_dataset[[#This Row],[declared_monthly_revenue]] &gt;= 10000, "High Values ", IF(olist_closed_deals_dataset[[#This Row],[declared_monthly_revenue]] &gt; 0, "Stander ", "No Revenue " ))</f>
        <v xml:space="preserve">No Revenue </v>
      </c>
    </row>
    <row r="728" spans="1:16" x14ac:dyDescent="0.2">
      <c r="A728" t="s">
        <v>1562</v>
      </c>
      <c r="B728" t="s">
        <v>1563</v>
      </c>
      <c r="C728" t="s">
        <v>64</v>
      </c>
      <c r="D728" t="s">
        <v>17</v>
      </c>
      <c r="E728" s="1">
        <v>43187.785381944443</v>
      </c>
      <c r="F728" t="s">
        <v>53</v>
      </c>
      <c r="G728" t="s">
        <v>39</v>
      </c>
      <c r="H728" t="s">
        <v>20</v>
      </c>
      <c r="I728" t="s">
        <v>1796</v>
      </c>
      <c r="J728" t="s">
        <v>1796</v>
      </c>
      <c r="K728" t="s">
        <v>1796</v>
      </c>
      <c r="L728" t="s">
        <v>21</v>
      </c>
      <c r="M728">
        <v>0</v>
      </c>
      <c r="N728">
        <v>0</v>
      </c>
      <c r="O728" t="str">
        <f>_xlfn.XLOOKUP(olist_closed_deals_dataset[[#This Row],[mql_id]], leads!A:A, leads!D:D, "Unknow" )</f>
        <v>paid_search</v>
      </c>
      <c r="P728" t="str">
        <f>IF(olist_closed_deals_dataset[[#This Row],[declared_monthly_revenue]] &gt;= 10000, "High Values ", IF(olist_closed_deals_dataset[[#This Row],[declared_monthly_revenue]] &gt; 0, "Stander ", "No Revenue " ))</f>
        <v xml:space="preserve">No Revenue </v>
      </c>
    </row>
    <row r="729" spans="1:16" x14ac:dyDescent="0.2">
      <c r="A729" t="s">
        <v>1564</v>
      </c>
      <c r="B729" t="s">
        <v>1565</v>
      </c>
      <c r="C729" t="s">
        <v>37</v>
      </c>
      <c r="D729" t="s">
        <v>48</v>
      </c>
      <c r="E729" s="1">
        <v>43210.759097222224</v>
      </c>
      <c r="F729" t="s">
        <v>26</v>
      </c>
      <c r="G729" t="s">
        <v>27</v>
      </c>
      <c r="H729" t="s">
        <v>20</v>
      </c>
      <c r="I729" t="s">
        <v>1796</v>
      </c>
      <c r="J729" t="s">
        <v>1796</v>
      </c>
      <c r="K729" t="s">
        <v>1796</v>
      </c>
      <c r="L729" t="s">
        <v>21</v>
      </c>
      <c r="M729">
        <v>0</v>
      </c>
      <c r="N729">
        <v>0</v>
      </c>
      <c r="O729" t="str">
        <f>_xlfn.XLOOKUP(olist_closed_deals_dataset[[#This Row],[mql_id]], leads!A:A, leads!D:D, "Unknow" )</f>
        <v>organic_search</v>
      </c>
      <c r="P729" t="str">
        <f>IF(olist_closed_deals_dataset[[#This Row],[declared_monthly_revenue]] &gt;= 10000, "High Values ", IF(olist_closed_deals_dataset[[#This Row],[declared_monthly_revenue]] &gt; 0, "Stander ", "No Revenue " ))</f>
        <v xml:space="preserve">No Revenue </v>
      </c>
    </row>
    <row r="730" spans="1:16" x14ac:dyDescent="0.2">
      <c r="A730" t="s">
        <v>1566</v>
      </c>
      <c r="B730" t="s">
        <v>1567</v>
      </c>
      <c r="C730" t="s">
        <v>42</v>
      </c>
      <c r="D730" t="s">
        <v>52</v>
      </c>
      <c r="E730" s="1">
        <v>43179.729641203703</v>
      </c>
      <c r="F730" t="s">
        <v>18</v>
      </c>
      <c r="G730" t="s">
        <v>27</v>
      </c>
      <c r="H730" t="s">
        <v>20</v>
      </c>
      <c r="I730" t="s">
        <v>1796</v>
      </c>
      <c r="J730" t="s">
        <v>1796</v>
      </c>
      <c r="K730" t="s">
        <v>1796</v>
      </c>
      <c r="L730" t="s">
        <v>44</v>
      </c>
      <c r="M730">
        <v>0</v>
      </c>
      <c r="N730">
        <v>0</v>
      </c>
      <c r="O730" t="str">
        <f>_xlfn.XLOOKUP(olist_closed_deals_dataset[[#This Row],[mql_id]], leads!A:A, leads!D:D, "Unknow" )</f>
        <v>unknown</v>
      </c>
      <c r="P730" t="str">
        <f>IF(olist_closed_deals_dataset[[#This Row],[declared_monthly_revenue]] &gt;= 10000, "High Values ", IF(olist_closed_deals_dataset[[#This Row],[declared_monthly_revenue]] &gt; 0, "Stander ", "No Revenue " ))</f>
        <v xml:space="preserve">No Revenue </v>
      </c>
    </row>
    <row r="731" spans="1:16" x14ac:dyDescent="0.2">
      <c r="A731" t="s">
        <v>1568</v>
      </c>
      <c r="B731" t="s">
        <v>1569</v>
      </c>
      <c r="C731" t="s">
        <v>65</v>
      </c>
      <c r="D731" t="s">
        <v>17</v>
      </c>
      <c r="E731" s="1">
        <v>43201.517337962963</v>
      </c>
      <c r="F731" t="s">
        <v>61</v>
      </c>
      <c r="G731" t="s">
        <v>19</v>
      </c>
      <c r="H731" t="s">
        <v>20</v>
      </c>
      <c r="I731" t="s">
        <v>1796</v>
      </c>
      <c r="J731" t="s">
        <v>1796</v>
      </c>
      <c r="K731" t="s">
        <v>1796</v>
      </c>
      <c r="L731" t="s">
        <v>21</v>
      </c>
      <c r="M731">
        <v>0</v>
      </c>
      <c r="N731">
        <v>0</v>
      </c>
      <c r="O731" t="str">
        <f>_xlfn.XLOOKUP(olist_closed_deals_dataset[[#This Row],[mql_id]], leads!A:A, leads!D:D, "Unknow" )</f>
        <v>unknown</v>
      </c>
      <c r="P731" t="str">
        <f>IF(olist_closed_deals_dataset[[#This Row],[declared_monthly_revenue]] &gt;= 10000, "High Values ", IF(olist_closed_deals_dataset[[#This Row],[declared_monthly_revenue]] &gt; 0, "Stander ", "No Revenue " ))</f>
        <v xml:space="preserve">No Revenue </v>
      </c>
    </row>
    <row r="732" spans="1:16" x14ac:dyDescent="0.2">
      <c r="A732" t="s">
        <v>1570</v>
      </c>
      <c r="B732" t="s">
        <v>1571</v>
      </c>
      <c r="C732" t="s">
        <v>159</v>
      </c>
      <c r="D732" t="s">
        <v>52</v>
      </c>
      <c r="E732" s="1">
        <v>43235.722361111111</v>
      </c>
      <c r="F732" t="s">
        <v>68</v>
      </c>
      <c r="G732" t="s">
        <v>57</v>
      </c>
      <c r="H732" t="s">
        <v>28</v>
      </c>
      <c r="I732" t="s">
        <v>1796</v>
      </c>
      <c r="J732" t="s">
        <v>1796</v>
      </c>
      <c r="K732" t="s">
        <v>1796</v>
      </c>
      <c r="L732" t="s">
        <v>21</v>
      </c>
      <c r="M732">
        <v>0</v>
      </c>
      <c r="N732">
        <v>0</v>
      </c>
      <c r="O732" t="str">
        <f>_xlfn.XLOOKUP(olist_closed_deals_dataset[[#This Row],[mql_id]], leads!A:A, leads!D:D, "Unknow" )</f>
        <v>paid_search</v>
      </c>
      <c r="P732" t="str">
        <f>IF(olist_closed_deals_dataset[[#This Row],[declared_monthly_revenue]] &gt;= 10000, "High Values ", IF(olist_closed_deals_dataset[[#This Row],[declared_monthly_revenue]] &gt; 0, "Stander ", "No Revenue " ))</f>
        <v xml:space="preserve">No Revenue </v>
      </c>
    </row>
    <row r="733" spans="1:16" x14ac:dyDescent="0.2">
      <c r="A733" t="s">
        <v>1572</v>
      </c>
      <c r="B733" t="s">
        <v>1573</v>
      </c>
      <c r="C733" t="s">
        <v>24</v>
      </c>
      <c r="D733" t="s">
        <v>25</v>
      </c>
      <c r="E733" s="1">
        <v>43194.830625000002</v>
      </c>
      <c r="F733" t="s">
        <v>138</v>
      </c>
      <c r="G733" t="s">
        <v>19</v>
      </c>
      <c r="H733" t="s">
        <v>28</v>
      </c>
      <c r="I733" t="s">
        <v>1796</v>
      </c>
      <c r="J733" t="s">
        <v>1796</v>
      </c>
      <c r="K733" t="s">
        <v>1796</v>
      </c>
      <c r="L733" t="s">
        <v>21</v>
      </c>
      <c r="M733">
        <v>0</v>
      </c>
      <c r="N733">
        <v>0</v>
      </c>
      <c r="O733" t="str">
        <f>_xlfn.XLOOKUP(olist_closed_deals_dataset[[#This Row],[mql_id]], leads!A:A, leads!D:D, "Unknow" )</f>
        <v>organic_search</v>
      </c>
      <c r="P733" t="str">
        <f>IF(olist_closed_deals_dataset[[#This Row],[declared_monthly_revenue]] &gt;= 10000, "High Values ", IF(olist_closed_deals_dataset[[#This Row],[declared_monthly_revenue]] &gt; 0, "Stander ", "No Revenue " ))</f>
        <v xml:space="preserve">No Revenue </v>
      </c>
    </row>
    <row r="734" spans="1:16" x14ac:dyDescent="0.2">
      <c r="A734" t="s">
        <v>1574</v>
      </c>
      <c r="B734" t="s">
        <v>1575</v>
      </c>
      <c r="C734" t="s">
        <v>65</v>
      </c>
      <c r="D734" t="s">
        <v>52</v>
      </c>
      <c r="E734" s="1">
        <v>43215.876423611109</v>
      </c>
      <c r="F734" t="s">
        <v>103</v>
      </c>
      <c r="G734" t="s">
        <v>57</v>
      </c>
      <c r="H734" t="s">
        <v>20</v>
      </c>
      <c r="I734" t="s">
        <v>1796</v>
      </c>
      <c r="J734" t="s">
        <v>1796</v>
      </c>
      <c r="K734" t="s">
        <v>1796</v>
      </c>
      <c r="L734" t="s">
        <v>21</v>
      </c>
      <c r="M734">
        <v>0</v>
      </c>
      <c r="N734">
        <v>0</v>
      </c>
      <c r="O734" t="str">
        <f>_xlfn.XLOOKUP(olist_closed_deals_dataset[[#This Row],[mql_id]], leads!A:A, leads!D:D, "Unknow" )</f>
        <v>paid_search</v>
      </c>
      <c r="P734" t="str">
        <f>IF(olist_closed_deals_dataset[[#This Row],[declared_monthly_revenue]] &gt;= 10000, "High Values ", IF(olist_closed_deals_dataset[[#This Row],[declared_monthly_revenue]] &gt; 0, "Stander ", "No Revenue " ))</f>
        <v xml:space="preserve">No Revenue </v>
      </c>
    </row>
    <row r="735" spans="1:16" x14ac:dyDescent="0.2">
      <c r="A735" t="s">
        <v>1576</v>
      </c>
      <c r="B735" t="s">
        <v>1577</v>
      </c>
      <c r="C735" t="s">
        <v>71</v>
      </c>
      <c r="D735" t="s">
        <v>17</v>
      </c>
      <c r="E735" s="1">
        <v>43145.468194444446</v>
      </c>
      <c r="F735" t="s">
        <v>82</v>
      </c>
      <c r="G735" t="s">
        <v>57</v>
      </c>
      <c r="H735" t="s">
        <v>20</v>
      </c>
      <c r="I735" t="s">
        <v>1796</v>
      </c>
      <c r="J735" t="s">
        <v>1796</v>
      </c>
      <c r="K735" t="s">
        <v>1796</v>
      </c>
      <c r="L735" t="s">
        <v>21</v>
      </c>
      <c r="M735">
        <v>0</v>
      </c>
      <c r="N735">
        <v>0</v>
      </c>
      <c r="O735" t="str">
        <f>_xlfn.XLOOKUP(olist_closed_deals_dataset[[#This Row],[mql_id]], leads!A:A, leads!D:D, "Unknow" )</f>
        <v>unknown</v>
      </c>
      <c r="P735" t="str">
        <f>IF(olist_closed_deals_dataset[[#This Row],[declared_monthly_revenue]] &gt;= 10000, "High Values ", IF(olist_closed_deals_dataset[[#This Row],[declared_monthly_revenue]] &gt; 0, "Stander ", "No Revenue " ))</f>
        <v xml:space="preserve">No Revenue </v>
      </c>
    </row>
    <row r="736" spans="1:16" x14ac:dyDescent="0.2">
      <c r="A736" t="s">
        <v>1578</v>
      </c>
      <c r="B736" t="s">
        <v>1579</v>
      </c>
      <c r="C736" t="s">
        <v>42</v>
      </c>
      <c r="D736" t="s">
        <v>89</v>
      </c>
      <c r="E736" s="1">
        <v>43166.623692129629</v>
      </c>
      <c r="F736" t="s">
        <v>38</v>
      </c>
      <c r="G736" t="s">
        <v>27</v>
      </c>
      <c r="H736" t="s">
        <v>43</v>
      </c>
      <c r="I736" t="s">
        <v>1796</v>
      </c>
      <c r="J736" t="s">
        <v>1796</v>
      </c>
      <c r="K736" t="s">
        <v>1796</v>
      </c>
      <c r="L736" t="s">
        <v>44</v>
      </c>
      <c r="M736">
        <v>0</v>
      </c>
      <c r="N736">
        <v>0</v>
      </c>
      <c r="O736" t="str">
        <f>_xlfn.XLOOKUP(olist_closed_deals_dataset[[#This Row],[mql_id]], leads!A:A, leads!D:D, "Unknow" )</f>
        <v>Unknow</v>
      </c>
      <c r="P736" t="str">
        <f>IF(olist_closed_deals_dataset[[#This Row],[declared_monthly_revenue]] &gt;= 10000, "High Values ", IF(olist_closed_deals_dataset[[#This Row],[declared_monthly_revenue]] &gt; 0, "Stander ", "No Revenue " ))</f>
        <v xml:space="preserve">No Revenue </v>
      </c>
    </row>
    <row r="737" spans="1:16" x14ac:dyDescent="0.2">
      <c r="A737" t="s">
        <v>1580</v>
      </c>
      <c r="B737" t="s">
        <v>1581</v>
      </c>
      <c r="C737" t="s">
        <v>42</v>
      </c>
      <c r="D737" t="s">
        <v>71</v>
      </c>
      <c r="E737" s="1">
        <v>43229.600648148145</v>
      </c>
      <c r="F737" t="s">
        <v>61</v>
      </c>
      <c r="G737" t="s">
        <v>19</v>
      </c>
      <c r="H737" t="s">
        <v>20</v>
      </c>
      <c r="I737" t="s">
        <v>1796</v>
      </c>
      <c r="J737" t="s">
        <v>1796</v>
      </c>
      <c r="K737" t="s">
        <v>1796</v>
      </c>
      <c r="L737" t="s">
        <v>44</v>
      </c>
      <c r="M737">
        <v>0</v>
      </c>
      <c r="N737">
        <v>0</v>
      </c>
      <c r="O737" t="str">
        <f>_xlfn.XLOOKUP(olist_closed_deals_dataset[[#This Row],[mql_id]], leads!A:A, leads!D:D, "Unknow" )</f>
        <v>paid_search</v>
      </c>
      <c r="P737" t="str">
        <f>IF(olist_closed_deals_dataset[[#This Row],[declared_monthly_revenue]] &gt;= 10000, "High Values ", IF(olist_closed_deals_dataset[[#This Row],[declared_monthly_revenue]] &gt; 0, "Stander ", "No Revenue " ))</f>
        <v xml:space="preserve">No Revenue </v>
      </c>
    </row>
    <row r="738" spans="1:16" x14ac:dyDescent="0.2">
      <c r="A738" t="s">
        <v>1582</v>
      </c>
      <c r="B738" t="s">
        <v>1583</v>
      </c>
      <c r="C738" t="s">
        <v>81</v>
      </c>
      <c r="D738" t="s">
        <v>95</v>
      </c>
      <c r="E738" s="1">
        <v>43168.749745370369</v>
      </c>
      <c r="F738" t="s">
        <v>68</v>
      </c>
      <c r="G738" t="s">
        <v>19</v>
      </c>
      <c r="H738" t="s">
        <v>20</v>
      </c>
      <c r="I738" t="s">
        <v>1796</v>
      </c>
      <c r="J738" t="s">
        <v>1796</v>
      </c>
      <c r="K738" t="s">
        <v>1796</v>
      </c>
      <c r="L738" t="s">
        <v>21</v>
      </c>
      <c r="M738">
        <v>0</v>
      </c>
      <c r="N738">
        <v>0</v>
      </c>
      <c r="O738" t="str">
        <f>_xlfn.XLOOKUP(olist_closed_deals_dataset[[#This Row],[mql_id]], leads!A:A, leads!D:D, "Unknow" )</f>
        <v>direct_traffic</v>
      </c>
      <c r="P738" t="str">
        <f>IF(olist_closed_deals_dataset[[#This Row],[declared_monthly_revenue]] &gt;= 10000, "High Values ", IF(olist_closed_deals_dataset[[#This Row],[declared_monthly_revenue]] &gt; 0, "Stander ", "No Revenue " ))</f>
        <v xml:space="preserve">No Revenue </v>
      </c>
    </row>
    <row r="739" spans="1:16" x14ac:dyDescent="0.2">
      <c r="A739" t="s">
        <v>1584</v>
      </c>
      <c r="B739" t="s">
        <v>1585</v>
      </c>
      <c r="C739" t="s">
        <v>159</v>
      </c>
      <c r="D739" t="s">
        <v>32</v>
      </c>
      <c r="E739" s="1">
        <v>43319.720462962963</v>
      </c>
      <c r="F739" t="s">
        <v>61</v>
      </c>
      <c r="G739" t="s">
        <v>19</v>
      </c>
      <c r="H739" t="s">
        <v>20</v>
      </c>
      <c r="I739" t="b">
        <v>1</v>
      </c>
      <c r="J739" t="b">
        <v>1</v>
      </c>
      <c r="K739" t="s">
        <v>199</v>
      </c>
      <c r="L739" t="s">
        <v>21</v>
      </c>
      <c r="M739">
        <v>0</v>
      </c>
      <c r="N739">
        <v>0</v>
      </c>
      <c r="O739" t="str">
        <f>_xlfn.XLOOKUP(olist_closed_deals_dataset[[#This Row],[mql_id]], leads!A:A, leads!D:D, "Unknow" )</f>
        <v>organic_search</v>
      </c>
      <c r="P739" t="str">
        <f>IF(olist_closed_deals_dataset[[#This Row],[declared_monthly_revenue]] &gt;= 10000, "High Values ", IF(olist_closed_deals_dataset[[#This Row],[declared_monthly_revenue]] &gt; 0, "Stander ", "No Revenue " ))</f>
        <v xml:space="preserve">No Revenue </v>
      </c>
    </row>
    <row r="740" spans="1:16" x14ac:dyDescent="0.2">
      <c r="A740" t="s">
        <v>1586</v>
      </c>
      <c r="B740" t="s">
        <v>1587</v>
      </c>
      <c r="C740" t="s">
        <v>42</v>
      </c>
      <c r="D740" t="s">
        <v>89</v>
      </c>
      <c r="E740" s="1">
        <v>43202.582048611112</v>
      </c>
      <c r="F740" t="s">
        <v>186</v>
      </c>
      <c r="G740" t="s">
        <v>112</v>
      </c>
      <c r="H740" t="s">
        <v>20</v>
      </c>
      <c r="I740" t="s">
        <v>1796</v>
      </c>
      <c r="J740" t="s">
        <v>1796</v>
      </c>
      <c r="K740" t="s">
        <v>1796</v>
      </c>
      <c r="L740" t="s">
        <v>21</v>
      </c>
      <c r="M740">
        <v>0</v>
      </c>
      <c r="N740">
        <v>0</v>
      </c>
      <c r="O740" t="str">
        <f>_xlfn.XLOOKUP(olist_closed_deals_dataset[[#This Row],[mql_id]], leads!A:A, leads!D:D, "Unknow" )</f>
        <v>organic_search</v>
      </c>
      <c r="P740" t="str">
        <f>IF(olist_closed_deals_dataset[[#This Row],[declared_monthly_revenue]] &gt;= 10000, "High Values ", IF(olist_closed_deals_dataset[[#This Row],[declared_monthly_revenue]] &gt; 0, "Stander ", "No Revenue " ))</f>
        <v xml:space="preserve">No Revenue </v>
      </c>
    </row>
    <row r="741" spans="1:16" x14ac:dyDescent="0.2">
      <c r="A741" t="s">
        <v>1588</v>
      </c>
      <c r="B741" t="s">
        <v>1589</v>
      </c>
      <c r="C741" t="s">
        <v>16</v>
      </c>
      <c r="D741" t="s">
        <v>17</v>
      </c>
      <c r="E741" s="1">
        <v>43213.847175925926</v>
      </c>
      <c r="F741" t="s">
        <v>61</v>
      </c>
      <c r="G741" t="s">
        <v>19</v>
      </c>
      <c r="H741" t="s">
        <v>20</v>
      </c>
      <c r="I741" t="s">
        <v>1796</v>
      </c>
      <c r="J741" t="s">
        <v>1796</v>
      </c>
      <c r="K741" t="s">
        <v>1796</v>
      </c>
      <c r="L741" t="s">
        <v>44</v>
      </c>
      <c r="M741">
        <v>0</v>
      </c>
      <c r="N741">
        <v>0</v>
      </c>
      <c r="O741" t="str">
        <f>_xlfn.XLOOKUP(olist_closed_deals_dataset[[#This Row],[mql_id]], leads!A:A, leads!D:D, "Unknow" )</f>
        <v>organic_search</v>
      </c>
      <c r="P741" t="str">
        <f>IF(olist_closed_deals_dataset[[#This Row],[declared_monthly_revenue]] &gt;= 10000, "High Values ", IF(olist_closed_deals_dataset[[#This Row],[declared_monthly_revenue]] &gt; 0, "Stander ", "No Revenue " ))</f>
        <v xml:space="preserve">No Revenue </v>
      </c>
    </row>
    <row r="742" spans="1:16" x14ac:dyDescent="0.2">
      <c r="A742" t="s">
        <v>1590</v>
      </c>
      <c r="B742" t="s">
        <v>1591</v>
      </c>
      <c r="C742" t="s">
        <v>42</v>
      </c>
      <c r="D742" t="s">
        <v>25</v>
      </c>
      <c r="E742" s="1">
        <v>43146.475601851853</v>
      </c>
      <c r="F742" t="s">
        <v>53</v>
      </c>
      <c r="G742" t="s">
        <v>27</v>
      </c>
      <c r="H742" t="s">
        <v>1796</v>
      </c>
      <c r="I742" t="s">
        <v>1796</v>
      </c>
      <c r="J742" t="s">
        <v>1796</v>
      </c>
      <c r="K742" t="s">
        <v>1796</v>
      </c>
      <c r="L742" t="s">
        <v>21</v>
      </c>
      <c r="M742">
        <v>0</v>
      </c>
      <c r="N742">
        <v>0</v>
      </c>
      <c r="O742" t="str">
        <f>_xlfn.XLOOKUP(olist_closed_deals_dataset[[#This Row],[mql_id]], leads!A:A, leads!D:D, "Unknow" )</f>
        <v>paid_search</v>
      </c>
      <c r="P742" t="str">
        <f>IF(olist_closed_deals_dataset[[#This Row],[declared_monthly_revenue]] &gt;= 10000, "High Values ", IF(olist_closed_deals_dataset[[#This Row],[declared_monthly_revenue]] &gt; 0, "Stander ", "No Revenue " ))</f>
        <v xml:space="preserve">No Revenue </v>
      </c>
    </row>
    <row r="743" spans="1:16" x14ac:dyDescent="0.2">
      <c r="A743" t="s">
        <v>1592</v>
      </c>
      <c r="B743" t="s">
        <v>1593</v>
      </c>
      <c r="C743" t="s">
        <v>37</v>
      </c>
      <c r="D743" t="s">
        <v>17</v>
      </c>
      <c r="E743" s="1">
        <v>43140.650787037041</v>
      </c>
      <c r="F743" t="s">
        <v>49</v>
      </c>
      <c r="G743" t="s">
        <v>57</v>
      </c>
      <c r="H743" t="s">
        <v>1796</v>
      </c>
      <c r="I743" t="s">
        <v>1796</v>
      </c>
      <c r="J743" t="s">
        <v>1796</v>
      </c>
      <c r="K743" t="s">
        <v>1796</v>
      </c>
      <c r="L743" t="s">
        <v>44</v>
      </c>
      <c r="M743">
        <v>0</v>
      </c>
      <c r="N743">
        <v>0</v>
      </c>
      <c r="O743" t="str">
        <f>_xlfn.XLOOKUP(olist_closed_deals_dataset[[#This Row],[mql_id]], leads!A:A, leads!D:D, "Unknow" )</f>
        <v>organic_search</v>
      </c>
      <c r="P743" t="str">
        <f>IF(olist_closed_deals_dataset[[#This Row],[declared_monthly_revenue]] &gt;= 10000, "High Values ", IF(olist_closed_deals_dataset[[#This Row],[declared_monthly_revenue]] &gt; 0, "Stander ", "No Revenue " ))</f>
        <v xml:space="preserve">No Revenue </v>
      </c>
    </row>
    <row r="744" spans="1:16" x14ac:dyDescent="0.2">
      <c r="A744" t="s">
        <v>1594</v>
      </c>
      <c r="B744" t="s">
        <v>1595</v>
      </c>
      <c r="C744" t="s">
        <v>64</v>
      </c>
      <c r="D744" t="s">
        <v>95</v>
      </c>
      <c r="E744" s="1">
        <v>43220.670891203707</v>
      </c>
      <c r="F744" t="s">
        <v>26</v>
      </c>
      <c r="G744" t="s">
        <v>19</v>
      </c>
      <c r="H744" t="s">
        <v>28</v>
      </c>
      <c r="I744" t="s">
        <v>1796</v>
      </c>
      <c r="J744" t="s">
        <v>1796</v>
      </c>
      <c r="K744" t="s">
        <v>1796</v>
      </c>
      <c r="L744" t="s">
        <v>21</v>
      </c>
      <c r="M744">
        <v>0</v>
      </c>
      <c r="N744">
        <v>0</v>
      </c>
      <c r="O744" t="str">
        <f>_xlfn.XLOOKUP(olist_closed_deals_dataset[[#This Row],[mql_id]], leads!A:A, leads!D:D, "Unknow" )</f>
        <v>unknown</v>
      </c>
      <c r="P744" t="str">
        <f>IF(olist_closed_deals_dataset[[#This Row],[declared_monthly_revenue]] &gt;= 10000, "High Values ", IF(olist_closed_deals_dataset[[#This Row],[declared_monthly_revenue]] &gt; 0, "Stander ", "No Revenue " ))</f>
        <v xml:space="preserve">No Revenue </v>
      </c>
    </row>
    <row r="745" spans="1:16" x14ac:dyDescent="0.2">
      <c r="A745" t="s">
        <v>1596</v>
      </c>
      <c r="B745" t="s">
        <v>1597</v>
      </c>
      <c r="C745" t="s">
        <v>31</v>
      </c>
      <c r="D745" t="s">
        <v>17</v>
      </c>
      <c r="E745" s="1">
        <v>43262.876331018517</v>
      </c>
      <c r="F745" t="s">
        <v>49</v>
      </c>
      <c r="G745" t="s">
        <v>34</v>
      </c>
      <c r="H745" t="s">
        <v>20</v>
      </c>
      <c r="I745" t="s">
        <v>1796</v>
      </c>
      <c r="J745" t="s">
        <v>1796</v>
      </c>
      <c r="K745" t="s">
        <v>1796</v>
      </c>
      <c r="L745" t="s">
        <v>21</v>
      </c>
      <c r="M745">
        <v>0</v>
      </c>
      <c r="N745">
        <v>0</v>
      </c>
      <c r="O745" t="str">
        <f>_xlfn.XLOOKUP(olist_closed_deals_dataset[[#This Row],[mql_id]], leads!A:A, leads!D:D, "Unknow" )</f>
        <v>Unknow</v>
      </c>
      <c r="P745" t="str">
        <f>IF(olist_closed_deals_dataset[[#This Row],[declared_monthly_revenue]] &gt;= 10000, "High Values ", IF(olist_closed_deals_dataset[[#This Row],[declared_monthly_revenue]] &gt; 0, "Stander ", "No Revenue " ))</f>
        <v xml:space="preserve">No Revenue </v>
      </c>
    </row>
    <row r="746" spans="1:16" x14ac:dyDescent="0.2">
      <c r="A746" t="s">
        <v>1598</v>
      </c>
      <c r="B746" t="s">
        <v>1599</v>
      </c>
      <c r="C746" t="s">
        <v>42</v>
      </c>
      <c r="D746" t="s">
        <v>71</v>
      </c>
      <c r="E746" s="1">
        <v>43326.616712962961</v>
      </c>
      <c r="F746" t="s">
        <v>96</v>
      </c>
      <c r="G746" t="s">
        <v>27</v>
      </c>
      <c r="H746" t="s">
        <v>43</v>
      </c>
      <c r="I746" t="b">
        <v>1</v>
      </c>
      <c r="J746" t="b">
        <v>1</v>
      </c>
      <c r="K746" t="s">
        <v>1796</v>
      </c>
      <c r="L746" t="s">
        <v>44</v>
      </c>
      <c r="M746">
        <v>100</v>
      </c>
      <c r="N746">
        <v>0</v>
      </c>
      <c r="O746" t="str">
        <f>_xlfn.XLOOKUP(olist_closed_deals_dataset[[#This Row],[mql_id]], leads!A:A, leads!D:D, "Unknow" )</f>
        <v>paid_search</v>
      </c>
      <c r="P746" t="str">
        <f>IF(olist_closed_deals_dataset[[#This Row],[declared_monthly_revenue]] &gt;= 10000, "High Values ", IF(olist_closed_deals_dataset[[#This Row],[declared_monthly_revenue]] &gt; 0, "Stander ", "No Revenue " ))</f>
        <v xml:space="preserve">No Revenue </v>
      </c>
    </row>
    <row r="747" spans="1:16" x14ac:dyDescent="0.2">
      <c r="A747" t="s">
        <v>1600</v>
      </c>
      <c r="B747" t="s">
        <v>1601</v>
      </c>
      <c r="C747" t="s">
        <v>1249</v>
      </c>
      <c r="D747" t="s">
        <v>81</v>
      </c>
      <c r="E747" s="1">
        <v>43329.125</v>
      </c>
      <c r="F747" t="s">
        <v>138</v>
      </c>
      <c r="G747" t="s">
        <v>19</v>
      </c>
      <c r="H747" t="s">
        <v>20</v>
      </c>
      <c r="I747" t="b">
        <v>1</v>
      </c>
      <c r="J747" t="s">
        <v>1796</v>
      </c>
      <c r="K747" t="s">
        <v>142</v>
      </c>
      <c r="L747" t="s">
        <v>21</v>
      </c>
      <c r="M747">
        <v>2</v>
      </c>
      <c r="N747">
        <v>20000</v>
      </c>
      <c r="O747" t="str">
        <f>_xlfn.XLOOKUP(olist_closed_deals_dataset[[#This Row],[mql_id]], leads!A:A, leads!D:D, "Unknow" )</f>
        <v>paid_search</v>
      </c>
      <c r="P747" t="str">
        <f>IF(olist_closed_deals_dataset[[#This Row],[declared_monthly_revenue]] &gt;= 10000, "High Values ", IF(olist_closed_deals_dataset[[#This Row],[declared_monthly_revenue]] &gt; 0, "Stander ", "No Revenue " ))</f>
        <v xml:space="preserve">High Values </v>
      </c>
    </row>
    <row r="748" spans="1:16" x14ac:dyDescent="0.2">
      <c r="A748" t="s">
        <v>1602</v>
      </c>
      <c r="B748" t="s">
        <v>1603</v>
      </c>
      <c r="C748" t="s">
        <v>127</v>
      </c>
      <c r="D748" t="s">
        <v>17</v>
      </c>
      <c r="E748" s="1">
        <v>43203.868900462963</v>
      </c>
      <c r="F748" t="s">
        <v>96</v>
      </c>
      <c r="G748" t="s">
        <v>34</v>
      </c>
      <c r="H748" t="s">
        <v>20</v>
      </c>
      <c r="I748" t="s">
        <v>1796</v>
      </c>
      <c r="J748" t="s">
        <v>1796</v>
      </c>
      <c r="K748" t="s">
        <v>1796</v>
      </c>
      <c r="L748" t="s">
        <v>44</v>
      </c>
      <c r="M748">
        <v>0</v>
      </c>
      <c r="N748">
        <v>0</v>
      </c>
      <c r="O748" t="str">
        <f>_xlfn.XLOOKUP(olist_closed_deals_dataset[[#This Row],[mql_id]], leads!A:A, leads!D:D, "Unknow" )</f>
        <v>paid_search</v>
      </c>
      <c r="P748" t="str">
        <f>IF(olist_closed_deals_dataset[[#This Row],[declared_monthly_revenue]] &gt;= 10000, "High Values ", IF(olist_closed_deals_dataset[[#This Row],[declared_monthly_revenue]] &gt; 0, "Stander ", "No Revenue " ))</f>
        <v xml:space="preserve">No Revenue </v>
      </c>
    </row>
    <row r="749" spans="1:16" x14ac:dyDescent="0.2">
      <c r="A749" t="s">
        <v>1604</v>
      </c>
      <c r="B749" t="s">
        <v>1605</v>
      </c>
      <c r="C749" t="s">
        <v>24</v>
      </c>
      <c r="D749" t="s">
        <v>95</v>
      </c>
      <c r="E749" s="1">
        <v>43228.894571759258</v>
      </c>
      <c r="F749" t="s">
        <v>18</v>
      </c>
      <c r="G749" t="s">
        <v>19</v>
      </c>
      <c r="H749" t="s">
        <v>122</v>
      </c>
      <c r="I749" t="s">
        <v>1796</v>
      </c>
      <c r="J749" t="s">
        <v>1796</v>
      </c>
      <c r="K749" t="s">
        <v>1796</v>
      </c>
      <c r="L749" t="s">
        <v>21</v>
      </c>
      <c r="M749">
        <v>0</v>
      </c>
      <c r="N749">
        <v>0</v>
      </c>
      <c r="O749" t="str">
        <f>_xlfn.XLOOKUP(olist_closed_deals_dataset[[#This Row],[mql_id]], leads!A:A, leads!D:D, "Unknow" )</f>
        <v>social</v>
      </c>
      <c r="P749" t="str">
        <f>IF(olist_closed_deals_dataset[[#This Row],[declared_monthly_revenue]] &gt;= 10000, "High Values ", IF(olist_closed_deals_dataset[[#This Row],[declared_monthly_revenue]] &gt; 0, "Stander ", "No Revenue " ))</f>
        <v xml:space="preserve">No Revenue </v>
      </c>
    </row>
    <row r="750" spans="1:16" x14ac:dyDescent="0.2">
      <c r="A750" t="s">
        <v>1606</v>
      </c>
      <c r="B750" t="s">
        <v>1607</v>
      </c>
      <c r="C750" t="s">
        <v>37</v>
      </c>
      <c r="D750" t="s">
        <v>25</v>
      </c>
      <c r="E750" s="1">
        <v>43173.600266203706</v>
      </c>
      <c r="F750" t="s">
        <v>61</v>
      </c>
      <c r="G750" t="s">
        <v>27</v>
      </c>
      <c r="H750" t="s">
        <v>28</v>
      </c>
      <c r="I750" t="s">
        <v>1796</v>
      </c>
      <c r="J750" t="s">
        <v>1796</v>
      </c>
      <c r="K750" t="s">
        <v>1796</v>
      </c>
      <c r="L750" t="s">
        <v>21</v>
      </c>
      <c r="M750">
        <v>0</v>
      </c>
      <c r="N750">
        <v>0</v>
      </c>
      <c r="O750" t="str">
        <f>_xlfn.XLOOKUP(olist_closed_deals_dataset[[#This Row],[mql_id]], leads!A:A, leads!D:D, "Unknow" )</f>
        <v>organic_search</v>
      </c>
      <c r="P750" t="str">
        <f>IF(olist_closed_deals_dataset[[#This Row],[declared_monthly_revenue]] &gt;= 10000, "High Values ", IF(olist_closed_deals_dataset[[#This Row],[declared_monthly_revenue]] &gt; 0, "Stander ", "No Revenue " ))</f>
        <v xml:space="preserve">No Revenue </v>
      </c>
    </row>
    <row r="751" spans="1:16" x14ac:dyDescent="0.2">
      <c r="A751" t="s">
        <v>1608</v>
      </c>
      <c r="B751" t="s">
        <v>1609</v>
      </c>
      <c r="C751" t="s">
        <v>81</v>
      </c>
      <c r="D751" t="s">
        <v>95</v>
      </c>
      <c r="E751" s="1">
        <v>43210.745266203703</v>
      </c>
      <c r="F751" t="s">
        <v>49</v>
      </c>
      <c r="G751" t="s">
        <v>27</v>
      </c>
      <c r="H751" t="s">
        <v>20</v>
      </c>
      <c r="I751" t="s">
        <v>1796</v>
      </c>
      <c r="J751" t="s">
        <v>1796</v>
      </c>
      <c r="K751" t="s">
        <v>1796</v>
      </c>
      <c r="L751" t="s">
        <v>21</v>
      </c>
      <c r="M751">
        <v>0</v>
      </c>
      <c r="N751">
        <v>0</v>
      </c>
      <c r="O751" t="str">
        <f>_xlfn.XLOOKUP(olist_closed_deals_dataset[[#This Row],[mql_id]], leads!A:A, leads!D:D, "Unknow" )</f>
        <v>unknown</v>
      </c>
      <c r="P751" t="str">
        <f>IF(olist_closed_deals_dataset[[#This Row],[declared_monthly_revenue]] &gt;= 10000, "High Values ", IF(olist_closed_deals_dataset[[#This Row],[declared_monthly_revenue]] &gt; 0, "Stander ", "No Revenue " ))</f>
        <v xml:space="preserve">No Revenue </v>
      </c>
    </row>
    <row r="752" spans="1:16" x14ac:dyDescent="0.2">
      <c r="A752" t="s">
        <v>1610</v>
      </c>
      <c r="B752" t="s">
        <v>1611</v>
      </c>
      <c r="C752" t="s">
        <v>127</v>
      </c>
      <c r="D752" t="s">
        <v>56</v>
      </c>
      <c r="E752" s="1">
        <v>43307.677465277775</v>
      </c>
      <c r="F752" t="s">
        <v>26</v>
      </c>
      <c r="G752" t="s">
        <v>19</v>
      </c>
      <c r="H752" t="s">
        <v>20</v>
      </c>
      <c r="I752" t="s">
        <v>1796</v>
      </c>
      <c r="J752" t="s">
        <v>1796</v>
      </c>
      <c r="K752" t="s">
        <v>1796</v>
      </c>
      <c r="L752" t="s">
        <v>21</v>
      </c>
      <c r="M752">
        <v>0</v>
      </c>
      <c r="N752">
        <v>0</v>
      </c>
      <c r="O752" t="str">
        <f>_xlfn.XLOOKUP(olist_closed_deals_dataset[[#This Row],[mql_id]], leads!A:A, leads!D:D, "Unknow" )</f>
        <v>organic_search</v>
      </c>
      <c r="P752" t="str">
        <f>IF(olist_closed_deals_dataset[[#This Row],[declared_monthly_revenue]] &gt;= 10000, "High Values ", IF(olist_closed_deals_dataset[[#This Row],[declared_monthly_revenue]] &gt; 0, "Stander ", "No Revenue " ))</f>
        <v xml:space="preserve">No Revenue </v>
      </c>
    </row>
    <row r="753" spans="1:16" x14ac:dyDescent="0.2">
      <c r="A753" t="s">
        <v>1612</v>
      </c>
      <c r="B753" t="s">
        <v>1613</v>
      </c>
      <c r="C753" t="s">
        <v>42</v>
      </c>
      <c r="D753" t="s">
        <v>95</v>
      </c>
      <c r="E753" s="1">
        <v>43220.790011574078</v>
      </c>
      <c r="F753" t="s">
        <v>138</v>
      </c>
      <c r="G753" t="s">
        <v>34</v>
      </c>
      <c r="H753" t="s">
        <v>20</v>
      </c>
      <c r="I753" t="s">
        <v>1796</v>
      </c>
      <c r="J753" t="s">
        <v>1796</v>
      </c>
      <c r="K753" t="s">
        <v>1796</v>
      </c>
      <c r="L753" t="s">
        <v>21</v>
      </c>
      <c r="M753">
        <v>0</v>
      </c>
      <c r="N753">
        <v>0</v>
      </c>
      <c r="O753" t="str">
        <f>_xlfn.XLOOKUP(olist_closed_deals_dataset[[#This Row],[mql_id]], leads!A:A, leads!D:D, "Unknow" )</f>
        <v>Unknow</v>
      </c>
      <c r="P753" t="str">
        <f>IF(olist_closed_deals_dataset[[#This Row],[declared_monthly_revenue]] &gt;= 10000, "High Values ", IF(olist_closed_deals_dataset[[#This Row],[declared_monthly_revenue]] &gt; 0, "Stander ", "No Revenue " ))</f>
        <v xml:space="preserve">No Revenue </v>
      </c>
    </row>
    <row r="754" spans="1:16" x14ac:dyDescent="0.2">
      <c r="A754" t="s">
        <v>1614</v>
      </c>
      <c r="B754" t="s">
        <v>1615</v>
      </c>
      <c r="C754" t="s">
        <v>56</v>
      </c>
      <c r="D754" t="s">
        <v>17</v>
      </c>
      <c r="E754" s="1">
        <v>43279.523495370369</v>
      </c>
      <c r="F754" t="s">
        <v>186</v>
      </c>
      <c r="G754" t="s">
        <v>57</v>
      </c>
      <c r="H754" t="s">
        <v>28</v>
      </c>
      <c r="I754" t="s">
        <v>1796</v>
      </c>
      <c r="J754" t="s">
        <v>1796</v>
      </c>
      <c r="K754" t="s">
        <v>1796</v>
      </c>
      <c r="L754" t="s">
        <v>44</v>
      </c>
      <c r="M754">
        <v>0</v>
      </c>
      <c r="N754">
        <v>0</v>
      </c>
      <c r="O754" t="str">
        <f>_xlfn.XLOOKUP(olist_closed_deals_dataset[[#This Row],[mql_id]], leads!A:A, leads!D:D, "Unknow" )</f>
        <v>social</v>
      </c>
      <c r="P754" t="str">
        <f>IF(olist_closed_deals_dataset[[#This Row],[declared_monthly_revenue]] &gt;= 10000, "High Values ", IF(olist_closed_deals_dataset[[#This Row],[declared_monthly_revenue]] &gt; 0, "Stander ", "No Revenue " ))</f>
        <v xml:space="preserve">No Revenue </v>
      </c>
    </row>
    <row r="755" spans="1:16" x14ac:dyDescent="0.2">
      <c r="A755" t="s">
        <v>1616</v>
      </c>
      <c r="B755" t="s">
        <v>1617</v>
      </c>
      <c r="C755" t="s">
        <v>24</v>
      </c>
      <c r="D755" t="s">
        <v>25</v>
      </c>
      <c r="E755" s="1">
        <v>43229.899976851855</v>
      </c>
      <c r="F755" t="s">
        <v>18</v>
      </c>
      <c r="G755" t="s">
        <v>99</v>
      </c>
      <c r="H755" t="s">
        <v>20</v>
      </c>
      <c r="I755" t="s">
        <v>1796</v>
      </c>
      <c r="J755" t="s">
        <v>1796</v>
      </c>
      <c r="K755" t="s">
        <v>1796</v>
      </c>
      <c r="L755" t="s">
        <v>44</v>
      </c>
      <c r="M755">
        <v>0</v>
      </c>
      <c r="N755">
        <v>0</v>
      </c>
      <c r="O755" t="str">
        <f>_xlfn.XLOOKUP(olist_closed_deals_dataset[[#This Row],[mql_id]], leads!A:A, leads!D:D, "Unknow" )</f>
        <v>unknown</v>
      </c>
      <c r="P755" t="str">
        <f>IF(olist_closed_deals_dataset[[#This Row],[declared_monthly_revenue]] &gt;= 10000, "High Values ", IF(olist_closed_deals_dataset[[#This Row],[declared_monthly_revenue]] &gt; 0, "Stander ", "No Revenue " ))</f>
        <v xml:space="preserve">No Revenue </v>
      </c>
    </row>
    <row r="756" spans="1:16" x14ac:dyDescent="0.2">
      <c r="A756" t="s">
        <v>1618</v>
      </c>
      <c r="B756" t="s">
        <v>1619</v>
      </c>
      <c r="C756" t="s">
        <v>224</v>
      </c>
      <c r="D756" t="s">
        <v>64</v>
      </c>
      <c r="E756" s="1">
        <v>43319.514652777776</v>
      </c>
      <c r="F756" t="s">
        <v>96</v>
      </c>
      <c r="G756" t="s">
        <v>19</v>
      </c>
      <c r="H756" t="s">
        <v>43</v>
      </c>
      <c r="I756" t="b">
        <v>1</v>
      </c>
      <c r="J756" t="b">
        <v>0</v>
      </c>
      <c r="K756" t="s">
        <v>199</v>
      </c>
      <c r="L756" t="s">
        <v>44</v>
      </c>
      <c r="M756">
        <v>0</v>
      </c>
      <c r="N756">
        <v>0</v>
      </c>
      <c r="O756" t="str">
        <f>_xlfn.XLOOKUP(olist_closed_deals_dataset[[#This Row],[mql_id]], leads!A:A, leads!D:D, "Unknow" )</f>
        <v>paid_search</v>
      </c>
      <c r="P756" t="str">
        <f>IF(olist_closed_deals_dataset[[#This Row],[declared_monthly_revenue]] &gt;= 10000, "High Values ", IF(olist_closed_deals_dataset[[#This Row],[declared_monthly_revenue]] &gt; 0, "Stander ", "No Revenue " ))</f>
        <v xml:space="preserve">No Revenue </v>
      </c>
    </row>
    <row r="757" spans="1:16" x14ac:dyDescent="0.2">
      <c r="A757" t="s">
        <v>1620</v>
      </c>
      <c r="B757" t="s">
        <v>1621</v>
      </c>
      <c r="C757" t="s">
        <v>71</v>
      </c>
      <c r="D757" t="s">
        <v>25</v>
      </c>
      <c r="E757" s="1">
        <v>43353.756944444445</v>
      </c>
      <c r="F757" t="s">
        <v>96</v>
      </c>
      <c r="G757" t="s">
        <v>34</v>
      </c>
      <c r="H757" t="s">
        <v>43</v>
      </c>
      <c r="I757" t="b">
        <v>1</v>
      </c>
      <c r="J757" t="b">
        <v>1</v>
      </c>
      <c r="K757" t="s">
        <v>199</v>
      </c>
      <c r="L757" t="s">
        <v>44</v>
      </c>
      <c r="M757">
        <v>550</v>
      </c>
      <c r="N757">
        <v>120000</v>
      </c>
      <c r="O757" t="str">
        <f>_xlfn.XLOOKUP(olist_closed_deals_dataset[[#This Row],[mql_id]], leads!A:A, leads!D:D, "Unknow" )</f>
        <v>organic_search</v>
      </c>
      <c r="P757" t="str">
        <f>IF(olist_closed_deals_dataset[[#This Row],[declared_monthly_revenue]] &gt;= 10000, "High Values ", IF(olist_closed_deals_dataset[[#This Row],[declared_monthly_revenue]] &gt; 0, "Stander ", "No Revenue " ))</f>
        <v xml:space="preserve">High Values </v>
      </c>
    </row>
    <row r="758" spans="1:16" x14ac:dyDescent="0.2">
      <c r="A758" t="s">
        <v>1622</v>
      </c>
      <c r="B758" t="s">
        <v>1623</v>
      </c>
      <c r="C758" t="s">
        <v>81</v>
      </c>
      <c r="D758" t="s">
        <v>48</v>
      </c>
      <c r="E758" s="1">
        <v>43119.476840277777</v>
      </c>
      <c r="F758" t="s">
        <v>49</v>
      </c>
      <c r="G758" t="s">
        <v>19</v>
      </c>
      <c r="H758" t="s">
        <v>1796</v>
      </c>
      <c r="I758" t="s">
        <v>1796</v>
      </c>
      <c r="J758" t="s">
        <v>1796</v>
      </c>
      <c r="K758" t="s">
        <v>1796</v>
      </c>
      <c r="L758" t="s">
        <v>21</v>
      </c>
      <c r="M758">
        <v>0</v>
      </c>
      <c r="N758">
        <v>0</v>
      </c>
      <c r="O758" t="str">
        <f>_xlfn.XLOOKUP(olist_closed_deals_dataset[[#This Row],[mql_id]], leads!A:A, leads!D:D, "Unknow" )</f>
        <v>direct_traffic</v>
      </c>
      <c r="P758" t="str">
        <f>IF(olist_closed_deals_dataset[[#This Row],[declared_monthly_revenue]] &gt;= 10000, "High Values ", IF(olist_closed_deals_dataset[[#This Row],[declared_monthly_revenue]] &gt; 0, "Stander ", "No Revenue " ))</f>
        <v xml:space="preserve">No Revenue </v>
      </c>
    </row>
    <row r="759" spans="1:16" x14ac:dyDescent="0.2">
      <c r="A759" t="s">
        <v>1624</v>
      </c>
      <c r="B759" t="s">
        <v>1625</v>
      </c>
      <c r="C759" t="s">
        <v>65</v>
      </c>
      <c r="D759" t="s">
        <v>17</v>
      </c>
      <c r="E759" s="1">
        <v>43166.51798611111</v>
      </c>
      <c r="F759" t="s">
        <v>68</v>
      </c>
      <c r="G759" t="s">
        <v>27</v>
      </c>
      <c r="H759" t="s">
        <v>28</v>
      </c>
      <c r="I759" t="s">
        <v>1796</v>
      </c>
      <c r="J759" t="s">
        <v>1796</v>
      </c>
      <c r="K759" t="s">
        <v>1796</v>
      </c>
      <c r="L759" t="s">
        <v>21</v>
      </c>
      <c r="M759">
        <v>0</v>
      </c>
      <c r="N759">
        <v>0</v>
      </c>
      <c r="O759" t="str">
        <f>_xlfn.XLOOKUP(olist_closed_deals_dataset[[#This Row],[mql_id]], leads!A:A, leads!D:D, "Unknow" )</f>
        <v>organic_search</v>
      </c>
      <c r="P759" t="str">
        <f>IF(olist_closed_deals_dataset[[#This Row],[declared_monthly_revenue]] &gt;= 10000, "High Values ", IF(olist_closed_deals_dataset[[#This Row],[declared_monthly_revenue]] &gt; 0, "Stander ", "No Revenue " ))</f>
        <v xml:space="preserve">No Revenue </v>
      </c>
    </row>
    <row r="760" spans="1:16" x14ac:dyDescent="0.2">
      <c r="A760" t="s">
        <v>1626</v>
      </c>
      <c r="B760" t="s">
        <v>1627</v>
      </c>
      <c r="C760" t="s">
        <v>1628</v>
      </c>
      <c r="D760" t="s">
        <v>149</v>
      </c>
      <c r="E760" s="1">
        <v>43410.820590277777</v>
      </c>
      <c r="F760" t="s">
        <v>61</v>
      </c>
      <c r="G760" t="s">
        <v>19</v>
      </c>
      <c r="H760" t="s">
        <v>225</v>
      </c>
      <c r="I760" t="b">
        <v>1</v>
      </c>
      <c r="J760" t="b">
        <v>1</v>
      </c>
      <c r="K760" t="s">
        <v>1796</v>
      </c>
      <c r="L760" t="s">
        <v>21</v>
      </c>
      <c r="M760">
        <v>50</v>
      </c>
      <c r="N760">
        <v>8000</v>
      </c>
      <c r="O760" t="str">
        <f>_xlfn.XLOOKUP(olist_closed_deals_dataset[[#This Row],[mql_id]], leads!A:A, leads!D:D, "Unknow" )</f>
        <v>unknown</v>
      </c>
      <c r="P760" t="str">
        <f>IF(olist_closed_deals_dataset[[#This Row],[declared_monthly_revenue]] &gt;= 10000, "High Values ", IF(olist_closed_deals_dataset[[#This Row],[declared_monthly_revenue]] &gt; 0, "Stander ", "No Revenue " ))</f>
        <v xml:space="preserve">Stander </v>
      </c>
    </row>
    <row r="761" spans="1:16" x14ac:dyDescent="0.2">
      <c r="A761" t="s">
        <v>1629</v>
      </c>
      <c r="B761" t="s">
        <v>1630</v>
      </c>
      <c r="C761" t="s">
        <v>31</v>
      </c>
      <c r="D761" t="s">
        <v>74</v>
      </c>
      <c r="E761" s="1">
        <v>43290.750659722224</v>
      </c>
      <c r="F761" t="s">
        <v>26</v>
      </c>
      <c r="G761" t="s">
        <v>34</v>
      </c>
      <c r="H761" t="s">
        <v>28</v>
      </c>
      <c r="I761" t="s">
        <v>1796</v>
      </c>
      <c r="J761" t="s">
        <v>1796</v>
      </c>
      <c r="K761" t="s">
        <v>1796</v>
      </c>
      <c r="L761" t="s">
        <v>21</v>
      </c>
      <c r="M761">
        <v>0</v>
      </c>
      <c r="N761">
        <v>0</v>
      </c>
      <c r="O761" t="str">
        <f>_xlfn.XLOOKUP(olist_closed_deals_dataset[[#This Row],[mql_id]], leads!A:A, leads!D:D, "Unknow" )</f>
        <v>paid_search</v>
      </c>
      <c r="P761" t="str">
        <f>IF(olist_closed_deals_dataset[[#This Row],[declared_monthly_revenue]] &gt;= 10000, "High Values ", IF(olist_closed_deals_dataset[[#This Row],[declared_monthly_revenue]] &gt; 0, "Stander ", "No Revenue " ))</f>
        <v xml:space="preserve">No Revenue </v>
      </c>
    </row>
    <row r="762" spans="1:16" x14ac:dyDescent="0.2">
      <c r="A762" t="s">
        <v>1631</v>
      </c>
      <c r="B762" t="s">
        <v>1632</v>
      </c>
      <c r="C762" t="s">
        <v>60</v>
      </c>
      <c r="D762" t="s">
        <v>71</v>
      </c>
      <c r="E762" s="1">
        <v>43244.827731481484</v>
      </c>
      <c r="F762" t="s">
        <v>96</v>
      </c>
      <c r="G762" t="s">
        <v>112</v>
      </c>
      <c r="H762" t="s">
        <v>20</v>
      </c>
      <c r="I762" t="s">
        <v>1796</v>
      </c>
      <c r="J762" t="s">
        <v>1796</v>
      </c>
      <c r="K762" t="s">
        <v>1796</v>
      </c>
      <c r="L762" t="s">
        <v>21</v>
      </c>
      <c r="M762">
        <v>0</v>
      </c>
      <c r="N762">
        <v>0</v>
      </c>
      <c r="O762" t="str">
        <f>_xlfn.XLOOKUP(olist_closed_deals_dataset[[#This Row],[mql_id]], leads!A:A, leads!D:D, "Unknow" )</f>
        <v>organic_search</v>
      </c>
      <c r="P762" t="str">
        <f>IF(olist_closed_deals_dataset[[#This Row],[declared_monthly_revenue]] &gt;= 10000, "High Values ", IF(olist_closed_deals_dataset[[#This Row],[declared_monthly_revenue]] &gt; 0, "Stander ", "No Revenue " ))</f>
        <v xml:space="preserve">No Revenue </v>
      </c>
    </row>
    <row r="763" spans="1:16" x14ac:dyDescent="0.2">
      <c r="A763" t="s">
        <v>1633</v>
      </c>
      <c r="B763" t="s">
        <v>1634</v>
      </c>
      <c r="C763" t="s">
        <v>37</v>
      </c>
      <c r="D763" t="s">
        <v>71</v>
      </c>
      <c r="E763" s="1">
        <v>43196.696851851855</v>
      </c>
      <c r="F763" t="s">
        <v>26</v>
      </c>
      <c r="G763" t="s">
        <v>27</v>
      </c>
      <c r="H763" t="s">
        <v>28</v>
      </c>
      <c r="I763" t="s">
        <v>1796</v>
      </c>
      <c r="J763" t="s">
        <v>1796</v>
      </c>
      <c r="K763" t="s">
        <v>1796</v>
      </c>
      <c r="L763" t="s">
        <v>21</v>
      </c>
      <c r="M763">
        <v>0</v>
      </c>
      <c r="N763">
        <v>0</v>
      </c>
      <c r="O763" t="str">
        <f>_xlfn.XLOOKUP(olist_closed_deals_dataset[[#This Row],[mql_id]], leads!A:A, leads!D:D, "Unknow" )</f>
        <v>organic_search</v>
      </c>
      <c r="P763" t="str">
        <f>IF(olist_closed_deals_dataset[[#This Row],[declared_monthly_revenue]] &gt;= 10000, "High Values ", IF(olist_closed_deals_dataset[[#This Row],[declared_monthly_revenue]] &gt; 0, "Stander ", "No Revenue " ))</f>
        <v xml:space="preserve">No Revenue </v>
      </c>
    </row>
    <row r="764" spans="1:16" x14ac:dyDescent="0.2">
      <c r="A764" t="s">
        <v>1635</v>
      </c>
      <c r="B764" t="s">
        <v>1636</v>
      </c>
      <c r="C764" t="s">
        <v>37</v>
      </c>
      <c r="D764" t="s">
        <v>25</v>
      </c>
      <c r="E764" s="1">
        <v>43115.753946759258</v>
      </c>
      <c r="F764" t="s">
        <v>111</v>
      </c>
      <c r="G764" t="s">
        <v>99</v>
      </c>
      <c r="H764" t="s">
        <v>1796</v>
      </c>
      <c r="I764" t="s">
        <v>1796</v>
      </c>
      <c r="J764" t="s">
        <v>1796</v>
      </c>
      <c r="K764" t="s">
        <v>1796</v>
      </c>
      <c r="L764" t="s">
        <v>44</v>
      </c>
      <c r="M764">
        <v>0</v>
      </c>
      <c r="N764">
        <v>0</v>
      </c>
      <c r="O764" t="str">
        <f>_xlfn.XLOOKUP(olist_closed_deals_dataset[[#This Row],[mql_id]], leads!A:A, leads!D:D, "Unknow" )</f>
        <v>organic_search</v>
      </c>
      <c r="P764" t="str">
        <f>IF(olist_closed_deals_dataset[[#This Row],[declared_monthly_revenue]] &gt;= 10000, "High Values ", IF(olist_closed_deals_dataset[[#This Row],[declared_monthly_revenue]] &gt; 0, "Stander ", "No Revenue " ))</f>
        <v xml:space="preserve">No Revenue </v>
      </c>
    </row>
    <row r="765" spans="1:16" x14ac:dyDescent="0.2">
      <c r="A765" t="s">
        <v>1637</v>
      </c>
      <c r="B765" t="s">
        <v>1638</v>
      </c>
      <c r="C765" t="s">
        <v>24</v>
      </c>
      <c r="D765" t="s">
        <v>71</v>
      </c>
      <c r="E765" s="1">
        <v>43228.737546296295</v>
      </c>
      <c r="F765" t="s">
        <v>61</v>
      </c>
      <c r="G765" t="s">
        <v>19</v>
      </c>
      <c r="H765" t="s">
        <v>20</v>
      </c>
      <c r="I765" t="s">
        <v>1796</v>
      </c>
      <c r="J765" t="s">
        <v>1796</v>
      </c>
      <c r="K765" t="s">
        <v>1796</v>
      </c>
      <c r="L765" t="s">
        <v>21</v>
      </c>
      <c r="M765">
        <v>0</v>
      </c>
      <c r="N765">
        <v>0</v>
      </c>
      <c r="O765" t="str">
        <f>_xlfn.XLOOKUP(olist_closed_deals_dataset[[#This Row],[mql_id]], leads!A:A, leads!D:D, "Unknow" )</f>
        <v>paid_search</v>
      </c>
      <c r="P765" t="str">
        <f>IF(olist_closed_deals_dataset[[#This Row],[declared_monthly_revenue]] &gt;= 10000, "High Values ", IF(olist_closed_deals_dataset[[#This Row],[declared_monthly_revenue]] &gt; 0, "Stander ", "No Revenue " ))</f>
        <v xml:space="preserve">No Revenue </v>
      </c>
    </row>
    <row r="766" spans="1:16" x14ac:dyDescent="0.2">
      <c r="A766" t="s">
        <v>1639</v>
      </c>
      <c r="B766" t="s">
        <v>1640</v>
      </c>
      <c r="C766" t="s">
        <v>42</v>
      </c>
      <c r="D766" t="s">
        <v>95</v>
      </c>
      <c r="E766" s="1">
        <v>43173.721516203703</v>
      </c>
      <c r="F766" t="s">
        <v>49</v>
      </c>
      <c r="G766" t="s">
        <v>19</v>
      </c>
      <c r="H766" t="s">
        <v>28</v>
      </c>
      <c r="I766" t="s">
        <v>1796</v>
      </c>
      <c r="J766" t="s">
        <v>1796</v>
      </c>
      <c r="K766" t="s">
        <v>1796</v>
      </c>
      <c r="L766" t="s">
        <v>21</v>
      </c>
      <c r="M766">
        <v>0</v>
      </c>
      <c r="N766">
        <v>0</v>
      </c>
      <c r="O766" t="str">
        <f>_xlfn.XLOOKUP(olist_closed_deals_dataset[[#This Row],[mql_id]], leads!A:A, leads!D:D, "Unknow" )</f>
        <v>direct_traffic</v>
      </c>
      <c r="P766" t="str">
        <f>IF(olist_closed_deals_dataset[[#This Row],[declared_monthly_revenue]] &gt;= 10000, "High Values ", IF(olist_closed_deals_dataset[[#This Row],[declared_monthly_revenue]] &gt; 0, "Stander ", "No Revenue " ))</f>
        <v xml:space="preserve">No Revenue </v>
      </c>
    </row>
    <row r="767" spans="1:16" x14ac:dyDescent="0.2">
      <c r="A767" t="s">
        <v>1641</v>
      </c>
      <c r="B767" t="s">
        <v>1642</v>
      </c>
      <c r="C767" t="s">
        <v>16</v>
      </c>
      <c r="D767" t="s">
        <v>77</v>
      </c>
      <c r="E767" s="1">
        <v>43161.579189814816</v>
      </c>
      <c r="F767" t="s">
        <v>96</v>
      </c>
      <c r="G767" t="s">
        <v>19</v>
      </c>
      <c r="H767" t="s">
        <v>43</v>
      </c>
      <c r="I767" t="s">
        <v>1796</v>
      </c>
      <c r="J767" t="s">
        <v>1796</v>
      </c>
      <c r="K767" t="s">
        <v>1796</v>
      </c>
      <c r="L767" t="s">
        <v>21</v>
      </c>
      <c r="M767">
        <v>0</v>
      </c>
      <c r="N767">
        <v>0</v>
      </c>
      <c r="O767" t="str">
        <f>_xlfn.XLOOKUP(olist_closed_deals_dataset[[#This Row],[mql_id]], leads!A:A, leads!D:D, "Unknow" )</f>
        <v>unknown</v>
      </c>
      <c r="P767" t="str">
        <f>IF(olist_closed_deals_dataset[[#This Row],[declared_monthly_revenue]] &gt;= 10000, "High Values ", IF(olist_closed_deals_dataset[[#This Row],[declared_monthly_revenue]] &gt; 0, "Stander ", "No Revenue " ))</f>
        <v xml:space="preserve">No Revenue </v>
      </c>
    </row>
    <row r="768" spans="1:16" x14ac:dyDescent="0.2">
      <c r="A768" t="s">
        <v>1643</v>
      </c>
      <c r="B768" t="s">
        <v>1644</v>
      </c>
      <c r="C768" t="s">
        <v>81</v>
      </c>
      <c r="D768" t="s">
        <v>48</v>
      </c>
      <c r="E768" s="1">
        <v>43159.719618055555</v>
      </c>
      <c r="F768" t="s">
        <v>82</v>
      </c>
      <c r="G768" t="s">
        <v>34</v>
      </c>
      <c r="H768" t="s">
        <v>20</v>
      </c>
      <c r="I768" t="s">
        <v>1796</v>
      </c>
      <c r="J768" t="s">
        <v>1796</v>
      </c>
      <c r="K768" t="s">
        <v>1796</v>
      </c>
      <c r="L768" t="s">
        <v>21</v>
      </c>
      <c r="M768">
        <v>0</v>
      </c>
      <c r="N768">
        <v>0</v>
      </c>
      <c r="O768" t="str">
        <f>_xlfn.XLOOKUP(olist_closed_deals_dataset[[#This Row],[mql_id]], leads!A:A, leads!D:D, "Unknow" )</f>
        <v>organic_search</v>
      </c>
      <c r="P768" t="str">
        <f>IF(olist_closed_deals_dataset[[#This Row],[declared_monthly_revenue]] &gt;= 10000, "High Values ", IF(olist_closed_deals_dataset[[#This Row],[declared_monthly_revenue]] &gt; 0, "Stander ", "No Revenue " ))</f>
        <v xml:space="preserve">No Revenue </v>
      </c>
    </row>
    <row r="769" spans="1:16" x14ac:dyDescent="0.2">
      <c r="A769" t="s">
        <v>1645</v>
      </c>
      <c r="B769" t="s">
        <v>1646</v>
      </c>
      <c r="C769" t="s">
        <v>42</v>
      </c>
      <c r="D769" t="s">
        <v>77</v>
      </c>
      <c r="E769" s="1">
        <v>43122.083333333336</v>
      </c>
      <c r="F769" t="s">
        <v>49</v>
      </c>
      <c r="G769" t="s">
        <v>34</v>
      </c>
      <c r="H769" t="s">
        <v>1796</v>
      </c>
      <c r="I769" t="s">
        <v>1796</v>
      </c>
      <c r="J769" t="s">
        <v>1796</v>
      </c>
      <c r="K769" t="s">
        <v>1796</v>
      </c>
      <c r="L769" t="s">
        <v>21</v>
      </c>
      <c r="M769">
        <v>0</v>
      </c>
      <c r="N769">
        <v>0</v>
      </c>
      <c r="O769" t="str">
        <f>_xlfn.XLOOKUP(olist_closed_deals_dataset[[#This Row],[mql_id]], leads!A:A, leads!D:D, "Unknow" )</f>
        <v>unknown</v>
      </c>
      <c r="P769" t="str">
        <f>IF(olist_closed_deals_dataset[[#This Row],[declared_monthly_revenue]] &gt;= 10000, "High Values ", IF(olist_closed_deals_dataset[[#This Row],[declared_monthly_revenue]] &gt; 0, "Stander ", "No Revenue " ))</f>
        <v xml:space="preserve">No Revenue </v>
      </c>
    </row>
    <row r="770" spans="1:16" x14ac:dyDescent="0.2">
      <c r="A770" t="s">
        <v>1647</v>
      </c>
      <c r="B770" t="s">
        <v>1648</v>
      </c>
      <c r="C770" t="s">
        <v>42</v>
      </c>
      <c r="D770" t="s">
        <v>95</v>
      </c>
      <c r="E770" s="1">
        <v>43220.895451388889</v>
      </c>
      <c r="F770" t="s">
        <v>96</v>
      </c>
      <c r="G770" t="s">
        <v>19</v>
      </c>
      <c r="H770" t="s">
        <v>20</v>
      </c>
      <c r="I770" t="s">
        <v>1796</v>
      </c>
      <c r="J770" t="s">
        <v>1796</v>
      </c>
      <c r="K770" t="s">
        <v>1796</v>
      </c>
      <c r="L770" t="s">
        <v>21</v>
      </c>
      <c r="M770">
        <v>0</v>
      </c>
      <c r="N770">
        <v>0</v>
      </c>
      <c r="O770" t="str">
        <f>_xlfn.XLOOKUP(olist_closed_deals_dataset[[#This Row],[mql_id]], leads!A:A, leads!D:D, "Unknow" )</f>
        <v>organic_search</v>
      </c>
      <c r="P770" t="str">
        <f>IF(olist_closed_deals_dataset[[#This Row],[declared_monthly_revenue]] &gt;= 10000, "High Values ", IF(olist_closed_deals_dataset[[#This Row],[declared_monthly_revenue]] &gt; 0, "Stander ", "No Revenue " ))</f>
        <v xml:space="preserve">No Revenue </v>
      </c>
    </row>
    <row r="771" spans="1:16" x14ac:dyDescent="0.2">
      <c r="A771" t="s">
        <v>1649</v>
      </c>
      <c r="B771" t="s">
        <v>1650</v>
      </c>
      <c r="C771" t="s">
        <v>71</v>
      </c>
      <c r="D771" t="s">
        <v>77</v>
      </c>
      <c r="E771" s="1">
        <v>43272.514965277776</v>
      </c>
      <c r="F771" t="s">
        <v>138</v>
      </c>
      <c r="G771" t="s">
        <v>34</v>
      </c>
      <c r="H771" t="s">
        <v>20</v>
      </c>
      <c r="I771" t="s">
        <v>1796</v>
      </c>
      <c r="J771" t="s">
        <v>1796</v>
      </c>
      <c r="K771" t="s">
        <v>1796</v>
      </c>
      <c r="L771" t="s">
        <v>21</v>
      </c>
      <c r="M771">
        <v>0</v>
      </c>
      <c r="N771">
        <v>0</v>
      </c>
      <c r="O771" t="str">
        <f>_xlfn.XLOOKUP(olist_closed_deals_dataset[[#This Row],[mql_id]], leads!A:A, leads!D:D, "Unknow" )</f>
        <v>social</v>
      </c>
      <c r="P771" t="str">
        <f>IF(olist_closed_deals_dataset[[#This Row],[declared_monthly_revenue]] &gt;= 10000, "High Values ", IF(olist_closed_deals_dataset[[#This Row],[declared_monthly_revenue]] &gt; 0, "Stander ", "No Revenue " ))</f>
        <v xml:space="preserve">No Revenue </v>
      </c>
    </row>
    <row r="772" spans="1:16" x14ac:dyDescent="0.2">
      <c r="A772" t="s">
        <v>1651</v>
      </c>
      <c r="B772" t="s">
        <v>1652</v>
      </c>
      <c r="C772" t="s">
        <v>31</v>
      </c>
      <c r="D772" t="s">
        <v>42</v>
      </c>
      <c r="E772" s="1">
        <v>43290.620173611111</v>
      </c>
      <c r="F772" t="s">
        <v>96</v>
      </c>
      <c r="G772" t="s">
        <v>27</v>
      </c>
      <c r="H772" t="s">
        <v>20</v>
      </c>
      <c r="I772" t="b">
        <v>1</v>
      </c>
      <c r="J772" t="b">
        <v>1</v>
      </c>
      <c r="K772" t="s">
        <v>282</v>
      </c>
      <c r="L772" t="s">
        <v>44</v>
      </c>
      <c r="M772">
        <v>0</v>
      </c>
      <c r="N772">
        <v>0</v>
      </c>
      <c r="O772" t="str">
        <f>_xlfn.XLOOKUP(olist_closed_deals_dataset[[#This Row],[mql_id]], leads!A:A, leads!D:D, "Unknow" )</f>
        <v>organic_search</v>
      </c>
      <c r="P772" t="str">
        <f>IF(olist_closed_deals_dataset[[#This Row],[declared_monthly_revenue]] &gt;= 10000, "High Values ", IF(olist_closed_deals_dataset[[#This Row],[declared_monthly_revenue]] &gt; 0, "Stander ", "No Revenue " ))</f>
        <v xml:space="preserve">No Revenue </v>
      </c>
    </row>
    <row r="773" spans="1:16" x14ac:dyDescent="0.2">
      <c r="A773" t="s">
        <v>1653</v>
      </c>
      <c r="B773" t="s">
        <v>1654</v>
      </c>
      <c r="C773" t="s">
        <v>16</v>
      </c>
      <c r="D773" t="s">
        <v>17</v>
      </c>
      <c r="E773" s="1">
        <v>43214.125</v>
      </c>
      <c r="F773" t="s">
        <v>61</v>
      </c>
      <c r="G773" t="s">
        <v>112</v>
      </c>
      <c r="H773" t="s">
        <v>20</v>
      </c>
      <c r="I773" t="s">
        <v>1796</v>
      </c>
      <c r="J773" t="s">
        <v>1796</v>
      </c>
      <c r="K773" t="s">
        <v>1796</v>
      </c>
      <c r="L773" t="s">
        <v>21</v>
      </c>
      <c r="M773">
        <v>0</v>
      </c>
      <c r="N773">
        <v>0</v>
      </c>
      <c r="O773" t="str">
        <f>_xlfn.XLOOKUP(olist_closed_deals_dataset[[#This Row],[mql_id]], leads!A:A, leads!D:D, "Unknow" )</f>
        <v>paid_search</v>
      </c>
      <c r="P773" t="str">
        <f>IF(olist_closed_deals_dataset[[#This Row],[declared_monthly_revenue]] &gt;= 10000, "High Values ", IF(olist_closed_deals_dataset[[#This Row],[declared_monthly_revenue]] &gt; 0, "Stander ", "No Revenue " ))</f>
        <v xml:space="preserve">No Revenue </v>
      </c>
    </row>
    <row r="774" spans="1:16" x14ac:dyDescent="0.2">
      <c r="A774" t="s">
        <v>1655</v>
      </c>
      <c r="B774" t="s">
        <v>1656</v>
      </c>
      <c r="C774" t="s">
        <v>81</v>
      </c>
      <c r="D774" t="s">
        <v>74</v>
      </c>
      <c r="E774" s="1">
        <v>43171.781400462962</v>
      </c>
      <c r="F774" t="s">
        <v>494</v>
      </c>
      <c r="G774" t="s">
        <v>19</v>
      </c>
      <c r="H774" t="s">
        <v>20</v>
      </c>
      <c r="I774" t="s">
        <v>1796</v>
      </c>
      <c r="J774" t="s">
        <v>1796</v>
      </c>
      <c r="K774" t="s">
        <v>1796</v>
      </c>
      <c r="L774" t="s">
        <v>44</v>
      </c>
      <c r="M774">
        <v>0</v>
      </c>
      <c r="N774">
        <v>0</v>
      </c>
      <c r="O774" t="str">
        <f>_xlfn.XLOOKUP(olist_closed_deals_dataset[[#This Row],[mql_id]], leads!A:A, leads!D:D, "Unknow" )</f>
        <v>organic_search</v>
      </c>
      <c r="P774" t="str">
        <f>IF(olist_closed_deals_dataset[[#This Row],[declared_monthly_revenue]] &gt;= 10000, "High Values ", IF(olist_closed_deals_dataset[[#This Row],[declared_monthly_revenue]] &gt; 0, "Stander ", "No Revenue " ))</f>
        <v xml:space="preserve">No Revenue </v>
      </c>
    </row>
    <row r="775" spans="1:16" x14ac:dyDescent="0.2">
      <c r="A775" t="s">
        <v>1657</v>
      </c>
      <c r="B775" t="s">
        <v>1658</v>
      </c>
      <c r="C775" t="s">
        <v>159</v>
      </c>
      <c r="D775" t="s">
        <v>71</v>
      </c>
      <c r="E775" s="1">
        <v>43252.105555555558</v>
      </c>
      <c r="F775" t="s">
        <v>96</v>
      </c>
      <c r="G775" t="s">
        <v>34</v>
      </c>
      <c r="H775" t="s">
        <v>20</v>
      </c>
      <c r="I775" t="s">
        <v>1796</v>
      </c>
      <c r="J775" t="s">
        <v>1796</v>
      </c>
      <c r="K775" t="s">
        <v>1796</v>
      </c>
      <c r="L775" t="s">
        <v>44</v>
      </c>
      <c r="M775">
        <v>0</v>
      </c>
      <c r="N775">
        <v>0</v>
      </c>
      <c r="O775" t="str">
        <f>_xlfn.XLOOKUP(olist_closed_deals_dataset[[#This Row],[mql_id]], leads!A:A, leads!D:D, "Unknow" )</f>
        <v>organic_search</v>
      </c>
      <c r="P775" t="str">
        <f>IF(olist_closed_deals_dataset[[#This Row],[declared_monthly_revenue]] &gt;= 10000, "High Values ", IF(olist_closed_deals_dataset[[#This Row],[declared_monthly_revenue]] &gt; 0, "Stander ", "No Revenue " ))</f>
        <v xml:space="preserve">No Revenue </v>
      </c>
    </row>
    <row r="776" spans="1:16" x14ac:dyDescent="0.2">
      <c r="A776" t="s">
        <v>1659</v>
      </c>
      <c r="B776" t="s">
        <v>1660</v>
      </c>
      <c r="C776" t="s">
        <v>81</v>
      </c>
      <c r="D776" t="s">
        <v>25</v>
      </c>
      <c r="E776" s="1">
        <v>43186.560428240744</v>
      </c>
      <c r="F776" t="s">
        <v>68</v>
      </c>
      <c r="G776" t="s">
        <v>27</v>
      </c>
      <c r="H776" t="s">
        <v>20</v>
      </c>
      <c r="I776" t="s">
        <v>1796</v>
      </c>
      <c r="J776" t="s">
        <v>1796</v>
      </c>
      <c r="K776" t="s">
        <v>1796</v>
      </c>
      <c r="L776" t="s">
        <v>44</v>
      </c>
      <c r="M776">
        <v>0</v>
      </c>
      <c r="N776">
        <v>0</v>
      </c>
      <c r="O776" t="str">
        <f>_xlfn.XLOOKUP(olist_closed_deals_dataset[[#This Row],[mql_id]], leads!A:A, leads!D:D, "Unknow" )</f>
        <v>unknown</v>
      </c>
      <c r="P776" t="str">
        <f>IF(olist_closed_deals_dataset[[#This Row],[declared_monthly_revenue]] &gt;= 10000, "High Values ", IF(olist_closed_deals_dataset[[#This Row],[declared_monthly_revenue]] &gt; 0, "Stander ", "No Revenue " ))</f>
        <v xml:space="preserve">No Revenue </v>
      </c>
    </row>
    <row r="777" spans="1:16" x14ac:dyDescent="0.2">
      <c r="A777" t="s">
        <v>1661</v>
      </c>
      <c r="B777" t="s">
        <v>1662</v>
      </c>
      <c r="C777" t="s">
        <v>71</v>
      </c>
      <c r="D777" t="s">
        <v>25</v>
      </c>
      <c r="E777" s="1">
        <v>43116.553298611114</v>
      </c>
      <c r="F777" t="s">
        <v>68</v>
      </c>
      <c r="G777" t="s">
        <v>112</v>
      </c>
      <c r="H777" t="s">
        <v>1796</v>
      </c>
      <c r="I777" t="s">
        <v>1796</v>
      </c>
      <c r="J777" t="s">
        <v>1796</v>
      </c>
      <c r="K777" t="s">
        <v>1796</v>
      </c>
      <c r="L777" t="s">
        <v>21</v>
      </c>
      <c r="M777">
        <v>0</v>
      </c>
      <c r="N777">
        <v>0</v>
      </c>
      <c r="O777" t="str">
        <f>_xlfn.XLOOKUP(olist_closed_deals_dataset[[#This Row],[mql_id]], leads!A:A, leads!D:D, "Unknow" )</f>
        <v>organic_search</v>
      </c>
      <c r="P777" t="str">
        <f>IF(olist_closed_deals_dataset[[#This Row],[declared_monthly_revenue]] &gt;= 10000, "High Values ", IF(olist_closed_deals_dataset[[#This Row],[declared_monthly_revenue]] &gt; 0, "Stander ", "No Revenue " ))</f>
        <v xml:space="preserve">No Revenue </v>
      </c>
    </row>
    <row r="778" spans="1:16" x14ac:dyDescent="0.2">
      <c r="A778" t="s">
        <v>1663</v>
      </c>
      <c r="B778" t="s">
        <v>1664</v>
      </c>
      <c r="C778" t="s">
        <v>42</v>
      </c>
      <c r="D778" t="s">
        <v>32</v>
      </c>
      <c r="E778" s="1">
        <v>43158.735995370371</v>
      </c>
      <c r="F778" t="s">
        <v>61</v>
      </c>
      <c r="G778" t="s">
        <v>34</v>
      </c>
      <c r="H778" t="s">
        <v>43</v>
      </c>
      <c r="I778" t="s">
        <v>1796</v>
      </c>
      <c r="J778" t="s">
        <v>1796</v>
      </c>
      <c r="K778" t="s">
        <v>1796</v>
      </c>
      <c r="L778" t="s">
        <v>44</v>
      </c>
      <c r="M778">
        <v>0</v>
      </c>
      <c r="N778">
        <v>0</v>
      </c>
      <c r="O778" t="str">
        <f>_xlfn.XLOOKUP(olist_closed_deals_dataset[[#This Row],[mql_id]], leads!A:A, leads!D:D, "Unknow" )</f>
        <v>paid_search</v>
      </c>
      <c r="P778" t="str">
        <f>IF(olist_closed_deals_dataset[[#This Row],[declared_monthly_revenue]] &gt;= 10000, "High Values ", IF(olist_closed_deals_dataset[[#This Row],[declared_monthly_revenue]] &gt; 0, "Stander ", "No Revenue " ))</f>
        <v xml:space="preserve">No Revenue </v>
      </c>
    </row>
    <row r="779" spans="1:16" x14ac:dyDescent="0.2">
      <c r="A779" t="s">
        <v>1665</v>
      </c>
      <c r="B779" t="s">
        <v>1666</v>
      </c>
      <c r="C779" t="s">
        <v>64</v>
      </c>
      <c r="D779" t="s">
        <v>32</v>
      </c>
      <c r="E779" s="1">
        <v>43200.521215277775</v>
      </c>
      <c r="F779" t="s">
        <v>415</v>
      </c>
      <c r="G779" t="s">
        <v>19</v>
      </c>
      <c r="H779" t="s">
        <v>20</v>
      </c>
      <c r="I779" t="s">
        <v>1796</v>
      </c>
      <c r="J779" t="s">
        <v>1796</v>
      </c>
      <c r="K779" t="s">
        <v>1796</v>
      </c>
      <c r="L779" t="s">
        <v>21</v>
      </c>
      <c r="M779">
        <v>0</v>
      </c>
      <c r="N779">
        <v>0</v>
      </c>
      <c r="O779" t="str">
        <f>_xlfn.XLOOKUP(olist_closed_deals_dataset[[#This Row],[mql_id]], leads!A:A, leads!D:D, "Unknow" )</f>
        <v>unknown</v>
      </c>
      <c r="P779" t="str">
        <f>IF(olist_closed_deals_dataset[[#This Row],[declared_monthly_revenue]] &gt;= 10000, "High Values ", IF(olist_closed_deals_dataset[[#This Row],[declared_monthly_revenue]] &gt; 0, "Stander ", "No Revenue " ))</f>
        <v xml:space="preserve">No Revenue </v>
      </c>
    </row>
    <row r="780" spans="1:16" x14ac:dyDescent="0.2">
      <c r="A780" t="s">
        <v>1667</v>
      </c>
      <c r="B780" t="s">
        <v>1668</v>
      </c>
      <c r="C780" t="s">
        <v>60</v>
      </c>
      <c r="D780" t="s">
        <v>74</v>
      </c>
      <c r="E780" s="1">
        <v>43234.60052083333</v>
      </c>
      <c r="F780" t="s">
        <v>26</v>
      </c>
      <c r="G780" t="s">
        <v>57</v>
      </c>
      <c r="H780" t="s">
        <v>20</v>
      </c>
      <c r="I780" t="s">
        <v>1796</v>
      </c>
      <c r="J780" t="s">
        <v>1796</v>
      </c>
      <c r="K780" t="s">
        <v>1796</v>
      </c>
      <c r="L780" t="s">
        <v>21</v>
      </c>
      <c r="M780">
        <v>0</v>
      </c>
      <c r="N780">
        <v>0</v>
      </c>
      <c r="O780" t="str">
        <f>_xlfn.XLOOKUP(olist_closed_deals_dataset[[#This Row],[mql_id]], leads!A:A, leads!D:D, "Unknow" )</f>
        <v>unknown</v>
      </c>
      <c r="P780" t="str">
        <f>IF(olist_closed_deals_dataset[[#This Row],[declared_monthly_revenue]] &gt;= 10000, "High Values ", IF(olist_closed_deals_dataset[[#This Row],[declared_monthly_revenue]] &gt; 0, "Stander ", "No Revenue " ))</f>
        <v xml:space="preserve">No Revenue </v>
      </c>
    </row>
    <row r="781" spans="1:16" x14ac:dyDescent="0.2">
      <c r="A781" t="s">
        <v>1669</v>
      </c>
      <c r="B781" t="s">
        <v>1670</v>
      </c>
      <c r="C781" t="s">
        <v>42</v>
      </c>
      <c r="D781" t="s">
        <v>25</v>
      </c>
      <c r="E781" s="1">
        <v>43200.724594907406</v>
      </c>
      <c r="F781" t="s">
        <v>82</v>
      </c>
      <c r="G781" t="s">
        <v>19</v>
      </c>
      <c r="H781" t="s">
        <v>43</v>
      </c>
      <c r="I781" t="s">
        <v>1796</v>
      </c>
      <c r="J781" t="s">
        <v>1796</v>
      </c>
      <c r="K781" t="s">
        <v>1796</v>
      </c>
      <c r="L781" t="s">
        <v>21</v>
      </c>
      <c r="M781">
        <v>0</v>
      </c>
      <c r="N781">
        <v>0</v>
      </c>
      <c r="O781" t="str">
        <f>_xlfn.XLOOKUP(olist_closed_deals_dataset[[#This Row],[mql_id]], leads!A:A, leads!D:D, "Unknow" )</f>
        <v>unknown</v>
      </c>
      <c r="P781" t="str">
        <f>IF(olist_closed_deals_dataset[[#This Row],[declared_monthly_revenue]] &gt;= 10000, "High Values ", IF(olist_closed_deals_dataset[[#This Row],[declared_monthly_revenue]] &gt; 0, "Stander ", "No Revenue " ))</f>
        <v xml:space="preserve">No Revenue </v>
      </c>
    </row>
    <row r="782" spans="1:16" x14ac:dyDescent="0.2">
      <c r="A782" t="s">
        <v>1671</v>
      </c>
      <c r="B782" t="s">
        <v>1672</v>
      </c>
      <c r="C782" t="s">
        <v>60</v>
      </c>
      <c r="D782" t="s">
        <v>16</v>
      </c>
      <c r="E782" s="1">
        <v>43374.741076388891</v>
      </c>
      <c r="F782" t="s">
        <v>78</v>
      </c>
      <c r="G782" t="s">
        <v>19</v>
      </c>
      <c r="H782" t="s">
        <v>1310</v>
      </c>
      <c r="I782" t="b">
        <v>1</v>
      </c>
      <c r="J782" t="b">
        <v>1</v>
      </c>
      <c r="K782" t="s">
        <v>1798</v>
      </c>
      <c r="L782" t="s">
        <v>21</v>
      </c>
      <c r="M782">
        <v>300</v>
      </c>
      <c r="N782">
        <v>25000</v>
      </c>
      <c r="O782" t="str">
        <f>_xlfn.XLOOKUP(olist_closed_deals_dataset[[#This Row],[mql_id]], leads!A:A, leads!D:D, "Unknow" )</f>
        <v>organic_search</v>
      </c>
      <c r="P782" t="str">
        <f>IF(olist_closed_deals_dataset[[#This Row],[declared_monthly_revenue]] &gt;= 10000, "High Values ", IF(olist_closed_deals_dataset[[#This Row],[declared_monthly_revenue]] &gt; 0, "Stander ", "No Revenue " ))</f>
        <v xml:space="preserve">High Values </v>
      </c>
    </row>
    <row r="783" spans="1:16" x14ac:dyDescent="0.2">
      <c r="A783" t="s">
        <v>1673</v>
      </c>
      <c r="B783" t="s">
        <v>1674</v>
      </c>
      <c r="C783" t="s">
        <v>65</v>
      </c>
      <c r="D783" t="s">
        <v>102</v>
      </c>
      <c r="E783" s="1">
        <v>43166.803831018522</v>
      </c>
      <c r="F783" t="s">
        <v>131</v>
      </c>
      <c r="G783" t="s">
        <v>39</v>
      </c>
      <c r="H783" t="s">
        <v>20</v>
      </c>
      <c r="I783" t="s">
        <v>1796</v>
      </c>
      <c r="J783" t="s">
        <v>1796</v>
      </c>
      <c r="K783" t="s">
        <v>1796</v>
      </c>
      <c r="L783" t="s">
        <v>44</v>
      </c>
      <c r="M783">
        <v>0</v>
      </c>
      <c r="N783">
        <v>0</v>
      </c>
      <c r="O783" t="str">
        <f>_xlfn.XLOOKUP(olist_closed_deals_dataset[[#This Row],[mql_id]], leads!A:A, leads!D:D, "Unknow" )</f>
        <v>paid_search</v>
      </c>
      <c r="P783" t="str">
        <f>IF(olist_closed_deals_dataset[[#This Row],[declared_monthly_revenue]] &gt;= 10000, "High Values ", IF(olist_closed_deals_dataset[[#This Row],[declared_monthly_revenue]] &gt; 0, "Stander ", "No Revenue " ))</f>
        <v xml:space="preserve">No Revenue </v>
      </c>
    </row>
    <row r="784" spans="1:16" x14ac:dyDescent="0.2">
      <c r="A784" t="s">
        <v>1675</v>
      </c>
      <c r="B784" t="s">
        <v>1676</v>
      </c>
      <c r="C784" t="s">
        <v>81</v>
      </c>
      <c r="D784" t="s">
        <v>32</v>
      </c>
      <c r="E784" s="1">
        <v>43153.682025462964</v>
      </c>
      <c r="F784" t="s">
        <v>38</v>
      </c>
      <c r="G784" t="s">
        <v>57</v>
      </c>
      <c r="H784" t="s">
        <v>1796</v>
      </c>
      <c r="I784" t="s">
        <v>1796</v>
      </c>
      <c r="J784" t="s">
        <v>1796</v>
      </c>
      <c r="K784" t="s">
        <v>1796</v>
      </c>
      <c r="L784" t="s">
        <v>21</v>
      </c>
      <c r="M784">
        <v>0</v>
      </c>
      <c r="N784">
        <v>0</v>
      </c>
      <c r="O784" t="str">
        <f>_xlfn.XLOOKUP(olist_closed_deals_dataset[[#This Row],[mql_id]], leads!A:A, leads!D:D, "Unknow" )</f>
        <v>social</v>
      </c>
      <c r="P784" t="str">
        <f>IF(olist_closed_deals_dataset[[#This Row],[declared_monthly_revenue]] &gt;= 10000, "High Values ", IF(olist_closed_deals_dataset[[#This Row],[declared_monthly_revenue]] &gt; 0, "Stander ", "No Revenue " ))</f>
        <v xml:space="preserve">No Revenue </v>
      </c>
    </row>
    <row r="785" spans="1:16" x14ac:dyDescent="0.2">
      <c r="A785" t="s">
        <v>1677</v>
      </c>
      <c r="B785" t="s">
        <v>1678</v>
      </c>
      <c r="C785" t="s">
        <v>64</v>
      </c>
      <c r="D785" t="s">
        <v>81</v>
      </c>
      <c r="E785" s="1">
        <v>43234.754548611112</v>
      </c>
      <c r="F785" t="s">
        <v>92</v>
      </c>
      <c r="G785" t="s">
        <v>19</v>
      </c>
      <c r="H785" t="s">
        <v>20</v>
      </c>
      <c r="I785" t="s">
        <v>1796</v>
      </c>
      <c r="J785" t="s">
        <v>1796</v>
      </c>
      <c r="K785" t="s">
        <v>1796</v>
      </c>
      <c r="L785" t="s">
        <v>44</v>
      </c>
      <c r="M785">
        <v>0</v>
      </c>
      <c r="N785">
        <v>0</v>
      </c>
      <c r="O785" t="str">
        <f>_xlfn.XLOOKUP(olist_closed_deals_dataset[[#This Row],[mql_id]], leads!A:A, leads!D:D, "Unknow" )</f>
        <v>unknown</v>
      </c>
      <c r="P785" t="str">
        <f>IF(olist_closed_deals_dataset[[#This Row],[declared_monthly_revenue]] &gt;= 10000, "High Values ", IF(olist_closed_deals_dataset[[#This Row],[declared_monthly_revenue]] &gt; 0, "Stander ", "No Revenue " ))</f>
        <v xml:space="preserve">No Revenue </v>
      </c>
    </row>
    <row r="786" spans="1:16" x14ac:dyDescent="0.2">
      <c r="A786" t="s">
        <v>1679</v>
      </c>
      <c r="B786" t="s">
        <v>1680</v>
      </c>
      <c r="C786" t="s">
        <v>71</v>
      </c>
      <c r="D786" t="s">
        <v>25</v>
      </c>
      <c r="E786" s="1">
        <v>43172.787349537037</v>
      </c>
      <c r="F786" t="s">
        <v>92</v>
      </c>
      <c r="G786" t="s">
        <v>39</v>
      </c>
      <c r="H786" t="s">
        <v>1796</v>
      </c>
      <c r="I786" t="s">
        <v>1796</v>
      </c>
      <c r="J786" t="s">
        <v>1796</v>
      </c>
      <c r="K786" t="s">
        <v>1796</v>
      </c>
      <c r="L786" t="s">
        <v>21</v>
      </c>
      <c r="M786">
        <v>0</v>
      </c>
      <c r="N786">
        <v>0</v>
      </c>
      <c r="O786" t="str">
        <f>_xlfn.XLOOKUP(olist_closed_deals_dataset[[#This Row],[mql_id]], leads!A:A, leads!D:D, "Unknow" )</f>
        <v>paid_search</v>
      </c>
      <c r="P786" t="str">
        <f>IF(olist_closed_deals_dataset[[#This Row],[declared_monthly_revenue]] &gt;= 10000, "High Values ", IF(olist_closed_deals_dataset[[#This Row],[declared_monthly_revenue]] &gt; 0, "Stander ", "No Revenue " ))</f>
        <v xml:space="preserve">No Revenue </v>
      </c>
    </row>
    <row r="787" spans="1:16" x14ac:dyDescent="0.2">
      <c r="A787" t="s">
        <v>1681</v>
      </c>
      <c r="B787" t="s">
        <v>1682</v>
      </c>
      <c r="C787" t="s">
        <v>37</v>
      </c>
      <c r="D787" t="s">
        <v>48</v>
      </c>
      <c r="E787" s="1">
        <v>43173.125</v>
      </c>
      <c r="F787" t="s">
        <v>82</v>
      </c>
      <c r="G787" t="s">
        <v>19</v>
      </c>
      <c r="H787" t="s">
        <v>20</v>
      </c>
      <c r="I787" t="s">
        <v>1796</v>
      </c>
      <c r="J787" t="s">
        <v>1796</v>
      </c>
      <c r="K787" t="s">
        <v>1796</v>
      </c>
      <c r="L787" t="s">
        <v>44</v>
      </c>
      <c r="M787">
        <v>0</v>
      </c>
      <c r="N787">
        <v>0</v>
      </c>
      <c r="O787" t="str">
        <f>_xlfn.XLOOKUP(olist_closed_deals_dataset[[#This Row],[mql_id]], leads!A:A, leads!D:D, "Unknow" )</f>
        <v>unknown</v>
      </c>
      <c r="P787" t="str">
        <f>IF(olist_closed_deals_dataset[[#This Row],[declared_monthly_revenue]] &gt;= 10000, "High Values ", IF(olist_closed_deals_dataset[[#This Row],[declared_monthly_revenue]] &gt; 0, "Stander ", "No Revenue " ))</f>
        <v xml:space="preserve">No Revenue </v>
      </c>
    </row>
    <row r="788" spans="1:16" x14ac:dyDescent="0.2">
      <c r="A788" t="s">
        <v>1683</v>
      </c>
      <c r="B788" t="s">
        <v>1684</v>
      </c>
      <c r="C788" t="s">
        <v>42</v>
      </c>
      <c r="D788" t="s">
        <v>32</v>
      </c>
      <c r="E788" s="1">
        <v>43237.757974537039</v>
      </c>
      <c r="F788" t="s">
        <v>138</v>
      </c>
      <c r="G788" t="s">
        <v>34</v>
      </c>
      <c r="H788" t="s">
        <v>20</v>
      </c>
      <c r="I788" t="s">
        <v>1796</v>
      </c>
      <c r="J788" t="s">
        <v>1796</v>
      </c>
      <c r="K788" t="s">
        <v>1796</v>
      </c>
      <c r="L788" t="s">
        <v>21</v>
      </c>
      <c r="M788">
        <v>0</v>
      </c>
      <c r="N788">
        <v>0</v>
      </c>
      <c r="O788" t="str">
        <f>_xlfn.XLOOKUP(olist_closed_deals_dataset[[#This Row],[mql_id]], leads!A:A, leads!D:D, "Unknow" )</f>
        <v>Unknow</v>
      </c>
      <c r="P788" t="str">
        <f>IF(olist_closed_deals_dataset[[#This Row],[declared_monthly_revenue]] &gt;= 10000, "High Values ", IF(olist_closed_deals_dataset[[#This Row],[declared_monthly_revenue]] &gt; 0, "Stander ", "No Revenue " ))</f>
        <v xml:space="preserve">No Revenue </v>
      </c>
    </row>
    <row r="789" spans="1:16" x14ac:dyDescent="0.2">
      <c r="A789" t="s">
        <v>1685</v>
      </c>
      <c r="B789" t="s">
        <v>1686</v>
      </c>
      <c r="C789" t="s">
        <v>60</v>
      </c>
      <c r="D789" t="s">
        <v>64</v>
      </c>
      <c r="E789" s="1">
        <v>43332.611956018518</v>
      </c>
      <c r="F789" t="s">
        <v>78</v>
      </c>
      <c r="G789" t="s">
        <v>39</v>
      </c>
      <c r="H789" t="s">
        <v>1310</v>
      </c>
      <c r="I789" t="b">
        <v>1</v>
      </c>
      <c r="J789" t="b">
        <v>0</v>
      </c>
      <c r="K789" t="s">
        <v>1798</v>
      </c>
      <c r="L789" t="s">
        <v>44</v>
      </c>
      <c r="M789">
        <v>100</v>
      </c>
      <c r="N789">
        <v>50000</v>
      </c>
      <c r="O789" t="str">
        <f>_xlfn.XLOOKUP(olist_closed_deals_dataset[[#This Row],[mql_id]], leads!A:A, leads!D:D, "Unknow" )</f>
        <v>organic_search</v>
      </c>
      <c r="P789" t="str">
        <f>IF(olist_closed_deals_dataset[[#This Row],[declared_monthly_revenue]] &gt;= 10000, "High Values ", IF(olist_closed_deals_dataset[[#This Row],[declared_monthly_revenue]] &gt; 0, "Stander ", "No Revenue " ))</f>
        <v xml:space="preserve">High Values </v>
      </c>
    </row>
    <row r="790" spans="1:16" x14ac:dyDescent="0.2">
      <c r="A790" t="s">
        <v>1687</v>
      </c>
      <c r="B790" t="s">
        <v>1688</v>
      </c>
      <c r="C790" t="s">
        <v>42</v>
      </c>
      <c r="D790" t="s">
        <v>37</v>
      </c>
      <c r="E790" s="1">
        <v>43245.73101851852</v>
      </c>
      <c r="F790" t="s">
        <v>297</v>
      </c>
      <c r="G790" t="s">
        <v>112</v>
      </c>
      <c r="H790" t="s">
        <v>20</v>
      </c>
      <c r="I790" t="s">
        <v>1796</v>
      </c>
      <c r="J790" t="s">
        <v>1796</v>
      </c>
      <c r="K790" t="s">
        <v>1796</v>
      </c>
      <c r="L790" t="s">
        <v>44</v>
      </c>
      <c r="M790">
        <v>0</v>
      </c>
      <c r="N790">
        <v>0</v>
      </c>
      <c r="O790" t="str">
        <f>_xlfn.XLOOKUP(olist_closed_deals_dataset[[#This Row],[mql_id]], leads!A:A, leads!D:D, "Unknow" )</f>
        <v>paid_search</v>
      </c>
      <c r="P790" t="str">
        <f>IF(olist_closed_deals_dataset[[#This Row],[declared_monthly_revenue]] &gt;= 10000, "High Values ", IF(olist_closed_deals_dataset[[#This Row],[declared_monthly_revenue]] &gt; 0, "Stander ", "No Revenue " ))</f>
        <v xml:space="preserve">No Revenue </v>
      </c>
    </row>
    <row r="791" spans="1:16" x14ac:dyDescent="0.2">
      <c r="A791" t="s">
        <v>1689</v>
      </c>
      <c r="B791" t="s">
        <v>1690</v>
      </c>
      <c r="C791" t="s">
        <v>64</v>
      </c>
      <c r="D791" t="s">
        <v>95</v>
      </c>
      <c r="E791" s="1">
        <v>43217.51289351852</v>
      </c>
      <c r="F791" t="s">
        <v>96</v>
      </c>
      <c r="G791" t="s">
        <v>19</v>
      </c>
      <c r="H791" t="s">
        <v>20</v>
      </c>
      <c r="I791" t="s">
        <v>1796</v>
      </c>
      <c r="J791" t="s">
        <v>1796</v>
      </c>
      <c r="K791" t="s">
        <v>1796</v>
      </c>
      <c r="L791" t="s">
        <v>44</v>
      </c>
      <c r="M791">
        <v>0</v>
      </c>
      <c r="N791">
        <v>0</v>
      </c>
      <c r="O791" t="str">
        <f>_xlfn.XLOOKUP(olist_closed_deals_dataset[[#This Row],[mql_id]], leads!A:A, leads!D:D, "Unknow" )</f>
        <v>paid_search</v>
      </c>
      <c r="P791" t="str">
        <f>IF(olist_closed_deals_dataset[[#This Row],[declared_monthly_revenue]] &gt;= 10000, "High Values ", IF(olist_closed_deals_dataset[[#This Row],[declared_monthly_revenue]] &gt; 0, "Stander ", "No Revenue " ))</f>
        <v xml:space="preserve">No Revenue </v>
      </c>
    </row>
    <row r="792" spans="1:16" x14ac:dyDescent="0.2">
      <c r="A792" t="s">
        <v>1691</v>
      </c>
      <c r="B792" t="s">
        <v>1692</v>
      </c>
      <c r="C792" t="s">
        <v>31</v>
      </c>
      <c r="D792" t="s">
        <v>52</v>
      </c>
      <c r="E792" s="1">
        <v>43300.887349537035</v>
      </c>
      <c r="F792" t="s">
        <v>49</v>
      </c>
      <c r="G792" t="s">
        <v>27</v>
      </c>
      <c r="H792" t="s">
        <v>43</v>
      </c>
      <c r="I792" t="s">
        <v>1796</v>
      </c>
      <c r="J792" t="s">
        <v>1796</v>
      </c>
      <c r="K792" t="s">
        <v>1796</v>
      </c>
      <c r="L792" t="s">
        <v>44</v>
      </c>
      <c r="M792">
        <v>0</v>
      </c>
      <c r="N792">
        <v>0</v>
      </c>
      <c r="O792" t="str">
        <f>_xlfn.XLOOKUP(olist_closed_deals_dataset[[#This Row],[mql_id]], leads!A:A, leads!D:D, "Unknow" )</f>
        <v>paid_search</v>
      </c>
      <c r="P792" t="str">
        <f>IF(olist_closed_deals_dataset[[#This Row],[declared_monthly_revenue]] &gt;= 10000, "High Values ", IF(olist_closed_deals_dataset[[#This Row],[declared_monthly_revenue]] &gt; 0, "Stander ", "No Revenue " ))</f>
        <v xml:space="preserve">No Revenue </v>
      </c>
    </row>
    <row r="793" spans="1:16" x14ac:dyDescent="0.2">
      <c r="A793" t="s">
        <v>1693</v>
      </c>
      <c r="B793" t="s">
        <v>1694</v>
      </c>
      <c r="C793" t="s">
        <v>56</v>
      </c>
      <c r="D793" t="s">
        <v>17</v>
      </c>
      <c r="E793" s="1">
        <v>43214.871180555558</v>
      </c>
      <c r="F793" t="s">
        <v>26</v>
      </c>
      <c r="G793" t="s">
        <v>34</v>
      </c>
      <c r="H793" t="s">
        <v>20</v>
      </c>
      <c r="I793" t="s">
        <v>1796</v>
      </c>
      <c r="J793" t="s">
        <v>1796</v>
      </c>
      <c r="K793" t="s">
        <v>1796</v>
      </c>
      <c r="L793" t="s">
        <v>21</v>
      </c>
      <c r="M793">
        <v>0</v>
      </c>
      <c r="N793">
        <v>0</v>
      </c>
      <c r="O793" t="str">
        <f>_xlfn.XLOOKUP(olist_closed_deals_dataset[[#This Row],[mql_id]], leads!A:A, leads!D:D, "Unknow" )</f>
        <v>paid_search</v>
      </c>
      <c r="P793" t="str">
        <f>IF(olist_closed_deals_dataset[[#This Row],[declared_monthly_revenue]] &gt;= 10000, "High Values ", IF(olist_closed_deals_dataset[[#This Row],[declared_monthly_revenue]] &gt; 0, "Stander ", "No Revenue " ))</f>
        <v xml:space="preserve">No Revenue </v>
      </c>
    </row>
    <row r="794" spans="1:16" x14ac:dyDescent="0.2">
      <c r="A794" t="s">
        <v>1695</v>
      </c>
      <c r="B794" t="s">
        <v>1696</v>
      </c>
      <c r="C794" t="s">
        <v>37</v>
      </c>
      <c r="D794" t="s">
        <v>17</v>
      </c>
      <c r="E794" s="1">
        <v>43137.84615740741</v>
      </c>
      <c r="F794" t="s">
        <v>92</v>
      </c>
      <c r="G794" t="s">
        <v>57</v>
      </c>
      <c r="H794" t="s">
        <v>1796</v>
      </c>
      <c r="I794" t="s">
        <v>1796</v>
      </c>
      <c r="J794" t="s">
        <v>1796</v>
      </c>
      <c r="K794" t="s">
        <v>1796</v>
      </c>
      <c r="L794" t="s">
        <v>21</v>
      </c>
      <c r="M794">
        <v>0</v>
      </c>
      <c r="N794">
        <v>0</v>
      </c>
      <c r="O794" t="str">
        <f>_xlfn.XLOOKUP(olist_closed_deals_dataset[[#This Row],[mql_id]], leads!A:A, leads!D:D, "Unknow" )</f>
        <v>organic_search</v>
      </c>
      <c r="P794" t="str">
        <f>IF(olist_closed_deals_dataset[[#This Row],[declared_monthly_revenue]] &gt;= 10000, "High Values ", IF(olist_closed_deals_dataset[[#This Row],[declared_monthly_revenue]] &gt; 0, "Stander ", "No Revenue " ))</f>
        <v xml:space="preserve">No Revenue </v>
      </c>
    </row>
    <row r="795" spans="1:16" x14ac:dyDescent="0.2">
      <c r="A795" t="s">
        <v>1697</v>
      </c>
      <c r="B795" t="s">
        <v>1698</v>
      </c>
      <c r="C795" t="s">
        <v>65</v>
      </c>
      <c r="D795" t="s">
        <v>17</v>
      </c>
      <c r="E795" s="1">
        <v>43182.880069444444</v>
      </c>
      <c r="F795" t="s">
        <v>797</v>
      </c>
      <c r="G795" t="s">
        <v>19</v>
      </c>
      <c r="H795" t="s">
        <v>20</v>
      </c>
      <c r="I795" t="s">
        <v>1796</v>
      </c>
      <c r="J795" t="s">
        <v>1796</v>
      </c>
      <c r="K795" t="s">
        <v>1796</v>
      </c>
      <c r="L795" t="s">
        <v>21</v>
      </c>
      <c r="M795">
        <v>0</v>
      </c>
      <c r="N795">
        <v>0</v>
      </c>
      <c r="O795" t="str">
        <f>_xlfn.XLOOKUP(olist_closed_deals_dataset[[#This Row],[mql_id]], leads!A:A, leads!D:D, "Unknow" )</f>
        <v>paid_search</v>
      </c>
      <c r="P795" t="str">
        <f>IF(olist_closed_deals_dataset[[#This Row],[declared_monthly_revenue]] &gt;= 10000, "High Values ", IF(olist_closed_deals_dataset[[#This Row],[declared_monthly_revenue]] &gt; 0, "Stander ", "No Revenue " ))</f>
        <v xml:space="preserve">No Revenue </v>
      </c>
    </row>
    <row r="796" spans="1:16" x14ac:dyDescent="0.2">
      <c r="A796" t="s">
        <v>1699</v>
      </c>
      <c r="B796" t="s">
        <v>1700</v>
      </c>
      <c r="C796" t="s">
        <v>71</v>
      </c>
      <c r="D796" t="s">
        <v>32</v>
      </c>
      <c r="E796" s="1">
        <v>43119.550115740742</v>
      </c>
      <c r="F796" t="s">
        <v>96</v>
      </c>
      <c r="G796" t="s">
        <v>19</v>
      </c>
      <c r="H796" t="s">
        <v>1796</v>
      </c>
      <c r="I796" t="s">
        <v>1796</v>
      </c>
      <c r="J796" t="s">
        <v>1796</v>
      </c>
      <c r="K796" t="s">
        <v>1796</v>
      </c>
      <c r="L796" t="s">
        <v>21</v>
      </c>
      <c r="M796">
        <v>0</v>
      </c>
      <c r="N796">
        <v>0</v>
      </c>
      <c r="O796" t="str">
        <f>_xlfn.XLOOKUP(olist_closed_deals_dataset[[#This Row],[mql_id]], leads!A:A, leads!D:D, "Unknow" )</f>
        <v>Unknow</v>
      </c>
      <c r="P796" t="str">
        <f>IF(olist_closed_deals_dataset[[#This Row],[declared_monthly_revenue]] &gt;= 10000, "High Values ", IF(olist_closed_deals_dataset[[#This Row],[declared_monthly_revenue]] &gt; 0, "Stander ", "No Revenue " ))</f>
        <v xml:space="preserve">No Revenue </v>
      </c>
    </row>
    <row r="797" spans="1:16" x14ac:dyDescent="0.2">
      <c r="A797" t="s">
        <v>1701</v>
      </c>
      <c r="B797" t="s">
        <v>1702</v>
      </c>
      <c r="C797" t="s">
        <v>42</v>
      </c>
      <c r="D797" t="s">
        <v>17</v>
      </c>
      <c r="E797" s="1">
        <v>43126.685613425929</v>
      </c>
      <c r="F797" t="s">
        <v>92</v>
      </c>
      <c r="G797" t="s">
        <v>19</v>
      </c>
      <c r="H797" t="s">
        <v>1796</v>
      </c>
      <c r="I797" t="s">
        <v>1796</v>
      </c>
      <c r="J797" t="s">
        <v>1796</v>
      </c>
      <c r="K797" t="s">
        <v>1796</v>
      </c>
      <c r="L797" t="s">
        <v>21</v>
      </c>
      <c r="M797">
        <v>0</v>
      </c>
      <c r="N797">
        <v>0</v>
      </c>
      <c r="O797" t="str">
        <f>_xlfn.XLOOKUP(olist_closed_deals_dataset[[#This Row],[mql_id]], leads!A:A, leads!D:D, "Unknow" )</f>
        <v>organic_search</v>
      </c>
      <c r="P797" t="str">
        <f>IF(olist_closed_deals_dataset[[#This Row],[declared_monthly_revenue]] &gt;= 10000, "High Values ", IF(olist_closed_deals_dataset[[#This Row],[declared_monthly_revenue]] &gt; 0, "Stander ", "No Revenue " ))</f>
        <v xml:space="preserve">No Revenue </v>
      </c>
    </row>
    <row r="798" spans="1:16" x14ac:dyDescent="0.2">
      <c r="A798" t="s">
        <v>1703</v>
      </c>
      <c r="B798" t="s">
        <v>1704</v>
      </c>
      <c r="C798" t="s">
        <v>37</v>
      </c>
      <c r="D798" t="s">
        <v>95</v>
      </c>
      <c r="E798" s="1">
        <v>43108.083333333336</v>
      </c>
      <c r="F798" t="s">
        <v>138</v>
      </c>
      <c r="G798" t="s">
        <v>34</v>
      </c>
      <c r="H798" t="s">
        <v>1796</v>
      </c>
      <c r="I798" t="s">
        <v>1796</v>
      </c>
      <c r="J798" t="s">
        <v>1796</v>
      </c>
      <c r="K798" t="s">
        <v>1796</v>
      </c>
      <c r="L798" t="s">
        <v>21</v>
      </c>
      <c r="M798">
        <v>0</v>
      </c>
      <c r="N798">
        <v>0</v>
      </c>
      <c r="O798" t="str">
        <f>_xlfn.XLOOKUP(olist_closed_deals_dataset[[#This Row],[mql_id]], leads!A:A, leads!D:D, "Unknow" )</f>
        <v>unknown</v>
      </c>
      <c r="P798" t="str">
        <f>IF(olist_closed_deals_dataset[[#This Row],[declared_monthly_revenue]] &gt;= 10000, "High Values ", IF(olist_closed_deals_dataset[[#This Row],[declared_monthly_revenue]] &gt; 0, "Stander ", "No Revenue " ))</f>
        <v xml:space="preserve">No Revenue </v>
      </c>
    </row>
    <row r="799" spans="1:16" x14ac:dyDescent="0.2">
      <c r="A799" t="s">
        <v>1705</v>
      </c>
      <c r="B799" t="s">
        <v>1706</v>
      </c>
      <c r="C799" t="s">
        <v>71</v>
      </c>
      <c r="D799" t="s">
        <v>17</v>
      </c>
      <c r="E799" s="1">
        <v>43216.816817129627</v>
      </c>
      <c r="F799" t="s">
        <v>494</v>
      </c>
      <c r="G799" t="s">
        <v>57</v>
      </c>
      <c r="H799" t="s">
        <v>1796</v>
      </c>
      <c r="I799" t="s">
        <v>1796</v>
      </c>
      <c r="J799" t="s">
        <v>1796</v>
      </c>
      <c r="K799" t="s">
        <v>1796</v>
      </c>
      <c r="L799" t="s">
        <v>21</v>
      </c>
      <c r="M799">
        <v>0</v>
      </c>
      <c r="N799">
        <v>0</v>
      </c>
      <c r="O799" t="str">
        <f>_xlfn.XLOOKUP(olist_closed_deals_dataset[[#This Row],[mql_id]], leads!A:A, leads!D:D, "Unknow" )</f>
        <v>unknown</v>
      </c>
      <c r="P799" t="str">
        <f>IF(olist_closed_deals_dataset[[#This Row],[declared_monthly_revenue]] &gt;= 10000, "High Values ", IF(olist_closed_deals_dataset[[#This Row],[declared_monthly_revenue]] &gt; 0, "Stander ", "No Revenue " ))</f>
        <v xml:space="preserve">No Revenue </v>
      </c>
    </row>
    <row r="800" spans="1:16" x14ac:dyDescent="0.2">
      <c r="A800" t="s">
        <v>1707</v>
      </c>
      <c r="B800" t="s">
        <v>1708</v>
      </c>
      <c r="C800" t="s">
        <v>56</v>
      </c>
      <c r="D800" t="s">
        <v>81</v>
      </c>
      <c r="E800" s="1">
        <v>43242.537916666668</v>
      </c>
      <c r="F800" t="s">
        <v>92</v>
      </c>
      <c r="G800" t="s">
        <v>27</v>
      </c>
      <c r="H800" t="s">
        <v>20</v>
      </c>
      <c r="I800" t="s">
        <v>1796</v>
      </c>
      <c r="J800" t="s">
        <v>1796</v>
      </c>
      <c r="K800" t="s">
        <v>1796</v>
      </c>
      <c r="L800" t="s">
        <v>44</v>
      </c>
      <c r="M800">
        <v>0</v>
      </c>
      <c r="N800">
        <v>0</v>
      </c>
      <c r="O800" t="str">
        <f>_xlfn.XLOOKUP(olist_closed_deals_dataset[[#This Row],[mql_id]], leads!A:A, leads!D:D, "Unknow" )</f>
        <v>organic_search</v>
      </c>
      <c r="P800" t="str">
        <f>IF(olist_closed_deals_dataset[[#This Row],[declared_monthly_revenue]] &gt;= 10000, "High Values ", IF(olist_closed_deals_dataset[[#This Row],[declared_monthly_revenue]] &gt; 0, "Stander ", "No Revenue " ))</f>
        <v xml:space="preserve">No Revenue </v>
      </c>
    </row>
    <row r="801" spans="1:16" x14ac:dyDescent="0.2">
      <c r="A801" t="s">
        <v>1709</v>
      </c>
      <c r="B801" t="s">
        <v>1710</v>
      </c>
      <c r="C801" t="s">
        <v>42</v>
      </c>
      <c r="D801" t="s">
        <v>71</v>
      </c>
      <c r="E801" s="1">
        <v>43255</v>
      </c>
      <c r="F801" t="s">
        <v>103</v>
      </c>
      <c r="G801" t="s">
        <v>27</v>
      </c>
      <c r="H801" t="s">
        <v>20</v>
      </c>
      <c r="I801" t="s">
        <v>1796</v>
      </c>
      <c r="J801" t="s">
        <v>1796</v>
      </c>
      <c r="K801" t="s">
        <v>1796</v>
      </c>
      <c r="L801" t="s">
        <v>44</v>
      </c>
      <c r="M801">
        <v>0</v>
      </c>
      <c r="N801">
        <v>0</v>
      </c>
      <c r="O801" t="str">
        <f>_xlfn.XLOOKUP(olist_closed_deals_dataset[[#This Row],[mql_id]], leads!A:A, leads!D:D, "Unknow" )</f>
        <v>unknown</v>
      </c>
      <c r="P801" t="str">
        <f>IF(olist_closed_deals_dataset[[#This Row],[declared_monthly_revenue]] &gt;= 10000, "High Values ", IF(olist_closed_deals_dataset[[#This Row],[declared_monthly_revenue]] &gt; 0, "Stander ", "No Revenue " ))</f>
        <v xml:space="preserve">No Revenue </v>
      </c>
    </row>
    <row r="802" spans="1:16" x14ac:dyDescent="0.2">
      <c r="A802" t="s">
        <v>1711</v>
      </c>
      <c r="B802" t="s">
        <v>1712</v>
      </c>
      <c r="C802" t="s">
        <v>71</v>
      </c>
      <c r="D802" t="s">
        <v>25</v>
      </c>
      <c r="E802" s="1">
        <v>43151.512106481481</v>
      </c>
      <c r="F802" t="s">
        <v>68</v>
      </c>
      <c r="G802" t="s">
        <v>27</v>
      </c>
      <c r="H802" t="s">
        <v>28</v>
      </c>
      <c r="I802" t="s">
        <v>1796</v>
      </c>
      <c r="J802" t="s">
        <v>1796</v>
      </c>
      <c r="K802" t="s">
        <v>1796</v>
      </c>
      <c r="L802" t="s">
        <v>21</v>
      </c>
      <c r="M802">
        <v>0</v>
      </c>
      <c r="N802">
        <v>0</v>
      </c>
      <c r="O802" t="str">
        <f>_xlfn.XLOOKUP(olist_closed_deals_dataset[[#This Row],[mql_id]], leads!A:A, leads!D:D, "Unknow" )</f>
        <v>social</v>
      </c>
      <c r="P802" t="str">
        <f>IF(olist_closed_deals_dataset[[#This Row],[declared_monthly_revenue]] &gt;= 10000, "High Values ", IF(olist_closed_deals_dataset[[#This Row],[declared_monthly_revenue]] &gt; 0, "Stander ", "No Revenue " ))</f>
        <v xml:space="preserve">No Revenue </v>
      </c>
    </row>
    <row r="803" spans="1:16" x14ac:dyDescent="0.2">
      <c r="A803" t="s">
        <v>1713</v>
      </c>
      <c r="B803" t="s">
        <v>1714</v>
      </c>
      <c r="C803" t="s">
        <v>65</v>
      </c>
      <c r="D803" t="s">
        <v>48</v>
      </c>
      <c r="E803" s="1">
        <v>43172.842187499999</v>
      </c>
      <c r="F803" t="s">
        <v>82</v>
      </c>
      <c r="G803" t="s">
        <v>34</v>
      </c>
      <c r="H803" t="s">
        <v>20</v>
      </c>
      <c r="I803" t="s">
        <v>1796</v>
      </c>
      <c r="J803" t="s">
        <v>1796</v>
      </c>
      <c r="K803" t="s">
        <v>1796</v>
      </c>
      <c r="L803" t="s">
        <v>21</v>
      </c>
      <c r="M803">
        <v>0</v>
      </c>
      <c r="N803">
        <v>0</v>
      </c>
      <c r="O803" t="str">
        <f>_xlfn.XLOOKUP(olist_closed_deals_dataset[[#This Row],[mql_id]], leads!A:A, leads!D:D, "Unknow" )</f>
        <v>organic_search</v>
      </c>
      <c r="P803" t="str">
        <f>IF(olist_closed_deals_dataset[[#This Row],[declared_monthly_revenue]] &gt;= 10000, "High Values ", IF(olist_closed_deals_dataset[[#This Row],[declared_monthly_revenue]] &gt; 0, "Stander ", "No Revenue " ))</f>
        <v xml:space="preserve">No Revenue </v>
      </c>
    </row>
    <row r="804" spans="1:16" x14ac:dyDescent="0.2">
      <c r="A804" t="s">
        <v>1715</v>
      </c>
      <c r="B804" t="s">
        <v>1716</v>
      </c>
      <c r="C804" t="s">
        <v>42</v>
      </c>
      <c r="D804" t="s">
        <v>32</v>
      </c>
      <c r="E804" s="1">
        <v>43238.834768518522</v>
      </c>
      <c r="F804" t="s">
        <v>68</v>
      </c>
      <c r="G804" t="s">
        <v>39</v>
      </c>
      <c r="H804" t="s">
        <v>20</v>
      </c>
      <c r="I804" t="s">
        <v>1796</v>
      </c>
      <c r="J804" t="s">
        <v>1796</v>
      </c>
      <c r="K804" t="s">
        <v>1796</v>
      </c>
      <c r="L804" t="s">
        <v>21</v>
      </c>
      <c r="M804">
        <v>0</v>
      </c>
      <c r="N804">
        <v>0</v>
      </c>
      <c r="O804" t="str">
        <f>_xlfn.XLOOKUP(olist_closed_deals_dataset[[#This Row],[mql_id]], leads!A:A, leads!D:D, "Unknow" )</f>
        <v>unknown</v>
      </c>
      <c r="P804" t="str">
        <f>IF(olist_closed_deals_dataset[[#This Row],[declared_monthly_revenue]] &gt;= 10000, "High Values ", IF(olist_closed_deals_dataset[[#This Row],[declared_monthly_revenue]] &gt; 0, "Stander ", "No Revenue " ))</f>
        <v xml:space="preserve">No Revenue </v>
      </c>
    </row>
    <row r="805" spans="1:16" x14ac:dyDescent="0.2">
      <c r="A805" t="s">
        <v>1717</v>
      </c>
      <c r="B805" t="s">
        <v>1718</v>
      </c>
      <c r="C805" t="s">
        <v>127</v>
      </c>
      <c r="D805" t="s">
        <v>37</v>
      </c>
      <c r="E805" s="1">
        <v>43311.584733796299</v>
      </c>
      <c r="F805" t="s">
        <v>96</v>
      </c>
      <c r="G805" t="s">
        <v>112</v>
      </c>
      <c r="H805" t="s">
        <v>28</v>
      </c>
      <c r="I805" t="s">
        <v>1796</v>
      </c>
      <c r="J805" t="s">
        <v>1796</v>
      </c>
      <c r="K805" t="s">
        <v>1796</v>
      </c>
      <c r="L805" t="s">
        <v>44</v>
      </c>
      <c r="M805">
        <v>0</v>
      </c>
      <c r="N805">
        <v>0</v>
      </c>
      <c r="O805" t="str">
        <f>_xlfn.XLOOKUP(olist_closed_deals_dataset[[#This Row],[mql_id]], leads!A:A, leads!D:D, "Unknow" )</f>
        <v>social</v>
      </c>
      <c r="P805" t="str">
        <f>IF(olist_closed_deals_dataset[[#This Row],[declared_monthly_revenue]] &gt;= 10000, "High Values ", IF(olist_closed_deals_dataset[[#This Row],[declared_monthly_revenue]] &gt; 0, "Stander ", "No Revenue " ))</f>
        <v xml:space="preserve">No Revenue </v>
      </c>
    </row>
    <row r="806" spans="1:16" x14ac:dyDescent="0.2">
      <c r="A806" t="s">
        <v>1719</v>
      </c>
      <c r="B806" t="s">
        <v>1720</v>
      </c>
      <c r="C806" t="s">
        <v>47</v>
      </c>
      <c r="D806" t="s">
        <v>48</v>
      </c>
      <c r="E806" s="1">
        <v>43157.613935185182</v>
      </c>
      <c r="F806" t="s">
        <v>96</v>
      </c>
      <c r="G806" t="s">
        <v>27</v>
      </c>
      <c r="H806" t="s">
        <v>28</v>
      </c>
      <c r="I806" t="s">
        <v>1796</v>
      </c>
      <c r="J806" t="s">
        <v>1796</v>
      </c>
      <c r="K806" t="s">
        <v>1796</v>
      </c>
      <c r="L806" t="s">
        <v>1796</v>
      </c>
      <c r="M806">
        <v>0</v>
      </c>
      <c r="N806">
        <v>0</v>
      </c>
      <c r="O806" t="str">
        <f>_xlfn.XLOOKUP(olist_closed_deals_dataset[[#This Row],[mql_id]], leads!A:A, leads!D:D, "Unknow" )</f>
        <v>direct_traffic</v>
      </c>
      <c r="P806" t="str">
        <f>IF(olist_closed_deals_dataset[[#This Row],[declared_monthly_revenue]] &gt;= 10000, "High Values ", IF(olist_closed_deals_dataset[[#This Row],[declared_monthly_revenue]] &gt; 0, "Stander ", "No Revenue " ))</f>
        <v xml:space="preserve">No Revenue </v>
      </c>
    </row>
    <row r="807" spans="1:16" x14ac:dyDescent="0.2">
      <c r="A807" t="s">
        <v>1721</v>
      </c>
      <c r="B807" t="s">
        <v>1722</v>
      </c>
      <c r="C807" t="s">
        <v>127</v>
      </c>
      <c r="D807" t="s">
        <v>48</v>
      </c>
      <c r="E807" s="1">
        <v>43280.746018518519</v>
      </c>
      <c r="F807" t="s">
        <v>96</v>
      </c>
      <c r="G807" t="s">
        <v>19</v>
      </c>
      <c r="H807" t="s">
        <v>43</v>
      </c>
      <c r="I807" t="s">
        <v>1796</v>
      </c>
      <c r="J807" t="s">
        <v>1796</v>
      </c>
      <c r="K807" t="s">
        <v>1796</v>
      </c>
      <c r="L807" t="s">
        <v>21</v>
      </c>
      <c r="M807">
        <v>0</v>
      </c>
      <c r="N807">
        <v>0</v>
      </c>
      <c r="O807" t="str">
        <f>_xlfn.XLOOKUP(olist_closed_deals_dataset[[#This Row],[mql_id]], leads!A:A, leads!D:D, "Unknow" )</f>
        <v>organic_search</v>
      </c>
      <c r="P807" t="str">
        <f>IF(olist_closed_deals_dataset[[#This Row],[declared_monthly_revenue]] &gt;= 10000, "High Values ", IF(olist_closed_deals_dataset[[#This Row],[declared_monthly_revenue]] &gt; 0, "Stander ", "No Revenue " ))</f>
        <v xml:space="preserve">No Revenue </v>
      </c>
    </row>
    <row r="808" spans="1:16" x14ac:dyDescent="0.2">
      <c r="A808" t="s">
        <v>1723</v>
      </c>
      <c r="B808" t="s">
        <v>1724</v>
      </c>
      <c r="C808" t="s">
        <v>64</v>
      </c>
      <c r="D808" t="s">
        <v>17</v>
      </c>
      <c r="E808" s="1">
        <v>43238.526805555557</v>
      </c>
      <c r="F808" t="s">
        <v>53</v>
      </c>
      <c r="G808" t="s">
        <v>27</v>
      </c>
      <c r="H808" t="s">
        <v>20</v>
      </c>
      <c r="I808" t="s">
        <v>1796</v>
      </c>
      <c r="J808" t="s">
        <v>1796</v>
      </c>
      <c r="K808" t="s">
        <v>1796</v>
      </c>
      <c r="L808" t="s">
        <v>21</v>
      </c>
      <c r="M808">
        <v>0</v>
      </c>
      <c r="N808">
        <v>0</v>
      </c>
      <c r="O808" t="str">
        <f>_xlfn.XLOOKUP(olist_closed_deals_dataset[[#This Row],[mql_id]], leads!A:A, leads!D:D, "Unknow" )</f>
        <v>social</v>
      </c>
      <c r="P808" t="str">
        <f>IF(olist_closed_deals_dataset[[#This Row],[declared_monthly_revenue]] &gt;= 10000, "High Values ", IF(olist_closed_deals_dataset[[#This Row],[declared_monthly_revenue]] &gt; 0, "Stander ", "No Revenue " ))</f>
        <v xml:space="preserve">No Revenue </v>
      </c>
    </row>
    <row r="809" spans="1:16" x14ac:dyDescent="0.2">
      <c r="A809" t="s">
        <v>1725</v>
      </c>
      <c r="B809" t="s">
        <v>1726</v>
      </c>
      <c r="C809" t="s">
        <v>81</v>
      </c>
      <c r="D809" t="s">
        <v>32</v>
      </c>
      <c r="E809" s="1">
        <v>43124.519236111111</v>
      </c>
      <c r="F809" t="s">
        <v>111</v>
      </c>
      <c r="G809" t="s">
        <v>19</v>
      </c>
      <c r="H809" t="s">
        <v>1796</v>
      </c>
      <c r="I809" t="s">
        <v>1796</v>
      </c>
      <c r="J809" t="s">
        <v>1796</v>
      </c>
      <c r="K809" t="s">
        <v>1796</v>
      </c>
      <c r="L809" t="s">
        <v>21</v>
      </c>
      <c r="M809">
        <v>0</v>
      </c>
      <c r="N809">
        <v>0</v>
      </c>
      <c r="O809" t="str">
        <f>_xlfn.XLOOKUP(olist_closed_deals_dataset[[#This Row],[mql_id]], leads!A:A, leads!D:D, "Unknow" )</f>
        <v>unknown</v>
      </c>
      <c r="P809" t="str">
        <f>IF(olist_closed_deals_dataset[[#This Row],[declared_monthly_revenue]] &gt;= 10000, "High Values ", IF(olist_closed_deals_dataset[[#This Row],[declared_monthly_revenue]] &gt; 0, "Stander ", "No Revenue " ))</f>
        <v xml:space="preserve">No Revenue </v>
      </c>
    </row>
    <row r="810" spans="1:16" x14ac:dyDescent="0.2">
      <c r="A810" t="s">
        <v>1727</v>
      </c>
      <c r="B810" t="s">
        <v>1728</v>
      </c>
      <c r="C810" t="s">
        <v>71</v>
      </c>
      <c r="D810" t="s">
        <v>77</v>
      </c>
      <c r="E810" s="1">
        <v>43150.82708333333</v>
      </c>
      <c r="F810" t="s">
        <v>68</v>
      </c>
      <c r="G810" t="s">
        <v>27</v>
      </c>
      <c r="H810" t="s">
        <v>28</v>
      </c>
      <c r="I810" t="s">
        <v>1796</v>
      </c>
      <c r="J810" t="s">
        <v>1796</v>
      </c>
      <c r="K810" t="s">
        <v>1796</v>
      </c>
      <c r="L810" t="s">
        <v>21</v>
      </c>
      <c r="M810">
        <v>0</v>
      </c>
      <c r="N810">
        <v>0</v>
      </c>
      <c r="O810" t="str">
        <f>_xlfn.XLOOKUP(olist_closed_deals_dataset[[#This Row],[mql_id]], leads!A:A, leads!D:D, "Unknow" )</f>
        <v>unknown</v>
      </c>
      <c r="P810" t="str">
        <f>IF(olist_closed_deals_dataset[[#This Row],[declared_monthly_revenue]] &gt;= 10000, "High Values ", IF(olist_closed_deals_dataset[[#This Row],[declared_monthly_revenue]] &gt; 0, "Stander ", "No Revenue " ))</f>
        <v xml:space="preserve">No Revenue </v>
      </c>
    </row>
    <row r="811" spans="1:16" x14ac:dyDescent="0.2">
      <c r="A811" t="s">
        <v>1729</v>
      </c>
      <c r="B811" t="s">
        <v>1730</v>
      </c>
      <c r="C811" t="s">
        <v>42</v>
      </c>
      <c r="D811" t="s">
        <v>81</v>
      </c>
      <c r="E811" s="1">
        <v>43249.787164351852</v>
      </c>
      <c r="F811" t="s">
        <v>49</v>
      </c>
      <c r="G811" t="s">
        <v>19</v>
      </c>
      <c r="H811" t="s">
        <v>20</v>
      </c>
      <c r="I811" t="s">
        <v>1796</v>
      </c>
      <c r="J811" t="s">
        <v>1796</v>
      </c>
      <c r="K811" t="s">
        <v>1796</v>
      </c>
      <c r="L811" t="s">
        <v>21</v>
      </c>
      <c r="M811">
        <v>0</v>
      </c>
      <c r="N811">
        <v>0</v>
      </c>
      <c r="O811" t="str">
        <f>_xlfn.XLOOKUP(olist_closed_deals_dataset[[#This Row],[mql_id]], leads!A:A, leads!D:D, "Unknow" )</f>
        <v>paid_search</v>
      </c>
      <c r="P811" t="str">
        <f>IF(olist_closed_deals_dataset[[#This Row],[declared_monthly_revenue]] &gt;= 10000, "High Values ", IF(olist_closed_deals_dataset[[#This Row],[declared_monthly_revenue]] &gt; 0, "Stander ", "No Revenue " ))</f>
        <v xml:space="preserve">No Revenue </v>
      </c>
    </row>
    <row r="812" spans="1:16" x14ac:dyDescent="0.2">
      <c r="A812" t="s">
        <v>1731</v>
      </c>
      <c r="B812" t="s">
        <v>1732</v>
      </c>
      <c r="C812" t="s">
        <v>1733</v>
      </c>
      <c r="D812" t="s">
        <v>56</v>
      </c>
      <c r="E812" s="1">
        <v>43416.803761574076</v>
      </c>
      <c r="F812" t="s">
        <v>160</v>
      </c>
      <c r="G812" t="s">
        <v>160</v>
      </c>
      <c r="H812" t="s">
        <v>281</v>
      </c>
      <c r="I812" t="b">
        <v>1</v>
      </c>
      <c r="J812" t="b">
        <v>1</v>
      </c>
      <c r="K812" t="s">
        <v>199</v>
      </c>
      <c r="L812" t="s">
        <v>160</v>
      </c>
      <c r="M812">
        <v>305</v>
      </c>
      <c r="N812">
        <v>120000</v>
      </c>
      <c r="O812" t="str">
        <f>_xlfn.XLOOKUP(olist_closed_deals_dataset[[#This Row],[mql_id]], leads!A:A, leads!D:D, "Unknow" )</f>
        <v>paid_search</v>
      </c>
      <c r="P812" t="str">
        <f>IF(olist_closed_deals_dataset[[#This Row],[declared_monthly_revenue]] &gt;= 10000, "High Values ", IF(olist_closed_deals_dataset[[#This Row],[declared_monthly_revenue]] &gt; 0, "Stander ", "No Revenue " ))</f>
        <v xml:space="preserve">High Values </v>
      </c>
    </row>
    <row r="813" spans="1:16" x14ac:dyDescent="0.2">
      <c r="A813" t="s">
        <v>1734</v>
      </c>
      <c r="B813" t="s">
        <v>1735</v>
      </c>
      <c r="C813" t="s">
        <v>127</v>
      </c>
      <c r="D813" t="s">
        <v>71</v>
      </c>
      <c r="E813" s="1">
        <v>43353.866678240738</v>
      </c>
      <c r="F813" t="s">
        <v>49</v>
      </c>
      <c r="G813" t="s">
        <v>19</v>
      </c>
      <c r="H813" t="s">
        <v>122</v>
      </c>
      <c r="I813" t="b">
        <v>1</v>
      </c>
      <c r="J813" t="b">
        <v>1</v>
      </c>
      <c r="K813" t="s">
        <v>352</v>
      </c>
      <c r="L813" t="s">
        <v>21</v>
      </c>
      <c r="M813">
        <v>300</v>
      </c>
      <c r="N813">
        <v>0</v>
      </c>
      <c r="O813" t="str">
        <f>_xlfn.XLOOKUP(olist_closed_deals_dataset[[#This Row],[mql_id]], leads!A:A, leads!D:D, "Unknow" )</f>
        <v>paid_search</v>
      </c>
      <c r="P813" t="str">
        <f>IF(olist_closed_deals_dataset[[#This Row],[declared_monthly_revenue]] &gt;= 10000, "High Values ", IF(olist_closed_deals_dataset[[#This Row],[declared_monthly_revenue]] &gt; 0, "Stander ", "No Revenue " ))</f>
        <v xml:space="preserve">No Revenue </v>
      </c>
    </row>
    <row r="814" spans="1:16" x14ac:dyDescent="0.2">
      <c r="A814" t="s">
        <v>1736</v>
      </c>
      <c r="B814" t="s">
        <v>1737</v>
      </c>
      <c r="C814" t="s">
        <v>42</v>
      </c>
      <c r="D814" t="s">
        <v>37</v>
      </c>
      <c r="E814" s="1">
        <v>43195.687071759261</v>
      </c>
      <c r="F814" t="s">
        <v>186</v>
      </c>
      <c r="G814" t="s">
        <v>57</v>
      </c>
      <c r="H814" t="s">
        <v>20</v>
      </c>
      <c r="I814" t="s">
        <v>1796</v>
      </c>
      <c r="J814" t="s">
        <v>1796</v>
      </c>
      <c r="K814" t="s">
        <v>1796</v>
      </c>
      <c r="L814" t="s">
        <v>21</v>
      </c>
      <c r="M814">
        <v>0</v>
      </c>
      <c r="N814">
        <v>0</v>
      </c>
      <c r="O814" t="str">
        <f>_xlfn.XLOOKUP(olist_closed_deals_dataset[[#This Row],[mql_id]], leads!A:A, leads!D:D, "Unknow" )</f>
        <v>Unknow</v>
      </c>
      <c r="P814" t="str">
        <f>IF(olist_closed_deals_dataset[[#This Row],[declared_monthly_revenue]] &gt;= 10000, "High Values ", IF(olist_closed_deals_dataset[[#This Row],[declared_monthly_revenue]] &gt; 0, "Stander ", "No Revenue " ))</f>
        <v xml:space="preserve">No Revenue </v>
      </c>
    </row>
    <row r="815" spans="1:16" x14ac:dyDescent="0.2">
      <c r="A815" t="s">
        <v>1738</v>
      </c>
      <c r="B815" t="s">
        <v>1739</v>
      </c>
      <c r="C815" t="s">
        <v>81</v>
      </c>
      <c r="D815" t="s">
        <v>181</v>
      </c>
      <c r="E815" s="1">
        <v>43403.496087962965</v>
      </c>
      <c r="F815" t="s">
        <v>68</v>
      </c>
      <c r="G815" t="s">
        <v>34</v>
      </c>
      <c r="H815" t="s">
        <v>122</v>
      </c>
      <c r="I815" t="b">
        <v>1</v>
      </c>
      <c r="J815" t="b">
        <v>1</v>
      </c>
      <c r="K815" t="s">
        <v>1796</v>
      </c>
      <c r="L815" t="s">
        <v>44</v>
      </c>
      <c r="M815">
        <v>10</v>
      </c>
      <c r="N815">
        <v>250000</v>
      </c>
      <c r="O815" t="str">
        <f>_xlfn.XLOOKUP(olist_closed_deals_dataset[[#This Row],[mql_id]], leads!A:A, leads!D:D, "Unknow" )</f>
        <v>unknown</v>
      </c>
      <c r="P815" t="str">
        <f>IF(olist_closed_deals_dataset[[#This Row],[declared_monthly_revenue]] &gt;= 10000, "High Values ", IF(olist_closed_deals_dataset[[#This Row],[declared_monthly_revenue]] &gt; 0, "Stander ", "No Revenue " ))</f>
        <v xml:space="preserve">High Values </v>
      </c>
    </row>
    <row r="816" spans="1:16" x14ac:dyDescent="0.2">
      <c r="A816" t="s">
        <v>1740</v>
      </c>
      <c r="B816" t="s">
        <v>1741</v>
      </c>
      <c r="C816" t="s">
        <v>127</v>
      </c>
      <c r="D816" t="s">
        <v>32</v>
      </c>
      <c r="E816" s="1">
        <v>43196.703356481485</v>
      </c>
      <c r="F816" t="s">
        <v>138</v>
      </c>
      <c r="G816" t="s">
        <v>19</v>
      </c>
      <c r="H816" t="s">
        <v>20</v>
      </c>
      <c r="I816" t="s">
        <v>1796</v>
      </c>
      <c r="J816" t="s">
        <v>1796</v>
      </c>
      <c r="K816" t="s">
        <v>1796</v>
      </c>
      <c r="L816" t="s">
        <v>21</v>
      </c>
      <c r="M816">
        <v>0</v>
      </c>
      <c r="N816">
        <v>0</v>
      </c>
      <c r="O816" t="str">
        <f>_xlfn.XLOOKUP(olist_closed_deals_dataset[[#This Row],[mql_id]], leads!A:A, leads!D:D, "Unknow" )</f>
        <v>paid_search</v>
      </c>
      <c r="P816" t="str">
        <f>IF(olist_closed_deals_dataset[[#This Row],[declared_monthly_revenue]] &gt;= 10000, "High Values ", IF(olist_closed_deals_dataset[[#This Row],[declared_monthly_revenue]] &gt; 0, "Stander ", "No Revenue " ))</f>
        <v xml:space="preserve">No Revenue </v>
      </c>
    </row>
    <row r="817" spans="1:16" x14ac:dyDescent="0.2">
      <c r="A817" t="s">
        <v>1742</v>
      </c>
      <c r="B817" t="s">
        <v>1743</v>
      </c>
      <c r="C817" t="s">
        <v>81</v>
      </c>
      <c r="D817" t="s">
        <v>71</v>
      </c>
      <c r="E817" s="1">
        <v>43207.720937500002</v>
      </c>
      <c r="F817" t="s">
        <v>26</v>
      </c>
      <c r="G817" t="s">
        <v>19</v>
      </c>
      <c r="H817" t="s">
        <v>20</v>
      </c>
      <c r="I817" t="s">
        <v>1796</v>
      </c>
      <c r="J817" t="s">
        <v>1796</v>
      </c>
      <c r="K817" t="s">
        <v>1796</v>
      </c>
      <c r="L817" t="s">
        <v>21</v>
      </c>
      <c r="M817">
        <v>0</v>
      </c>
      <c r="N817">
        <v>0</v>
      </c>
      <c r="O817" t="str">
        <f>_xlfn.XLOOKUP(olist_closed_deals_dataset[[#This Row],[mql_id]], leads!A:A, leads!D:D, "Unknow" )</f>
        <v>social</v>
      </c>
      <c r="P817" t="str">
        <f>IF(olist_closed_deals_dataset[[#This Row],[declared_monthly_revenue]] &gt;= 10000, "High Values ", IF(olist_closed_deals_dataset[[#This Row],[declared_monthly_revenue]] &gt; 0, "Stander ", "No Revenue " ))</f>
        <v xml:space="preserve">No Revenue </v>
      </c>
    </row>
    <row r="818" spans="1:16" x14ac:dyDescent="0.2">
      <c r="A818" t="s">
        <v>1744</v>
      </c>
      <c r="B818" t="s">
        <v>1745</v>
      </c>
      <c r="C818" t="s">
        <v>60</v>
      </c>
      <c r="D818" t="s">
        <v>37</v>
      </c>
      <c r="E818" s="1">
        <v>43250.125</v>
      </c>
      <c r="F818" t="s">
        <v>111</v>
      </c>
      <c r="G818" t="s">
        <v>112</v>
      </c>
      <c r="H818" t="s">
        <v>20</v>
      </c>
      <c r="I818" t="s">
        <v>1796</v>
      </c>
      <c r="J818" t="s">
        <v>1796</v>
      </c>
      <c r="K818" t="s">
        <v>1796</v>
      </c>
      <c r="L818" t="s">
        <v>21</v>
      </c>
      <c r="M818">
        <v>0</v>
      </c>
      <c r="N818">
        <v>0</v>
      </c>
      <c r="O818" t="str">
        <f>_xlfn.XLOOKUP(olist_closed_deals_dataset[[#This Row],[mql_id]], leads!A:A, leads!D:D, "Unknow" )</f>
        <v>unknown</v>
      </c>
      <c r="P818" t="str">
        <f>IF(olist_closed_deals_dataset[[#This Row],[declared_monthly_revenue]] &gt;= 10000, "High Values ", IF(olist_closed_deals_dataset[[#This Row],[declared_monthly_revenue]] &gt; 0, "Stander ", "No Revenue " ))</f>
        <v xml:space="preserve">No Revenue </v>
      </c>
    </row>
    <row r="819" spans="1:16" x14ac:dyDescent="0.2">
      <c r="A819" t="s">
        <v>1746</v>
      </c>
      <c r="B819" t="s">
        <v>1747</v>
      </c>
      <c r="C819" t="s">
        <v>81</v>
      </c>
      <c r="D819" t="s">
        <v>74</v>
      </c>
      <c r="E819" s="1">
        <v>43146.477280092593</v>
      </c>
      <c r="F819" t="s">
        <v>61</v>
      </c>
      <c r="G819" t="s">
        <v>112</v>
      </c>
      <c r="H819" t="s">
        <v>1796</v>
      </c>
      <c r="I819" t="s">
        <v>1796</v>
      </c>
      <c r="J819" t="s">
        <v>1796</v>
      </c>
      <c r="K819" t="s">
        <v>1796</v>
      </c>
      <c r="L819" t="s">
        <v>21</v>
      </c>
      <c r="M819">
        <v>0</v>
      </c>
      <c r="N819">
        <v>0</v>
      </c>
      <c r="O819" t="str">
        <f>_xlfn.XLOOKUP(olist_closed_deals_dataset[[#This Row],[mql_id]], leads!A:A, leads!D:D, "Unknow" )</f>
        <v>social</v>
      </c>
      <c r="P819" t="str">
        <f>IF(olist_closed_deals_dataset[[#This Row],[declared_monthly_revenue]] &gt;= 10000, "High Values ", IF(olist_closed_deals_dataset[[#This Row],[declared_monthly_revenue]] &gt; 0, "Stander ", "No Revenue " ))</f>
        <v xml:space="preserve">No Revenue </v>
      </c>
    </row>
    <row r="820" spans="1:16" x14ac:dyDescent="0.2">
      <c r="A820" t="s">
        <v>1748</v>
      </c>
      <c r="B820" t="s">
        <v>1749</v>
      </c>
      <c r="C820" t="s">
        <v>42</v>
      </c>
      <c r="D820" t="s">
        <v>74</v>
      </c>
      <c r="E820" s="1">
        <v>43152.560972222222</v>
      </c>
      <c r="F820" t="s">
        <v>415</v>
      </c>
      <c r="G820" t="s">
        <v>34</v>
      </c>
      <c r="H820" t="s">
        <v>20</v>
      </c>
      <c r="I820" t="s">
        <v>1796</v>
      </c>
      <c r="J820" t="s">
        <v>1796</v>
      </c>
      <c r="K820" t="s">
        <v>1796</v>
      </c>
      <c r="L820" t="s">
        <v>21</v>
      </c>
      <c r="M820">
        <v>0</v>
      </c>
      <c r="N820">
        <v>0</v>
      </c>
      <c r="O820" t="str">
        <f>_xlfn.XLOOKUP(olist_closed_deals_dataset[[#This Row],[mql_id]], leads!A:A, leads!D:D, "Unknow" )</f>
        <v>paid_search</v>
      </c>
      <c r="P820" t="str">
        <f>IF(olist_closed_deals_dataset[[#This Row],[declared_monthly_revenue]] &gt;= 10000, "High Values ", IF(olist_closed_deals_dataset[[#This Row],[declared_monthly_revenue]] &gt; 0, "Stander ", "No Revenue " ))</f>
        <v xml:space="preserve">No Revenue </v>
      </c>
    </row>
    <row r="821" spans="1:16" x14ac:dyDescent="0.2">
      <c r="A821" t="s">
        <v>1750</v>
      </c>
      <c r="B821" t="s">
        <v>1751</v>
      </c>
      <c r="C821" t="s">
        <v>159</v>
      </c>
      <c r="D821" t="s">
        <v>74</v>
      </c>
      <c r="E821" s="1">
        <v>43224.125</v>
      </c>
      <c r="F821" t="s">
        <v>82</v>
      </c>
      <c r="G821" t="s">
        <v>39</v>
      </c>
      <c r="H821" t="s">
        <v>20</v>
      </c>
      <c r="I821" t="s">
        <v>1796</v>
      </c>
      <c r="J821" t="s">
        <v>1796</v>
      </c>
      <c r="K821" t="s">
        <v>1796</v>
      </c>
      <c r="L821" t="s">
        <v>21</v>
      </c>
      <c r="M821">
        <v>0</v>
      </c>
      <c r="N821">
        <v>0</v>
      </c>
      <c r="O821" t="str">
        <f>_xlfn.XLOOKUP(olist_closed_deals_dataset[[#This Row],[mql_id]], leads!A:A, leads!D:D, "Unknow" )</f>
        <v>organic_search</v>
      </c>
      <c r="P821" t="str">
        <f>IF(olist_closed_deals_dataset[[#This Row],[declared_monthly_revenue]] &gt;= 10000, "High Values ", IF(olist_closed_deals_dataset[[#This Row],[declared_monthly_revenue]] &gt; 0, "Stander ", "No Revenue " ))</f>
        <v xml:space="preserve">No Revenue </v>
      </c>
    </row>
    <row r="822" spans="1:16" x14ac:dyDescent="0.2">
      <c r="A822" t="s">
        <v>1752</v>
      </c>
      <c r="B822" t="s">
        <v>1753</v>
      </c>
      <c r="C822" t="s">
        <v>47</v>
      </c>
      <c r="D822" t="s">
        <v>32</v>
      </c>
      <c r="E822" s="1">
        <v>43136.535833333335</v>
      </c>
      <c r="F822" t="s">
        <v>274</v>
      </c>
      <c r="G822" t="s">
        <v>19</v>
      </c>
      <c r="H822" t="s">
        <v>1796</v>
      </c>
      <c r="I822" t="s">
        <v>1796</v>
      </c>
      <c r="J822" t="s">
        <v>1796</v>
      </c>
      <c r="K822" t="s">
        <v>1796</v>
      </c>
      <c r="L822" t="s">
        <v>21</v>
      </c>
      <c r="M822">
        <v>0</v>
      </c>
      <c r="N822">
        <v>0</v>
      </c>
      <c r="O822" t="str">
        <f>_xlfn.XLOOKUP(olist_closed_deals_dataset[[#This Row],[mql_id]], leads!A:A, leads!D:D, "Unknow" )</f>
        <v>organic_search</v>
      </c>
      <c r="P822" t="str">
        <f>IF(olist_closed_deals_dataset[[#This Row],[declared_monthly_revenue]] &gt;= 10000, "High Values ", IF(olist_closed_deals_dataset[[#This Row],[declared_monthly_revenue]] &gt; 0, "Stander ", "No Revenue " ))</f>
        <v xml:space="preserve">No Revenue </v>
      </c>
    </row>
    <row r="823" spans="1:16" x14ac:dyDescent="0.2">
      <c r="A823" t="s">
        <v>1754</v>
      </c>
      <c r="B823" t="s">
        <v>1755</v>
      </c>
      <c r="C823" t="s">
        <v>37</v>
      </c>
      <c r="D823" t="s">
        <v>77</v>
      </c>
      <c r="E823" s="1">
        <v>43185.586053240739</v>
      </c>
      <c r="F823" t="s">
        <v>103</v>
      </c>
      <c r="G823" t="s">
        <v>112</v>
      </c>
      <c r="H823" t="s">
        <v>20</v>
      </c>
      <c r="I823" t="s">
        <v>1796</v>
      </c>
      <c r="J823" t="s">
        <v>1796</v>
      </c>
      <c r="K823" t="s">
        <v>1796</v>
      </c>
      <c r="L823" t="s">
        <v>21</v>
      </c>
      <c r="M823">
        <v>0</v>
      </c>
      <c r="N823">
        <v>0</v>
      </c>
      <c r="O823" t="str">
        <f>_xlfn.XLOOKUP(olist_closed_deals_dataset[[#This Row],[mql_id]], leads!A:A, leads!D:D, "Unknow" )</f>
        <v>other</v>
      </c>
      <c r="P823" t="str">
        <f>IF(olist_closed_deals_dataset[[#This Row],[declared_monthly_revenue]] &gt;= 10000, "High Values ", IF(olist_closed_deals_dataset[[#This Row],[declared_monthly_revenue]] &gt; 0, "Stander ", "No Revenue " ))</f>
        <v xml:space="preserve">No Revenue </v>
      </c>
    </row>
    <row r="824" spans="1:16" x14ac:dyDescent="0.2">
      <c r="A824" t="s">
        <v>1756</v>
      </c>
      <c r="B824" t="s">
        <v>1757</v>
      </c>
      <c r="C824" t="s">
        <v>141</v>
      </c>
      <c r="D824" t="s">
        <v>77</v>
      </c>
      <c r="E824" s="1">
        <v>43298.842118055552</v>
      </c>
      <c r="F824" t="s">
        <v>26</v>
      </c>
      <c r="G824" t="s">
        <v>19</v>
      </c>
      <c r="H824" t="s">
        <v>1796</v>
      </c>
      <c r="I824" t="s">
        <v>1796</v>
      </c>
      <c r="J824" t="s">
        <v>1796</v>
      </c>
      <c r="K824" t="s">
        <v>1796</v>
      </c>
      <c r="L824" t="s">
        <v>21</v>
      </c>
      <c r="M824">
        <v>0</v>
      </c>
      <c r="N824">
        <v>0</v>
      </c>
      <c r="O824" t="str">
        <f>_xlfn.XLOOKUP(olist_closed_deals_dataset[[#This Row],[mql_id]], leads!A:A, leads!D:D, "Unknow" )</f>
        <v>organic_search</v>
      </c>
      <c r="P824" t="str">
        <f>IF(olist_closed_deals_dataset[[#This Row],[declared_monthly_revenue]] &gt;= 10000, "High Values ", IF(olist_closed_deals_dataset[[#This Row],[declared_monthly_revenue]] &gt; 0, "Stander ", "No Revenue " ))</f>
        <v xml:space="preserve">No Revenue </v>
      </c>
    </row>
    <row r="825" spans="1:16" x14ac:dyDescent="0.2">
      <c r="A825" t="s">
        <v>1758</v>
      </c>
      <c r="B825" t="s">
        <v>1759</v>
      </c>
      <c r="C825" t="s">
        <v>64</v>
      </c>
      <c r="D825" t="s">
        <v>32</v>
      </c>
      <c r="E825" s="1">
        <v>43196.8125</v>
      </c>
      <c r="F825" t="s">
        <v>138</v>
      </c>
      <c r="G825" t="s">
        <v>19</v>
      </c>
      <c r="H825" t="s">
        <v>28</v>
      </c>
      <c r="I825" t="s">
        <v>1796</v>
      </c>
      <c r="J825" t="s">
        <v>1796</v>
      </c>
      <c r="K825" t="s">
        <v>1796</v>
      </c>
      <c r="L825" t="s">
        <v>21</v>
      </c>
      <c r="M825">
        <v>0</v>
      </c>
      <c r="N825">
        <v>0</v>
      </c>
      <c r="O825" t="str">
        <f>_xlfn.XLOOKUP(olist_closed_deals_dataset[[#This Row],[mql_id]], leads!A:A, leads!D:D, "Unknow" )</f>
        <v>paid_search</v>
      </c>
      <c r="P825" t="str">
        <f>IF(olist_closed_deals_dataset[[#This Row],[declared_monthly_revenue]] &gt;= 10000, "High Values ", IF(olist_closed_deals_dataset[[#This Row],[declared_monthly_revenue]] &gt; 0, "Stander ", "No Revenue " ))</f>
        <v xml:space="preserve">No Revenue </v>
      </c>
    </row>
    <row r="826" spans="1:16" x14ac:dyDescent="0.2">
      <c r="A826" t="s">
        <v>1760</v>
      </c>
      <c r="B826" t="s">
        <v>1761</v>
      </c>
      <c r="C826" t="s">
        <v>47</v>
      </c>
      <c r="D826" t="s">
        <v>77</v>
      </c>
      <c r="E826" s="1">
        <v>43132.715509259258</v>
      </c>
      <c r="F826" t="s">
        <v>18</v>
      </c>
      <c r="G826" t="s">
        <v>19</v>
      </c>
      <c r="H826" t="s">
        <v>1796</v>
      </c>
      <c r="I826" t="s">
        <v>1796</v>
      </c>
      <c r="J826" t="s">
        <v>1796</v>
      </c>
      <c r="K826" t="s">
        <v>1796</v>
      </c>
      <c r="L826" t="s">
        <v>21</v>
      </c>
      <c r="M826">
        <v>0</v>
      </c>
      <c r="N826">
        <v>0</v>
      </c>
      <c r="O826" t="str">
        <f>_xlfn.XLOOKUP(olist_closed_deals_dataset[[#This Row],[mql_id]], leads!A:A, leads!D:D, "Unknow" )</f>
        <v>social</v>
      </c>
      <c r="P826" t="str">
        <f>IF(olist_closed_deals_dataset[[#This Row],[declared_monthly_revenue]] &gt;= 10000, "High Values ", IF(olist_closed_deals_dataset[[#This Row],[declared_monthly_revenue]] &gt; 0, "Stander ", "No Revenue " ))</f>
        <v xml:space="preserve">No Revenue </v>
      </c>
    </row>
    <row r="827" spans="1:16" x14ac:dyDescent="0.2">
      <c r="A827" t="s">
        <v>1762</v>
      </c>
      <c r="B827" t="s">
        <v>1763</v>
      </c>
      <c r="C827" t="s">
        <v>64</v>
      </c>
      <c r="D827" t="s">
        <v>48</v>
      </c>
      <c r="E827" s="1">
        <v>43196.809872685182</v>
      </c>
      <c r="F827" t="s">
        <v>85</v>
      </c>
      <c r="G827" t="s">
        <v>19</v>
      </c>
      <c r="H827" t="s">
        <v>20</v>
      </c>
      <c r="I827" t="s">
        <v>1796</v>
      </c>
      <c r="J827" t="s">
        <v>1796</v>
      </c>
      <c r="K827" t="s">
        <v>1796</v>
      </c>
      <c r="L827" t="s">
        <v>21</v>
      </c>
      <c r="M827">
        <v>0</v>
      </c>
      <c r="N827">
        <v>0</v>
      </c>
      <c r="O827" t="str">
        <f>_xlfn.XLOOKUP(olist_closed_deals_dataset[[#This Row],[mql_id]], leads!A:A, leads!D:D, "Unknow" )</f>
        <v>unknown</v>
      </c>
      <c r="P827" t="str">
        <f>IF(olist_closed_deals_dataset[[#This Row],[declared_monthly_revenue]] &gt;= 10000, "High Values ", IF(olist_closed_deals_dataset[[#This Row],[declared_monthly_revenue]] &gt; 0, "Stander ", "No Revenue " ))</f>
        <v xml:space="preserve">No Revenue </v>
      </c>
    </row>
    <row r="828" spans="1:16" x14ac:dyDescent="0.2">
      <c r="A828" t="s">
        <v>1764</v>
      </c>
      <c r="B828" t="s">
        <v>1765</v>
      </c>
      <c r="C828" t="s">
        <v>64</v>
      </c>
      <c r="D828" t="s">
        <v>81</v>
      </c>
      <c r="E828" s="1">
        <v>43236.827141203707</v>
      </c>
      <c r="F828" t="s">
        <v>49</v>
      </c>
      <c r="G828" t="s">
        <v>34</v>
      </c>
      <c r="H828" t="s">
        <v>28</v>
      </c>
      <c r="I828" t="s">
        <v>1796</v>
      </c>
      <c r="J828" t="s">
        <v>1796</v>
      </c>
      <c r="K828" t="s">
        <v>1796</v>
      </c>
      <c r="L828" t="s">
        <v>21</v>
      </c>
      <c r="M828">
        <v>0</v>
      </c>
      <c r="N828">
        <v>0</v>
      </c>
      <c r="O828" t="str">
        <f>_xlfn.XLOOKUP(olist_closed_deals_dataset[[#This Row],[mql_id]], leads!A:A, leads!D:D, "Unknow" )</f>
        <v>other</v>
      </c>
      <c r="P828" t="str">
        <f>IF(olist_closed_deals_dataset[[#This Row],[declared_monthly_revenue]] &gt;= 10000, "High Values ", IF(olist_closed_deals_dataset[[#This Row],[declared_monthly_revenue]] &gt; 0, "Stander ", "No Revenue " ))</f>
        <v xml:space="preserve">No Revenue </v>
      </c>
    </row>
    <row r="829" spans="1:16" x14ac:dyDescent="0.2">
      <c r="A829" t="s">
        <v>1766</v>
      </c>
      <c r="B829" t="s">
        <v>1767</v>
      </c>
      <c r="C829" t="s">
        <v>81</v>
      </c>
      <c r="D829" t="s">
        <v>71</v>
      </c>
      <c r="E829" s="1">
        <v>43196.861168981479</v>
      </c>
      <c r="F829" t="s">
        <v>61</v>
      </c>
      <c r="G829" t="s">
        <v>19</v>
      </c>
      <c r="H829" t="s">
        <v>20</v>
      </c>
      <c r="I829" t="s">
        <v>1796</v>
      </c>
      <c r="J829" t="s">
        <v>1796</v>
      </c>
      <c r="K829" t="s">
        <v>1796</v>
      </c>
      <c r="L829" t="s">
        <v>21</v>
      </c>
      <c r="M829">
        <v>0</v>
      </c>
      <c r="N829">
        <v>0</v>
      </c>
      <c r="O829" t="str">
        <f>_xlfn.XLOOKUP(olist_closed_deals_dataset[[#This Row],[mql_id]], leads!A:A, leads!D:D, "Unknow" )</f>
        <v>paid_search</v>
      </c>
      <c r="P829" t="str">
        <f>IF(olist_closed_deals_dataset[[#This Row],[declared_monthly_revenue]] &gt;= 10000, "High Values ", IF(olist_closed_deals_dataset[[#This Row],[declared_monthly_revenue]] &gt; 0, "Stander ", "No Revenue " ))</f>
        <v xml:space="preserve">No Revenue </v>
      </c>
    </row>
    <row r="830" spans="1:16" x14ac:dyDescent="0.2">
      <c r="A830" t="s">
        <v>1768</v>
      </c>
      <c r="B830" t="s">
        <v>1769</v>
      </c>
      <c r="C830" t="s">
        <v>81</v>
      </c>
      <c r="D830" t="s">
        <v>89</v>
      </c>
      <c r="E830" s="1">
        <v>43160.877222222225</v>
      </c>
      <c r="F830" t="s">
        <v>38</v>
      </c>
      <c r="G830" t="s">
        <v>27</v>
      </c>
      <c r="H830" t="s">
        <v>28</v>
      </c>
      <c r="I830" t="s">
        <v>1796</v>
      </c>
      <c r="J830" t="s">
        <v>1796</v>
      </c>
      <c r="K830" t="s">
        <v>1796</v>
      </c>
      <c r="L830" t="s">
        <v>44</v>
      </c>
      <c r="M830">
        <v>0</v>
      </c>
      <c r="N830">
        <v>0</v>
      </c>
      <c r="O830" t="str">
        <f>_xlfn.XLOOKUP(olist_closed_deals_dataset[[#This Row],[mql_id]], leads!A:A, leads!D:D, "Unknow" )</f>
        <v>unknown</v>
      </c>
      <c r="P830" t="str">
        <f>IF(olist_closed_deals_dataset[[#This Row],[declared_monthly_revenue]] &gt;= 10000, "High Values ", IF(olist_closed_deals_dataset[[#This Row],[declared_monthly_revenue]] &gt; 0, "Stander ", "No Revenue " ))</f>
        <v xml:space="preserve">No Revenue </v>
      </c>
    </row>
    <row r="831" spans="1:16" x14ac:dyDescent="0.2">
      <c r="A831" t="s">
        <v>1770</v>
      </c>
      <c r="B831" t="s">
        <v>1771</v>
      </c>
      <c r="C831" t="s">
        <v>127</v>
      </c>
      <c r="D831" t="s">
        <v>17</v>
      </c>
      <c r="E831" s="1">
        <v>43227.909351851849</v>
      </c>
      <c r="F831" t="s">
        <v>53</v>
      </c>
      <c r="G831" t="s">
        <v>1797</v>
      </c>
      <c r="H831" t="s">
        <v>1796</v>
      </c>
      <c r="I831" t="s">
        <v>1796</v>
      </c>
      <c r="J831" t="s">
        <v>1796</v>
      </c>
      <c r="K831" t="s">
        <v>1796</v>
      </c>
      <c r="L831" t="s">
        <v>21</v>
      </c>
      <c r="M831">
        <v>0</v>
      </c>
      <c r="N831">
        <v>0</v>
      </c>
      <c r="O831" t="str">
        <f>_xlfn.XLOOKUP(olist_closed_deals_dataset[[#This Row],[mql_id]], leads!A:A, leads!D:D, "Unknow" )</f>
        <v>organic_search</v>
      </c>
      <c r="P831" t="str">
        <f>IF(olist_closed_deals_dataset[[#This Row],[declared_monthly_revenue]] &gt;= 10000, "High Values ", IF(olist_closed_deals_dataset[[#This Row],[declared_monthly_revenue]] &gt; 0, "Stander ", "No Revenue " ))</f>
        <v xml:space="preserve">No Revenue </v>
      </c>
    </row>
    <row r="832" spans="1:16" x14ac:dyDescent="0.2">
      <c r="A832" t="s">
        <v>1772</v>
      </c>
      <c r="B832" t="s">
        <v>1773</v>
      </c>
      <c r="C832" t="s">
        <v>77</v>
      </c>
      <c r="D832" t="s">
        <v>102</v>
      </c>
      <c r="E832" s="1">
        <v>43074.083333333336</v>
      </c>
      <c r="F832" t="s">
        <v>53</v>
      </c>
      <c r="G832" t="s">
        <v>57</v>
      </c>
      <c r="H832" t="s">
        <v>1796</v>
      </c>
      <c r="I832" t="s">
        <v>1796</v>
      </c>
      <c r="J832" t="s">
        <v>1796</v>
      </c>
      <c r="K832" t="s">
        <v>1796</v>
      </c>
      <c r="L832" t="s">
        <v>21</v>
      </c>
      <c r="M832">
        <v>0</v>
      </c>
      <c r="N832">
        <v>0</v>
      </c>
      <c r="O832" t="str">
        <f>_xlfn.XLOOKUP(olist_closed_deals_dataset[[#This Row],[mql_id]], leads!A:A, leads!D:D, "Unknow" )</f>
        <v>display</v>
      </c>
      <c r="P832" t="str">
        <f>IF(olist_closed_deals_dataset[[#This Row],[declared_monthly_revenue]] &gt;= 10000, "High Values ", IF(olist_closed_deals_dataset[[#This Row],[declared_monthly_revenue]] &gt; 0, "Stander ", "No Revenue " ))</f>
        <v xml:space="preserve">No Revenue </v>
      </c>
    </row>
    <row r="833" spans="1:16" x14ac:dyDescent="0.2">
      <c r="A833" t="s">
        <v>1774</v>
      </c>
      <c r="B833" t="s">
        <v>1775</v>
      </c>
      <c r="C833" t="s">
        <v>24</v>
      </c>
      <c r="D833" t="s">
        <v>25</v>
      </c>
      <c r="E833" s="1">
        <v>43188.817372685182</v>
      </c>
      <c r="F833" t="s">
        <v>92</v>
      </c>
      <c r="G833" t="s">
        <v>39</v>
      </c>
      <c r="H833" t="s">
        <v>28</v>
      </c>
      <c r="I833" t="s">
        <v>1796</v>
      </c>
      <c r="J833" t="s">
        <v>1796</v>
      </c>
      <c r="K833" t="s">
        <v>1796</v>
      </c>
      <c r="L833" t="s">
        <v>21</v>
      </c>
      <c r="M833">
        <v>0</v>
      </c>
      <c r="N833">
        <v>0</v>
      </c>
      <c r="O833" t="str">
        <f>_xlfn.XLOOKUP(olist_closed_deals_dataset[[#This Row],[mql_id]], leads!A:A, leads!D:D, "Unknow" )</f>
        <v>paid_search</v>
      </c>
      <c r="P833" t="str">
        <f>IF(olist_closed_deals_dataset[[#This Row],[declared_monthly_revenue]] &gt;= 10000, "High Values ", IF(olist_closed_deals_dataset[[#This Row],[declared_monthly_revenue]] &gt; 0, "Stander ", "No Revenue " ))</f>
        <v xml:space="preserve">No Revenue </v>
      </c>
    </row>
    <row r="834" spans="1:16" x14ac:dyDescent="0.2">
      <c r="A834" t="s">
        <v>1776</v>
      </c>
      <c r="B834" t="s">
        <v>1777</v>
      </c>
      <c r="C834" t="s">
        <v>42</v>
      </c>
      <c r="D834" t="s">
        <v>17</v>
      </c>
      <c r="E834" s="1">
        <v>43194.856469907405</v>
      </c>
      <c r="F834" t="s">
        <v>138</v>
      </c>
      <c r="G834" t="s">
        <v>19</v>
      </c>
      <c r="H834" t="s">
        <v>1796</v>
      </c>
      <c r="I834" t="s">
        <v>1796</v>
      </c>
      <c r="J834" t="s">
        <v>1796</v>
      </c>
      <c r="K834" t="s">
        <v>1796</v>
      </c>
      <c r="L834" t="s">
        <v>21</v>
      </c>
      <c r="M834">
        <v>0</v>
      </c>
      <c r="N834">
        <v>0</v>
      </c>
      <c r="O834" t="str">
        <f>_xlfn.XLOOKUP(olist_closed_deals_dataset[[#This Row],[mql_id]], leads!A:A, leads!D:D, "Unknow" )</f>
        <v>organic_search</v>
      </c>
      <c r="P834" t="str">
        <f>IF(olist_closed_deals_dataset[[#This Row],[declared_monthly_revenue]] &gt;= 10000, "High Values ", IF(olist_closed_deals_dataset[[#This Row],[declared_monthly_revenue]] &gt; 0, "Stander ", "No Revenue " ))</f>
        <v xml:space="preserve">No Revenue </v>
      </c>
    </row>
    <row r="835" spans="1:16" x14ac:dyDescent="0.2">
      <c r="A835" t="s">
        <v>1778</v>
      </c>
      <c r="B835" t="s">
        <v>1779</v>
      </c>
      <c r="C835" t="s">
        <v>16</v>
      </c>
      <c r="D835" t="s">
        <v>52</v>
      </c>
      <c r="E835" s="1">
        <v>43187.946469907409</v>
      </c>
      <c r="F835" t="s">
        <v>61</v>
      </c>
      <c r="G835" t="s">
        <v>19</v>
      </c>
      <c r="H835" t="s">
        <v>20</v>
      </c>
      <c r="I835" t="s">
        <v>1796</v>
      </c>
      <c r="J835" t="s">
        <v>1796</v>
      </c>
      <c r="K835" t="s">
        <v>1796</v>
      </c>
      <c r="L835" t="s">
        <v>21</v>
      </c>
      <c r="M835">
        <v>0</v>
      </c>
      <c r="N835">
        <v>0</v>
      </c>
      <c r="O835" t="str">
        <f>_xlfn.XLOOKUP(olist_closed_deals_dataset[[#This Row],[mql_id]], leads!A:A, leads!D:D, "Unknow" )</f>
        <v>email</v>
      </c>
      <c r="P835" t="str">
        <f>IF(olist_closed_deals_dataset[[#This Row],[declared_monthly_revenue]] &gt;= 10000, "High Values ", IF(olist_closed_deals_dataset[[#This Row],[declared_monthly_revenue]] &gt; 0, "Stander ", "No Revenue " ))</f>
        <v xml:space="preserve">No Revenue </v>
      </c>
    </row>
    <row r="836" spans="1:16" x14ac:dyDescent="0.2">
      <c r="A836" t="s">
        <v>1780</v>
      </c>
      <c r="B836" t="s">
        <v>1781</v>
      </c>
      <c r="C836" t="s">
        <v>127</v>
      </c>
      <c r="D836" t="s">
        <v>17</v>
      </c>
      <c r="E836" s="1">
        <v>43210.519259259258</v>
      </c>
      <c r="F836" t="s">
        <v>49</v>
      </c>
      <c r="G836" t="s">
        <v>19</v>
      </c>
      <c r="H836" t="s">
        <v>20</v>
      </c>
      <c r="I836" t="s">
        <v>1796</v>
      </c>
      <c r="J836" t="s">
        <v>1796</v>
      </c>
      <c r="K836" t="s">
        <v>1796</v>
      </c>
      <c r="L836" t="s">
        <v>21</v>
      </c>
      <c r="M836">
        <v>0</v>
      </c>
      <c r="N836">
        <v>0</v>
      </c>
      <c r="O836" t="str">
        <f>_xlfn.XLOOKUP(olist_closed_deals_dataset[[#This Row],[mql_id]], leads!A:A, leads!D:D, "Unknow" )</f>
        <v>social</v>
      </c>
      <c r="P836" t="str">
        <f>IF(olist_closed_deals_dataset[[#This Row],[declared_monthly_revenue]] &gt;= 10000, "High Values ", IF(olist_closed_deals_dataset[[#This Row],[declared_monthly_revenue]] &gt; 0, "Stander ", "No Revenue " ))</f>
        <v xml:space="preserve">No Revenue </v>
      </c>
    </row>
    <row r="837" spans="1:16" x14ac:dyDescent="0.2">
      <c r="A837" t="s">
        <v>1782</v>
      </c>
      <c r="B837" t="s">
        <v>1783</v>
      </c>
      <c r="C837" t="s">
        <v>64</v>
      </c>
      <c r="D837" t="s">
        <v>16</v>
      </c>
      <c r="E837" s="1">
        <v>43258.891493055555</v>
      </c>
      <c r="F837" t="s">
        <v>92</v>
      </c>
      <c r="G837" t="s">
        <v>39</v>
      </c>
      <c r="H837" t="s">
        <v>20</v>
      </c>
      <c r="I837" t="s">
        <v>1796</v>
      </c>
      <c r="J837" t="s">
        <v>1796</v>
      </c>
      <c r="K837" t="s">
        <v>1796</v>
      </c>
      <c r="L837" t="s">
        <v>21</v>
      </c>
      <c r="M837">
        <v>0</v>
      </c>
      <c r="N837">
        <v>0</v>
      </c>
      <c r="O837" t="str">
        <f>_xlfn.XLOOKUP(olist_closed_deals_dataset[[#This Row],[mql_id]], leads!A:A, leads!D:D, "Unknow" )</f>
        <v>organic_search</v>
      </c>
      <c r="P837" t="str">
        <f>IF(olist_closed_deals_dataset[[#This Row],[declared_monthly_revenue]] &gt;= 10000, "High Values ", IF(olist_closed_deals_dataset[[#This Row],[declared_monthly_revenue]] &gt; 0, "Stander ", "No Revenue " ))</f>
        <v xml:space="preserve">No Revenue </v>
      </c>
    </row>
    <row r="838" spans="1:16" x14ac:dyDescent="0.2">
      <c r="A838" t="s">
        <v>1784</v>
      </c>
      <c r="B838" t="s">
        <v>1785</v>
      </c>
      <c r="C838" t="s">
        <v>37</v>
      </c>
      <c r="D838" t="s">
        <v>102</v>
      </c>
      <c r="E838" s="1">
        <v>43140.511296296296</v>
      </c>
      <c r="F838" t="s">
        <v>26</v>
      </c>
      <c r="G838" t="s">
        <v>19</v>
      </c>
      <c r="H838" t="s">
        <v>1796</v>
      </c>
      <c r="I838" t="s">
        <v>1796</v>
      </c>
      <c r="J838" t="s">
        <v>1796</v>
      </c>
      <c r="K838" t="s">
        <v>1796</v>
      </c>
      <c r="L838" t="s">
        <v>44</v>
      </c>
      <c r="M838">
        <v>0</v>
      </c>
      <c r="N838">
        <v>0</v>
      </c>
      <c r="O838" t="str">
        <f>_xlfn.XLOOKUP(olist_closed_deals_dataset[[#This Row],[mql_id]], leads!A:A, leads!D:D, "Unknow" )</f>
        <v>organic_search</v>
      </c>
      <c r="P838" t="str">
        <f>IF(olist_closed_deals_dataset[[#This Row],[declared_monthly_revenue]] &gt;= 10000, "High Values ", IF(olist_closed_deals_dataset[[#This Row],[declared_monthly_revenue]] &gt; 0, "Stander ", "No Revenue " ))</f>
        <v xml:space="preserve">No Revenue </v>
      </c>
    </row>
    <row r="839" spans="1:16" x14ac:dyDescent="0.2">
      <c r="A839" t="s">
        <v>1786</v>
      </c>
      <c r="B839" t="s">
        <v>1787</v>
      </c>
      <c r="C839" t="s">
        <v>224</v>
      </c>
      <c r="D839" t="s">
        <v>16</v>
      </c>
      <c r="E839" s="1">
        <v>43313.848969907405</v>
      </c>
      <c r="F839" t="s">
        <v>96</v>
      </c>
      <c r="G839" t="s">
        <v>57</v>
      </c>
      <c r="H839" t="s">
        <v>20</v>
      </c>
      <c r="I839" t="s">
        <v>1796</v>
      </c>
      <c r="J839" t="s">
        <v>1796</v>
      </c>
      <c r="K839" t="s">
        <v>1796</v>
      </c>
      <c r="L839" t="s">
        <v>21</v>
      </c>
      <c r="M839">
        <v>0</v>
      </c>
      <c r="N839">
        <v>0</v>
      </c>
      <c r="O839" t="str">
        <f>_xlfn.XLOOKUP(olist_closed_deals_dataset[[#This Row],[mql_id]], leads!A:A, leads!D:D, "Unknow" )</f>
        <v>organic_search</v>
      </c>
      <c r="P839" t="str">
        <f>IF(olist_closed_deals_dataset[[#This Row],[declared_monthly_revenue]] &gt;= 10000, "High Values ", IF(olist_closed_deals_dataset[[#This Row],[declared_monthly_revenue]] &gt; 0, "Stander ", "No Revenue " ))</f>
        <v xml:space="preserve">No Revenue </v>
      </c>
    </row>
    <row r="840" spans="1:16" x14ac:dyDescent="0.2">
      <c r="A840" t="s">
        <v>1788</v>
      </c>
      <c r="B840" t="s">
        <v>1789</v>
      </c>
      <c r="C840" t="s">
        <v>127</v>
      </c>
      <c r="D840" t="s">
        <v>42</v>
      </c>
      <c r="E840" s="1">
        <v>43370.790752314817</v>
      </c>
      <c r="F840" t="s">
        <v>68</v>
      </c>
      <c r="G840" t="s">
        <v>34</v>
      </c>
      <c r="H840" t="s">
        <v>43</v>
      </c>
      <c r="I840" t="s">
        <v>1796</v>
      </c>
      <c r="J840" t="s">
        <v>1796</v>
      </c>
      <c r="K840" t="s">
        <v>1796</v>
      </c>
      <c r="L840" t="s">
        <v>21</v>
      </c>
      <c r="M840">
        <v>132</v>
      </c>
      <c r="N840">
        <v>200000</v>
      </c>
      <c r="O840" t="str">
        <f>_xlfn.XLOOKUP(olist_closed_deals_dataset[[#This Row],[mql_id]], leads!A:A, leads!D:D, "Unknow" )</f>
        <v>organic_search</v>
      </c>
      <c r="P840" t="str">
        <f>IF(olist_closed_deals_dataset[[#This Row],[declared_monthly_revenue]] &gt;= 10000, "High Values ", IF(olist_closed_deals_dataset[[#This Row],[declared_monthly_revenue]] &gt; 0, "Stander ", "No Revenue " ))</f>
        <v xml:space="preserve">High Values </v>
      </c>
    </row>
    <row r="841" spans="1:16" x14ac:dyDescent="0.2">
      <c r="A841" t="s">
        <v>1790</v>
      </c>
      <c r="B841" t="s">
        <v>1791</v>
      </c>
      <c r="C841" t="s">
        <v>127</v>
      </c>
      <c r="D841" t="s">
        <v>16</v>
      </c>
      <c r="E841" s="1">
        <v>43257.844050925924</v>
      </c>
      <c r="F841" t="s">
        <v>53</v>
      </c>
      <c r="G841" t="s">
        <v>19</v>
      </c>
      <c r="H841" t="s">
        <v>43</v>
      </c>
      <c r="I841" t="s">
        <v>1796</v>
      </c>
      <c r="J841" t="s">
        <v>1796</v>
      </c>
      <c r="K841" t="s">
        <v>1796</v>
      </c>
      <c r="L841" t="s">
        <v>21</v>
      </c>
      <c r="M841">
        <v>0</v>
      </c>
      <c r="N841">
        <v>0</v>
      </c>
      <c r="O841" t="str">
        <f>_xlfn.XLOOKUP(olist_closed_deals_dataset[[#This Row],[mql_id]], leads!A:A, leads!D:D, "Unknow" )</f>
        <v>paid_search</v>
      </c>
      <c r="P841" t="str">
        <f>IF(olist_closed_deals_dataset[[#This Row],[declared_monthly_revenue]] &gt;= 10000, "High Values ", IF(olist_closed_deals_dataset[[#This Row],[declared_monthly_revenue]] &gt; 0, "Stander ", "No Revenue " ))</f>
        <v xml:space="preserve">No Revenue </v>
      </c>
    </row>
    <row r="842" spans="1:16" x14ac:dyDescent="0.2">
      <c r="A842" t="s">
        <v>1792</v>
      </c>
      <c r="B842" t="s">
        <v>1793</v>
      </c>
      <c r="C842" t="s">
        <v>81</v>
      </c>
      <c r="D842" t="s">
        <v>25</v>
      </c>
      <c r="E842" s="1">
        <v>43165.661377314813</v>
      </c>
      <c r="F842" t="s">
        <v>18</v>
      </c>
      <c r="G842" t="s">
        <v>112</v>
      </c>
      <c r="H842" t="s">
        <v>20</v>
      </c>
      <c r="I842" t="s">
        <v>1796</v>
      </c>
      <c r="J842" t="s">
        <v>1796</v>
      </c>
      <c r="K842" t="s">
        <v>1796</v>
      </c>
      <c r="L842" t="s">
        <v>21</v>
      </c>
      <c r="M842">
        <v>0</v>
      </c>
      <c r="N842">
        <v>0</v>
      </c>
      <c r="O842" t="str">
        <f>_xlfn.XLOOKUP(olist_closed_deals_dataset[[#This Row],[mql_id]], leads!A:A, leads!D:D, "Unknow" )</f>
        <v>social</v>
      </c>
      <c r="P842" t="str">
        <f>IF(olist_closed_deals_dataset[[#This Row],[declared_monthly_revenue]] &gt;= 10000, "High Values ", IF(olist_closed_deals_dataset[[#This Row],[declared_monthly_revenue]] &gt; 0, "Stander ", "No Revenue " ))</f>
        <v xml:space="preserve">No Revenue </v>
      </c>
    </row>
    <row r="843" spans="1:16" x14ac:dyDescent="0.2">
      <c r="A843" t="s">
        <v>1794</v>
      </c>
      <c r="B843" t="s">
        <v>1795</v>
      </c>
      <c r="C843" t="s">
        <v>37</v>
      </c>
      <c r="D843" t="s">
        <v>71</v>
      </c>
      <c r="E843" s="1">
        <v>43222.563564814816</v>
      </c>
      <c r="F843" t="s">
        <v>61</v>
      </c>
      <c r="G843" t="s">
        <v>27</v>
      </c>
      <c r="H843" t="s">
        <v>28</v>
      </c>
      <c r="I843" t="s">
        <v>1796</v>
      </c>
      <c r="J843" t="s">
        <v>1796</v>
      </c>
      <c r="K843" t="s">
        <v>1796</v>
      </c>
      <c r="L843" t="s">
        <v>44</v>
      </c>
      <c r="M843">
        <v>0</v>
      </c>
      <c r="N843">
        <v>0</v>
      </c>
      <c r="O843" t="str">
        <f>_xlfn.XLOOKUP(olist_closed_deals_dataset[[#This Row],[mql_id]], leads!A:A, leads!D:D, "Unknow" )</f>
        <v>direct_traffic</v>
      </c>
      <c r="P843" t="str">
        <f>IF(olist_closed_deals_dataset[[#This Row],[declared_monthly_revenue]] &gt;= 10000, "High Values ", IF(olist_closed_deals_dataset[[#This Row],[declared_monthly_revenue]] &gt; 0, "Stander ", "No Revenue " ))</f>
        <v xml:space="preserve">No Revenue </v>
      </c>
    </row>
    <row r="844" spans="1:16" x14ac:dyDescent="0.2">
      <c r="A844" t="s">
        <v>1796</v>
      </c>
      <c r="B844" t="s">
        <v>1796</v>
      </c>
      <c r="C844" t="s">
        <v>1796</v>
      </c>
      <c r="D844" t="s">
        <v>1796</v>
      </c>
      <c r="E844" s="1" t="s">
        <v>1796</v>
      </c>
      <c r="F844" t="s">
        <v>1796</v>
      </c>
      <c r="G844" t="s">
        <v>1796</v>
      </c>
      <c r="H844" t="s">
        <v>1796</v>
      </c>
      <c r="I844" t="s">
        <v>1796</v>
      </c>
      <c r="J844" t="s">
        <v>1796</v>
      </c>
      <c r="K844" t="s">
        <v>1796</v>
      </c>
      <c r="L844" t="s">
        <v>1796</v>
      </c>
      <c r="M844">
        <v>0</v>
      </c>
      <c r="N844" t="s">
        <v>1796</v>
      </c>
      <c r="O844" t="str">
        <f>_xlfn.XLOOKUP(olist_closed_deals_dataset[[#This Row],[mql_id]], leads!A:A, leads!D:D, "Unknow" )</f>
        <v>Unknow</v>
      </c>
      <c r="P844" t="str">
        <f>IF(olist_closed_deals_dataset[[#This Row],[declared_monthly_revenue]] &gt;= 10000, "High Values ", IF(olist_closed_deals_dataset[[#This Row],[declared_monthly_revenue]] &gt; 0, "Stander ", "No Revenue " ))</f>
        <v xml:space="preserve">High Values </v>
      </c>
    </row>
    <row r="845" spans="1:16" x14ac:dyDescent="0.2">
      <c r="A845" t="s">
        <v>1796</v>
      </c>
      <c r="B845" t="s">
        <v>1796</v>
      </c>
      <c r="C845" t="s">
        <v>1796</v>
      </c>
      <c r="D845" t="s">
        <v>1796</v>
      </c>
      <c r="E845" s="1" t="s">
        <v>1796</v>
      </c>
      <c r="F845" t="s">
        <v>1796</v>
      </c>
      <c r="G845" t="s">
        <v>1796</v>
      </c>
      <c r="H845" t="s">
        <v>1796</v>
      </c>
      <c r="I845" t="s">
        <v>1796</v>
      </c>
      <c r="J845" t="s">
        <v>1796</v>
      </c>
      <c r="K845" t="s">
        <v>1796</v>
      </c>
      <c r="L845" t="s">
        <v>1796</v>
      </c>
      <c r="M845">
        <v>0</v>
      </c>
      <c r="N845" t="s">
        <v>1796</v>
      </c>
      <c r="O845" t="str">
        <f>_xlfn.XLOOKUP(olist_closed_deals_dataset[[#This Row],[mql_id]], leads!A:A, leads!D:D, "Unknow" )</f>
        <v>Unknow</v>
      </c>
      <c r="P845" t="str">
        <f>IF(olist_closed_deals_dataset[[#This Row],[declared_monthly_revenue]] &gt;= 10000, "High Values ", IF(olist_closed_deals_dataset[[#This Row],[declared_monthly_revenue]] &gt; 0, "Stander ", "No Revenue " ))</f>
        <v xml:space="preserve">High Values </v>
      </c>
    </row>
    <row r="846" spans="1:16" x14ac:dyDescent="0.2">
      <c r="A846" t="s">
        <v>1796</v>
      </c>
      <c r="B846" t="s">
        <v>1796</v>
      </c>
      <c r="C846" t="s">
        <v>1796</v>
      </c>
      <c r="D846" t="s">
        <v>1796</v>
      </c>
      <c r="E846" s="1" t="s">
        <v>1796</v>
      </c>
      <c r="F846" t="s">
        <v>1796</v>
      </c>
      <c r="G846" t="s">
        <v>1796</v>
      </c>
      <c r="H846" t="s">
        <v>1796</v>
      </c>
      <c r="I846" t="s">
        <v>1796</v>
      </c>
      <c r="J846" t="s">
        <v>1796</v>
      </c>
      <c r="K846" t="s">
        <v>1796</v>
      </c>
      <c r="L846" t="s">
        <v>1796</v>
      </c>
      <c r="M846">
        <v>0</v>
      </c>
      <c r="N846" t="s">
        <v>1796</v>
      </c>
      <c r="O846" t="str">
        <f>_xlfn.XLOOKUP(olist_closed_deals_dataset[[#This Row],[mql_id]], leads!A:A, leads!D:D, "Unknow" )</f>
        <v>Unknow</v>
      </c>
      <c r="P846" t="str">
        <f>IF(olist_closed_deals_dataset[[#This Row],[declared_monthly_revenue]] &gt;= 10000, "High Values ", IF(olist_closed_deals_dataset[[#This Row],[declared_monthly_revenue]] &gt; 0, "Stander ", "No Revenue " ))</f>
        <v xml:space="preserve">High Values </v>
      </c>
    </row>
    <row r="847" spans="1:16" x14ac:dyDescent="0.2">
      <c r="A847" t="s">
        <v>1796</v>
      </c>
      <c r="B847" t="s">
        <v>1796</v>
      </c>
      <c r="C847" t="s">
        <v>1796</v>
      </c>
      <c r="D847" t="s">
        <v>1796</v>
      </c>
      <c r="E847" s="1" t="s">
        <v>1796</v>
      </c>
      <c r="F847" t="s">
        <v>1796</v>
      </c>
      <c r="G847" t="s">
        <v>1796</v>
      </c>
      <c r="H847" t="s">
        <v>1796</v>
      </c>
      <c r="I847" t="s">
        <v>1796</v>
      </c>
      <c r="J847" t="s">
        <v>1796</v>
      </c>
      <c r="K847" t="s">
        <v>1796</v>
      </c>
      <c r="L847" t="s">
        <v>1796</v>
      </c>
      <c r="M847">
        <v>0</v>
      </c>
      <c r="N847" t="s">
        <v>1796</v>
      </c>
      <c r="O847" t="str">
        <f>_xlfn.XLOOKUP(olist_closed_deals_dataset[[#This Row],[mql_id]], leads!A:A, leads!D:D, "Unknow" )</f>
        <v>Unknow</v>
      </c>
      <c r="P847" t="str">
        <f>IF(olist_closed_deals_dataset[[#This Row],[declared_monthly_revenue]] &gt;= 10000, "High Values ", IF(olist_closed_deals_dataset[[#This Row],[declared_monthly_revenue]] &gt; 0, "Stander ", "No Revenue " ))</f>
        <v xml:space="preserve">High Values </v>
      </c>
    </row>
    <row r="848" spans="1:16" x14ac:dyDescent="0.2">
      <c r="A848" t="s">
        <v>1796</v>
      </c>
      <c r="B848" t="s">
        <v>1796</v>
      </c>
      <c r="C848" t="s">
        <v>1796</v>
      </c>
      <c r="D848" t="s">
        <v>1796</v>
      </c>
      <c r="E848" s="1" t="s">
        <v>1796</v>
      </c>
      <c r="F848" t="s">
        <v>1796</v>
      </c>
      <c r="G848" t="s">
        <v>1796</v>
      </c>
      <c r="H848" t="s">
        <v>1796</v>
      </c>
      <c r="I848" t="s">
        <v>1796</v>
      </c>
      <c r="J848" t="s">
        <v>1796</v>
      </c>
      <c r="K848" t="s">
        <v>1796</v>
      </c>
      <c r="L848" t="s">
        <v>1796</v>
      </c>
      <c r="M848">
        <v>0</v>
      </c>
      <c r="N848" t="s">
        <v>1796</v>
      </c>
      <c r="O848" t="str">
        <f>_xlfn.XLOOKUP(olist_closed_deals_dataset[[#This Row],[mql_id]], leads!A:A, leads!D:D, "Unknow" )</f>
        <v>Unknow</v>
      </c>
      <c r="P848" t="str">
        <f>IF(olist_closed_deals_dataset[[#This Row],[declared_monthly_revenue]] &gt;= 10000, "High Values ", IF(olist_closed_deals_dataset[[#This Row],[declared_monthly_revenue]] &gt; 0, "Stander ", "No Revenue " ))</f>
        <v xml:space="preserve">High Values </v>
      </c>
    </row>
    <row r="849" spans="1:16" x14ac:dyDescent="0.2">
      <c r="A849" t="s">
        <v>1796</v>
      </c>
      <c r="B849" t="s">
        <v>1796</v>
      </c>
      <c r="C849" t="s">
        <v>1796</v>
      </c>
      <c r="D849" t="s">
        <v>1796</v>
      </c>
      <c r="E849" s="1" t="s">
        <v>1796</v>
      </c>
      <c r="F849" t="s">
        <v>1796</v>
      </c>
      <c r="G849" t="s">
        <v>1796</v>
      </c>
      <c r="H849" t="s">
        <v>1796</v>
      </c>
      <c r="I849" t="s">
        <v>1796</v>
      </c>
      <c r="J849" t="s">
        <v>1796</v>
      </c>
      <c r="K849" t="s">
        <v>1796</v>
      </c>
      <c r="L849" t="s">
        <v>1796</v>
      </c>
      <c r="M849">
        <v>0</v>
      </c>
      <c r="N849" t="s">
        <v>1796</v>
      </c>
      <c r="O849" t="str">
        <f>_xlfn.XLOOKUP(olist_closed_deals_dataset[[#This Row],[mql_id]], leads!A:A, leads!D:D, "Unknow" )</f>
        <v>Unknow</v>
      </c>
      <c r="P849" t="str">
        <f>IF(olist_closed_deals_dataset[[#This Row],[declared_monthly_revenue]] &gt;= 10000, "High Values ", IF(olist_closed_deals_dataset[[#This Row],[declared_monthly_revenue]] &gt; 0, "Stander ", "No Revenue " ))</f>
        <v xml:space="preserve">High Values </v>
      </c>
    </row>
    <row r="850" spans="1:16" x14ac:dyDescent="0.2">
      <c r="A850" t="s">
        <v>1796</v>
      </c>
      <c r="B850" t="s">
        <v>1796</v>
      </c>
      <c r="C850" t="s">
        <v>1796</v>
      </c>
      <c r="D850" t="s">
        <v>1796</v>
      </c>
      <c r="E850" s="1" t="s">
        <v>1796</v>
      </c>
      <c r="F850" t="s">
        <v>1796</v>
      </c>
      <c r="G850" t="s">
        <v>1796</v>
      </c>
      <c r="H850" t="s">
        <v>1796</v>
      </c>
      <c r="I850" t="s">
        <v>1796</v>
      </c>
      <c r="J850" t="s">
        <v>1796</v>
      </c>
      <c r="K850" t="s">
        <v>1796</v>
      </c>
      <c r="L850" t="s">
        <v>1796</v>
      </c>
      <c r="M850">
        <v>0</v>
      </c>
      <c r="N850" t="s">
        <v>1796</v>
      </c>
      <c r="O850" t="str">
        <f>_xlfn.XLOOKUP(olist_closed_deals_dataset[[#This Row],[mql_id]], leads!A:A, leads!D:D, "Unknow" )</f>
        <v>Unknow</v>
      </c>
      <c r="P850" t="str">
        <f>IF(olist_closed_deals_dataset[[#This Row],[declared_monthly_revenue]] &gt;= 10000, "High Values ", IF(olist_closed_deals_dataset[[#This Row],[declared_monthly_revenue]] &gt; 0, "Stander ", "No Revenue " ))</f>
        <v xml:space="preserve">High Values </v>
      </c>
    </row>
    <row r="851" spans="1:16" x14ac:dyDescent="0.2">
      <c r="A851" t="s">
        <v>1796</v>
      </c>
      <c r="B851" t="s">
        <v>1796</v>
      </c>
      <c r="C851" t="s">
        <v>1796</v>
      </c>
      <c r="D851" t="s">
        <v>1796</v>
      </c>
      <c r="E851" s="1" t="s">
        <v>1796</v>
      </c>
      <c r="F851" t="s">
        <v>1796</v>
      </c>
      <c r="G851" t="s">
        <v>1796</v>
      </c>
      <c r="H851" t="s">
        <v>1796</v>
      </c>
      <c r="I851" t="s">
        <v>1796</v>
      </c>
      <c r="J851" t="s">
        <v>1796</v>
      </c>
      <c r="K851" t="s">
        <v>1796</v>
      </c>
      <c r="L851" t="s">
        <v>1796</v>
      </c>
      <c r="M851">
        <v>0</v>
      </c>
      <c r="N851" t="s">
        <v>1796</v>
      </c>
      <c r="O851" t="str">
        <f>_xlfn.XLOOKUP(olist_closed_deals_dataset[[#This Row],[mql_id]], leads!A:A, leads!D:D, "Unknow" )</f>
        <v>Unknow</v>
      </c>
      <c r="P851" t="str">
        <f>IF(olist_closed_deals_dataset[[#This Row],[declared_monthly_revenue]] &gt;= 10000, "High Values ", IF(olist_closed_deals_dataset[[#This Row],[declared_monthly_revenue]] &gt; 0, "Stander ", "No Revenue " ))</f>
        <v xml:space="preserve">High Values </v>
      </c>
    </row>
    <row r="852" spans="1:16" x14ac:dyDescent="0.2">
      <c r="A852" t="s">
        <v>1796</v>
      </c>
      <c r="B852" t="s">
        <v>1796</v>
      </c>
      <c r="C852" t="s">
        <v>1796</v>
      </c>
      <c r="D852" t="s">
        <v>1796</v>
      </c>
      <c r="E852" s="1" t="s">
        <v>1796</v>
      </c>
      <c r="F852" t="s">
        <v>1796</v>
      </c>
      <c r="G852" t="s">
        <v>1796</v>
      </c>
      <c r="H852" t="s">
        <v>1796</v>
      </c>
      <c r="I852" t="s">
        <v>1796</v>
      </c>
      <c r="J852" t="s">
        <v>1796</v>
      </c>
      <c r="K852" t="s">
        <v>1796</v>
      </c>
      <c r="L852" t="s">
        <v>1796</v>
      </c>
      <c r="M852">
        <v>0</v>
      </c>
      <c r="N852" t="s">
        <v>1796</v>
      </c>
      <c r="O852" t="str">
        <f>_xlfn.XLOOKUP(olist_closed_deals_dataset[[#This Row],[mql_id]], leads!A:A, leads!D:D, "Unknow" )</f>
        <v>Unknow</v>
      </c>
      <c r="P852" t="str">
        <f>IF(olist_closed_deals_dataset[[#This Row],[declared_monthly_revenue]] &gt;= 10000, "High Values ", IF(olist_closed_deals_dataset[[#This Row],[declared_monthly_revenue]] &gt; 0, "Stander ", "No Revenue " ))</f>
        <v xml:space="preserve">High Values </v>
      </c>
    </row>
    <row r="853" spans="1:16" x14ac:dyDescent="0.2">
      <c r="A853" t="s">
        <v>1796</v>
      </c>
      <c r="B853" t="s">
        <v>1796</v>
      </c>
      <c r="C853" t="s">
        <v>1796</v>
      </c>
      <c r="D853" t="s">
        <v>1796</v>
      </c>
      <c r="E853" s="1" t="s">
        <v>1796</v>
      </c>
      <c r="F853" t="s">
        <v>1796</v>
      </c>
      <c r="G853" t="s">
        <v>1796</v>
      </c>
      <c r="H853" t="s">
        <v>1796</v>
      </c>
      <c r="I853" t="s">
        <v>1796</v>
      </c>
      <c r="J853" t="s">
        <v>1796</v>
      </c>
      <c r="K853" t="s">
        <v>1796</v>
      </c>
      <c r="L853" t="s">
        <v>1796</v>
      </c>
      <c r="M853">
        <v>0</v>
      </c>
      <c r="N853" t="s">
        <v>1796</v>
      </c>
      <c r="O853" t="str">
        <f>_xlfn.XLOOKUP(olist_closed_deals_dataset[[#This Row],[mql_id]], leads!A:A, leads!D:D, "Unknow" )</f>
        <v>Unknow</v>
      </c>
      <c r="P853" t="str">
        <f>IF(olist_closed_deals_dataset[[#This Row],[declared_monthly_revenue]] &gt;= 10000, "High Values ", IF(olist_closed_deals_dataset[[#This Row],[declared_monthly_revenue]] &gt; 0, "Stander ", "No Revenue " ))</f>
        <v xml:space="preserve">High Values </v>
      </c>
    </row>
    <row r="854" spans="1:16" x14ac:dyDescent="0.2">
      <c r="A854" t="s">
        <v>1796</v>
      </c>
      <c r="B854" t="s">
        <v>1796</v>
      </c>
      <c r="C854" t="s">
        <v>1796</v>
      </c>
      <c r="D854" t="s">
        <v>1796</v>
      </c>
      <c r="E854" s="1" t="s">
        <v>1796</v>
      </c>
      <c r="F854" t="s">
        <v>1796</v>
      </c>
      <c r="G854" t="s">
        <v>1796</v>
      </c>
      <c r="H854" t="s">
        <v>1796</v>
      </c>
      <c r="I854" t="s">
        <v>1796</v>
      </c>
      <c r="J854" t="s">
        <v>1796</v>
      </c>
      <c r="K854" t="s">
        <v>1796</v>
      </c>
      <c r="L854" t="s">
        <v>1796</v>
      </c>
      <c r="M854">
        <v>0</v>
      </c>
      <c r="N854" t="s">
        <v>1796</v>
      </c>
      <c r="O854" t="str">
        <f>_xlfn.XLOOKUP(olist_closed_deals_dataset[[#This Row],[mql_id]], leads!A:A, leads!D:D, "Unknow" )</f>
        <v>Unknow</v>
      </c>
      <c r="P854" t="str">
        <f>IF(olist_closed_deals_dataset[[#This Row],[declared_monthly_revenue]] &gt;= 10000, "High Values ", IF(olist_closed_deals_dataset[[#This Row],[declared_monthly_revenue]] &gt; 0, "Stander ", "No Revenue " ))</f>
        <v xml:space="preserve">High Values </v>
      </c>
    </row>
    <row r="855" spans="1:16" x14ac:dyDescent="0.2">
      <c r="A855" t="s">
        <v>1796</v>
      </c>
      <c r="B855" t="s">
        <v>1796</v>
      </c>
      <c r="C855" t="s">
        <v>1796</v>
      </c>
      <c r="D855" t="s">
        <v>1796</v>
      </c>
      <c r="E855" s="1" t="s">
        <v>1796</v>
      </c>
      <c r="F855" t="s">
        <v>1796</v>
      </c>
      <c r="G855" t="s">
        <v>1796</v>
      </c>
      <c r="H855" t="s">
        <v>1796</v>
      </c>
      <c r="I855" t="s">
        <v>1796</v>
      </c>
      <c r="J855" t="s">
        <v>1796</v>
      </c>
      <c r="K855" t="s">
        <v>1796</v>
      </c>
      <c r="L855" t="s">
        <v>1796</v>
      </c>
      <c r="M855">
        <v>0</v>
      </c>
      <c r="N855" t="s">
        <v>1796</v>
      </c>
      <c r="O855" t="str">
        <f>_xlfn.XLOOKUP(olist_closed_deals_dataset[[#This Row],[mql_id]], leads!A:A, leads!D:D, "Unknow" )</f>
        <v>Unknow</v>
      </c>
      <c r="P855" t="str">
        <f>IF(olist_closed_deals_dataset[[#This Row],[declared_monthly_revenue]] &gt;= 10000, "High Values ", IF(olist_closed_deals_dataset[[#This Row],[declared_monthly_revenue]] &gt; 0, "Stander ", "No Revenue " ))</f>
        <v xml:space="preserve">High Values </v>
      </c>
    </row>
    <row r="856" spans="1:16" x14ac:dyDescent="0.2">
      <c r="A856" t="s">
        <v>1796</v>
      </c>
      <c r="B856" t="s">
        <v>1796</v>
      </c>
      <c r="C856" t="s">
        <v>1796</v>
      </c>
      <c r="D856" t="s">
        <v>1796</v>
      </c>
      <c r="E856" s="1" t="s">
        <v>1796</v>
      </c>
      <c r="F856" t="s">
        <v>1796</v>
      </c>
      <c r="G856" t="s">
        <v>1796</v>
      </c>
      <c r="H856" t="s">
        <v>1796</v>
      </c>
      <c r="I856" t="s">
        <v>1796</v>
      </c>
      <c r="J856" t="s">
        <v>1796</v>
      </c>
      <c r="K856" t="s">
        <v>1796</v>
      </c>
      <c r="L856" t="s">
        <v>1796</v>
      </c>
      <c r="M856">
        <v>0</v>
      </c>
      <c r="N856" t="s">
        <v>1796</v>
      </c>
      <c r="O856" t="str">
        <f>_xlfn.XLOOKUP(olist_closed_deals_dataset[[#This Row],[mql_id]], leads!A:A, leads!D:D, "Unknow" )</f>
        <v>Unknow</v>
      </c>
      <c r="P856" t="str">
        <f>IF(olist_closed_deals_dataset[[#This Row],[declared_monthly_revenue]] &gt;= 10000, "High Values ", IF(olist_closed_deals_dataset[[#This Row],[declared_monthly_revenue]] &gt; 0, "Stander ", "No Revenue " ))</f>
        <v xml:space="preserve">High Values </v>
      </c>
    </row>
    <row r="857" spans="1:16" x14ac:dyDescent="0.2">
      <c r="A857" t="s">
        <v>1796</v>
      </c>
      <c r="B857" t="s">
        <v>1796</v>
      </c>
      <c r="C857" t="s">
        <v>1796</v>
      </c>
      <c r="D857" t="s">
        <v>1796</v>
      </c>
      <c r="E857" s="1" t="s">
        <v>1796</v>
      </c>
      <c r="F857" t="s">
        <v>1796</v>
      </c>
      <c r="G857" t="s">
        <v>1796</v>
      </c>
      <c r="H857" t="s">
        <v>1796</v>
      </c>
      <c r="I857" t="s">
        <v>1796</v>
      </c>
      <c r="J857" t="s">
        <v>1796</v>
      </c>
      <c r="K857" t="s">
        <v>1796</v>
      </c>
      <c r="L857" t="s">
        <v>1796</v>
      </c>
      <c r="M857">
        <v>0</v>
      </c>
      <c r="N857" t="s">
        <v>1796</v>
      </c>
      <c r="O857" t="str">
        <f>_xlfn.XLOOKUP(olist_closed_deals_dataset[[#This Row],[mql_id]], leads!A:A, leads!D:D, "Unknow" )</f>
        <v>Unknow</v>
      </c>
      <c r="P857" t="str">
        <f>IF(olist_closed_deals_dataset[[#This Row],[declared_monthly_revenue]] &gt;= 10000, "High Values ", IF(olist_closed_deals_dataset[[#This Row],[declared_monthly_revenue]] &gt; 0, "Stander ", "No Revenue " ))</f>
        <v xml:space="preserve">High Values </v>
      </c>
    </row>
    <row r="858" spans="1:16" x14ac:dyDescent="0.2">
      <c r="A858" t="s">
        <v>1796</v>
      </c>
      <c r="B858" t="s">
        <v>1796</v>
      </c>
      <c r="C858" t="s">
        <v>1796</v>
      </c>
      <c r="D858" t="s">
        <v>1796</v>
      </c>
      <c r="E858" s="1" t="s">
        <v>1796</v>
      </c>
      <c r="F858" t="s">
        <v>1796</v>
      </c>
      <c r="G858" t="s">
        <v>1796</v>
      </c>
      <c r="H858" t="s">
        <v>1796</v>
      </c>
      <c r="I858" t="s">
        <v>1796</v>
      </c>
      <c r="J858" t="s">
        <v>1796</v>
      </c>
      <c r="K858" t="s">
        <v>1796</v>
      </c>
      <c r="L858" t="s">
        <v>1796</v>
      </c>
      <c r="M858">
        <v>0</v>
      </c>
      <c r="N858" t="s">
        <v>1796</v>
      </c>
      <c r="O858" t="str">
        <f>_xlfn.XLOOKUP(olist_closed_deals_dataset[[#This Row],[mql_id]], leads!A:A, leads!D:D, "Unknow" )</f>
        <v>Unknow</v>
      </c>
      <c r="P858" t="str">
        <f>IF(olist_closed_deals_dataset[[#This Row],[declared_monthly_revenue]] &gt;= 10000, "High Values ", IF(olist_closed_deals_dataset[[#This Row],[declared_monthly_revenue]] &gt; 0, "Stander ", "No Revenue " ))</f>
        <v xml:space="preserve">High Values </v>
      </c>
    </row>
    <row r="859" spans="1:16" x14ac:dyDescent="0.2">
      <c r="A859" t="s">
        <v>1796</v>
      </c>
      <c r="B859" t="s">
        <v>1796</v>
      </c>
      <c r="C859" t="s">
        <v>1796</v>
      </c>
      <c r="D859" t="s">
        <v>1796</v>
      </c>
      <c r="E859" s="1" t="s">
        <v>1796</v>
      </c>
      <c r="F859" t="s">
        <v>1796</v>
      </c>
      <c r="G859" t="s">
        <v>1796</v>
      </c>
      <c r="H859" t="s">
        <v>1796</v>
      </c>
      <c r="I859" t="s">
        <v>1796</v>
      </c>
      <c r="J859" t="s">
        <v>1796</v>
      </c>
      <c r="K859" t="s">
        <v>1796</v>
      </c>
      <c r="L859" t="s">
        <v>1796</v>
      </c>
      <c r="M859">
        <v>0</v>
      </c>
      <c r="N859" t="s">
        <v>1796</v>
      </c>
      <c r="O859" t="str">
        <f>_xlfn.XLOOKUP(olist_closed_deals_dataset[[#This Row],[mql_id]], leads!A:A, leads!D:D, "Unknow" )</f>
        <v>Unknow</v>
      </c>
      <c r="P859" t="str">
        <f>IF(olist_closed_deals_dataset[[#This Row],[declared_monthly_revenue]] &gt;= 10000, "High Values ", IF(olist_closed_deals_dataset[[#This Row],[declared_monthly_revenue]] &gt; 0, "Stander ", "No Revenue " ))</f>
        <v xml:space="preserve">High Values </v>
      </c>
    </row>
    <row r="860" spans="1:16" x14ac:dyDescent="0.2">
      <c r="A860" t="s">
        <v>1796</v>
      </c>
      <c r="B860" t="s">
        <v>1796</v>
      </c>
      <c r="C860" t="s">
        <v>1796</v>
      </c>
      <c r="D860" t="s">
        <v>1796</v>
      </c>
      <c r="E860" s="1" t="s">
        <v>1796</v>
      </c>
      <c r="F860" t="s">
        <v>1796</v>
      </c>
      <c r="G860" t="s">
        <v>1796</v>
      </c>
      <c r="H860" t="s">
        <v>1796</v>
      </c>
      <c r="I860" t="s">
        <v>1796</v>
      </c>
      <c r="J860" t="s">
        <v>1796</v>
      </c>
      <c r="K860" t="s">
        <v>1796</v>
      </c>
      <c r="L860" t="s">
        <v>1796</v>
      </c>
      <c r="M860">
        <v>0</v>
      </c>
      <c r="N860" t="s">
        <v>1796</v>
      </c>
      <c r="O860" t="str">
        <f>_xlfn.XLOOKUP(olist_closed_deals_dataset[[#This Row],[mql_id]], leads!A:A, leads!D:D, "Unknow" )</f>
        <v>Unknow</v>
      </c>
      <c r="P860" t="str">
        <f>IF(olist_closed_deals_dataset[[#This Row],[declared_monthly_revenue]] &gt;= 10000, "High Values ", IF(olist_closed_deals_dataset[[#This Row],[declared_monthly_revenue]] &gt; 0, "Stander ", "No Revenue " ))</f>
        <v xml:space="preserve">High Values </v>
      </c>
    </row>
    <row r="861" spans="1:16" x14ac:dyDescent="0.2">
      <c r="A861" t="s">
        <v>1796</v>
      </c>
      <c r="B861" t="s">
        <v>1796</v>
      </c>
      <c r="C861" t="s">
        <v>1796</v>
      </c>
      <c r="D861" t="s">
        <v>1796</v>
      </c>
      <c r="E861" s="1" t="s">
        <v>1796</v>
      </c>
      <c r="F861" t="s">
        <v>1796</v>
      </c>
      <c r="G861" t="s">
        <v>1796</v>
      </c>
      <c r="H861" t="s">
        <v>1796</v>
      </c>
      <c r="I861" t="s">
        <v>1796</v>
      </c>
      <c r="J861" t="s">
        <v>1796</v>
      </c>
      <c r="K861" t="s">
        <v>1796</v>
      </c>
      <c r="L861" t="s">
        <v>1796</v>
      </c>
      <c r="M861">
        <v>0</v>
      </c>
      <c r="N861" t="s">
        <v>1796</v>
      </c>
      <c r="O861" t="str">
        <f>_xlfn.XLOOKUP(olist_closed_deals_dataset[[#This Row],[mql_id]], leads!A:A, leads!D:D, "Unknow" )</f>
        <v>Unknow</v>
      </c>
      <c r="P861" t="str">
        <f>IF(olist_closed_deals_dataset[[#This Row],[declared_monthly_revenue]] &gt;= 10000, "High Values ", IF(olist_closed_deals_dataset[[#This Row],[declared_monthly_revenue]] &gt; 0, "Stander ", "No Revenue " ))</f>
        <v xml:space="preserve">High Values </v>
      </c>
    </row>
    <row r="862" spans="1:16" x14ac:dyDescent="0.2">
      <c r="A862" t="s">
        <v>1796</v>
      </c>
      <c r="B862" t="s">
        <v>1796</v>
      </c>
      <c r="C862" t="s">
        <v>1796</v>
      </c>
      <c r="D862" t="s">
        <v>1796</v>
      </c>
      <c r="E862" s="1" t="s">
        <v>1796</v>
      </c>
      <c r="F862" t="s">
        <v>1796</v>
      </c>
      <c r="G862" t="s">
        <v>1796</v>
      </c>
      <c r="H862" t="s">
        <v>1796</v>
      </c>
      <c r="I862" t="s">
        <v>1796</v>
      </c>
      <c r="J862" t="s">
        <v>1796</v>
      </c>
      <c r="K862" t="s">
        <v>1796</v>
      </c>
      <c r="L862" t="s">
        <v>1796</v>
      </c>
      <c r="M862">
        <v>0</v>
      </c>
      <c r="N862" t="s">
        <v>1796</v>
      </c>
      <c r="O862" t="str">
        <f>_xlfn.XLOOKUP(olist_closed_deals_dataset[[#This Row],[mql_id]], leads!A:A, leads!D:D, "Unknow" )</f>
        <v>Unknow</v>
      </c>
      <c r="P862" t="str">
        <f>IF(olist_closed_deals_dataset[[#This Row],[declared_monthly_revenue]] &gt;= 10000, "High Values ", IF(olist_closed_deals_dataset[[#This Row],[declared_monthly_revenue]] &gt; 0, "Stander ", "No Revenue " ))</f>
        <v xml:space="preserve">High Values </v>
      </c>
    </row>
    <row r="863" spans="1:16" x14ac:dyDescent="0.2">
      <c r="A863" t="s">
        <v>1796</v>
      </c>
      <c r="B863" t="s">
        <v>1796</v>
      </c>
      <c r="C863" t="s">
        <v>1796</v>
      </c>
      <c r="D863" t="s">
        <v>1796</v>
      </c>
      <c r="E863" s="1" t="s">
        <v>1796</v>
      </c>
      <c r="F863" t="s">
        <v>1796</v>
      </c>
      <c r="G863" t="s">
        <v>1796</v>
      </c>
      <c r="H863" t="s">
        <v>1796</v>
      </c>
      <c r="I863" t="s">
        <v>1796</v>
      </c>
      <c r="J863" t="s">
        <v>1796</v>
      </c>
      <c r="K863" t="s">
        <v>1796</v>
      </c>
      <c r="L863" t="s">
        <v>1796</v>
      </c>
      <c r="M863">
        <v>0</v>
      </c>
      <c r="N863" t="s">
        <v>1796</v>
      </c>
      <c r="O863" t="str">
        <f>_xlfn.XLOOKUP(olist_closed_deals_dataset[[#This Row],[mql_id]], leads!A:A, leads!D:D, "Unknow" )</f>
        <v>Unknow</v>
      </c>
      <c r="P863" t="str">
        <f>IF(olist_closed_deals_dataset[[#This Row],[declared_monthly_revenue]] &gt;= 10000, "High Values ", IF(olist_closed_deals_dataset[[#This Row],[declared_monthly_revenue]] &gt; 0, "Stander ", "No Revenue " ))</f>
        <v xml:space="preserve">High Values </v>
      </c>
    </row>
    <row r="864" spans="1:16" x14ac:dyDescent="0.2">
      <c r="A864" t="s">
        <v>1796</v>
      </c>
      <c r="B864" t="s">
        <v>1796</v>
      </c>
      <c r="C864" t="s">
        <v>1796</v>
      </c>
      <c r="D864" t="s">
        <v>1796</v>
      </c>
      <c r="E864" s="1" t="s">
        <v>1796</v>
      </c>
      <c r="F864" t="s">
        <v>1796</v>
      </c>
      <c r="G864" t="s">
        <v>1796</v>
      </c>
      <c r="H864" t="s">
        <v>1796</v>
      </c>
      <c r="I864" t="s">
        <v>1796</v>
      </c>
      <c r="J864" t="s">
        <v>1796</v>
      </c>
      <c r="K864" t="s">
        <v>1796</v>
      </c>
      <c r="L864" t="s">
        <v>1796</v>
      </c>
      <c r="M864">
        <v>0</v>
      </c>
      <c r="N864" t="s">
        <v>1796</v>
      </c>
      <c r="O864" t="str">
        <f>_xlfn.XLOOKUP(olist_closed_deals_dataset[[#This Row],[mql_id]], leads!A:A, leads!D:D, "Unknow" )</f>
        <v>Unknow</v>
      </c>
      <c r="P864" t="str">
        <f>IF(olist_closed_deals_dataset[[#This Row],[declared_monthly_revenue]] &gt;= 10000, "High Values ", IF(olist_closed_deals_dataset[[#This Row],[declared_monthly_revenue]] &gt; 0, "Stander ", "No Revenue " ))</f>
        <v xml:space="preserve">High Values </v>
      </c>
    </row>
    <row r="865" spans="1:16" x14ac:dyDescent="0.2">
      <c r="A865" t="s">
        <v>1796</v>
      </c>
      <c r="B865" t="s">
        <v>1796</v>
      </c>
      <c r="C865" t="s">
        <v>1796</v>
      </c>
      <c r="D865" t="s">
        <v>1796</v>
      </c>
      <c r="E865" s="1" t="s">
        <v>1796</v>
      </c>
      <c r="F865" t="s">
        <v>1796</v>
      </c>
      <c r="G865" t="s">
        <v>1796</v>
      </c>
      <c r="H865" t="s">
        <v>1796</v>
      </c>
      <c r="I865" t="s">
        <v>1796</v>
      </c>
      <c r="J865" t="s">
        <v>1796</v>
      </c>
      <c r="K865" t="s">
        <v>1796</v>
      </c>
      <c r="L865" t="s">
        <v>1796</v>
      </c>
      <c r="M865">
        <v>0</v>
      </c>
      <c r="N865" t="s">
        <v>1796</v>
      </c>
      <c r="O865" t="str">
        <f>_xlfn.XLOOKUP(olist_closed_deals_dataset[[#This Row],[mql_id]], leads!A:A, leads!D:D, "Unknow" )</f>
        <v>Unknow</v>
      </c>
      <c r="P865" t="str">
        <f>IF(olist_closed_deals_dataset[[#This Row],[declared_monthly_revenue]] &gt;= 10000, "High Values ", IF(olist_closed_deals_dataset[[#This Row],[declared_monthly_revenue]] &gt; 0, "Stander ", "No Revenue " ))</f>
        <v xml:space="preserve">High Values </v>
      </c>
    </row>
    <row r="866" spans="1:16" x14ac:dyDescent="0.2">
      <c r="A866" t="s">
        <v>1796</v>
      </c>
      <c r="B866" t="s">
        <v>1796</v>
      </c>
      <c r="C866" t="s">
        <v>1796</v>
      </c>
      <c r="D866" t="s">
        <v>1796</v>
      </c>
      <c r="E866" s="1" t="s">
        <v>1796</v>
      </c>
      <c r="F866" t="s">
        <v>1796</v>
      </c>
      <c r="G866" t="s">
        <v>1796</v>
      </c>
      <c r="H866" t="s">
        <v>1796</v>
      </c>
      <c r="I866" t="s">
        <v>1796</v>
      </c>
      <c r="J866" t="s">
        <v>1796</v>
      </c>
      <c r="K866" t="s">
        <v>1796</v>
      </c>
      <c r="L866" t="s">
        <v>1796</v>
      </c>
      <c r="M866">
        <v>0</v>
      </c>
      <c r="N866" t="s">
        <v>1796</v>
      </c>
      <c r="O866" t="str">
        <f>_xlfn.XLOOKUP(olist_closed_deals_dataset[[#This Row],[mql_id]], leads!A:A, leads!D:D, "Unknow" )</f>
        <v>Unknow</v>
      </c>
      <c r="P866" t="str">
        <f>IF(olist_closed_deals_dataset[[#This Row],[declared_monthly_revenue]] &gt;= 10000, "High Values ", IF(olist_closed_deals_dataset[[#This Row],[declared_monthly_revenue]] &gt; 0, "Stander ", "No Revenue " ))</f>
        <v xml:space="preserve">High Values </v>
      </c>
    </row>
    <row r="867" spans="1:16" x14ac:dyDescent="0.2">
      <c r="A867" t="s">
        <v>1796</v>
      </c>
      <c r="B867" t="s">
        <v>1796</v>
      </c>
      <c r="C867" t="s">
        <v>1796</v>
      </c>
      <c r="D867" t="s">
        <v>1796</v>
      </c>
      <c r="E867" s="1" t="s">
        <v>1796</v>
      </c>
      <c r="F867" t="s">
        <v>1796</v>
      </c>
      <c r="G867" t="s">
        <v>1796</v>
      </c>
      <c r="H867" t="s">
        <v>1796</v>
      </c>
      <c r="I867" t="s">
        <v>1796</v>
      </c>
      <c r="J867" t="s">
        <v>1796</v>
      </c>
      <c r="K867" t="s">
        <v>1796</v>
      </c>
      <c r="L867" t="s">
        <v>1796</v>
      </c>
      <c r="M867">
        <v>0</v>
      </c>
      <c r="N867" t="s">
        <v>1796</v>
      </c>
      <c r="O867" t="str">
        <f>_xlfn.XLOOKUP(olist_closed_deals_dataset[[#This Row],[mql_id]], leads!A:A, leads!D:D, "Unknow" )</f>
        <v>Unknow</v>
      </c>
      <c r="P867" t="str">
        <f>IF(olist_closed_deals_dataset[[#This Row],[declared_monthly_revenue]] &gt;= 10000, "High Values ", IF(olist_closed_deals_dataset[[#This Row],[declared_monthly_revenue]] &gt; 0, "Stander ", "No Revenue " ))</f>
        <v xml:space="preserve">High Values </v>
      </c>
    </row>
    <row r="868" spans="1:16" x14ac:dyDescent="0.2">
      <c r="A868" t="s">
        <v>1796</v>
      </c>
      <c r="B868" t="s">
        <v>1796</v>
      </c>
      <c r="C868" t="s">
        <v>1796</v>
      </c>
      <c r="D868" t="s">
        <v>1796</v>
      </c>
      <c r="E868" s="1" t="s">
        <v>1796</v>
      </c>
      <c r="F868" t="s">
        <v>1796</v>
      </c>
      <c r="G868" t="s">
        <v>1796</v>
      </c>
      <c r="H868" t="s">
        <v>1796</v>
      </c>
      <c r="I868" t="s">
        <v>1796</v>
      </c>
      <c r="J868" t="s">
        <v>1796</v>
      </c>
      <c r="K868" t="s">
        <v>1796</v>
      </c>
      <c r="L868" t="s">
        <v>1796</v>
      </c>
      <c r="M868">
        <v>0</v>
      </c>
      <c r="N868" t="s">
        <v>1796</v>
      </c>
      <c r="O868" t="str">
        <f>_xlfn.XLOOKUP(olist_closed_deals_dataset[[#This Row],[mql_id]], leads!A:A, leads!D:D, "Unknow" )</f>
        <v>Unknow</v>
      </c>
      <c r="P868" t="str">
        <f>IF(olist_closed_deals_dataset[[#This Row],[declared_monthly_revenue]] &gt;= 10000, "High Values ", IF(olist_closed_deals_dataset[[#This Row],[declared_monthly_revenue]] &gt; 0, "Stander ", "No Revenue " ))</f>
        <v xml:space="preserve">High Values </v>
      </c>
    </row>
    <row r="869" spans="1:16" x14ac:dyDescent="0.2">
      <c r="A869" t="s">
        <v>1796</v>
      </c>
      <c r="B869" t="s">
        <v>1796</v>
      </c>
      <c r="C869" t="s">
        <v>1796</v>
      </c>
      <c r="D869" t="s">
        <v>1796</v>
      </c>
      <c r="E869" s="1" t="s">
        <v>1796</v>
      </c>
      <c r="F869" t="s">
        <v>1796</v>
      </c>
      <c r="G869" t="s">
        <v>1796</v>
      </c>
      <c r="H869" t="s">
        <v>1796</v>
      </c>
      <c r="I869" t="s">
        <v>1796</v>
      </c>
      <c r="J869" t="s">
        <v>1796</v>
      </c>
      <c r="K869" t="s">
        <v>1796</v>
      </c>
      <c r="L869" t="s">
        <v>1796</v>
      </c>
      <c r="M869">
        <v>0</v>
      </c>
      <c r="N869" t="s">
        <v>1796</v>
      </c>
      <c r="O869" t="str">
        <f>_xlfn.XLOOKUP(olist_closed_deals_dataset[[#This Row],[mql_id]], leads!A:A, leads!D:D, "Unknow" )</f>
        <v>Unknow</v>
      </c>
      <c r="P869" t="str">
        <f>IF(olist_closed_deals_dataset[[#This Row],[declared_monthly_revenue]] &gt;= 10000, "High Values ", IF(olist_closed_deals_dataset[[#This Row],[declared_monthly_revenue]] &gt; 0, "Stander ", "No Revenue " ))</f>
        <v xml:space="preserve">High Values </v>
      </c>
    </row>
    <row r="870" spans="1:16" x14ac:dyDescent="0.2">
      <c r="A870" t="s">
        <v>1796</v>
      </c>
      <c r="B870" t="s">
        <v>1796</v>
      </c>
      <c r="C870" t="s">
        <v>1796</v>
      </c>
      <c r="D870" t="s">
        <v>1796</v>
      </c>
      <c r="E870" s="1" t="s">
        <v>1796</v>
      </c>
      <c r="F870" t="s">
        <v>1796</v>
      </c>
      <c r="G870" t="s">
        <v>1796</v>
      </c>
      <c r="H870" t="s">
        <v>1796</v>
      </c>
      <c r="I870" t="s">
        <v>1796</v>
      </c>
      <c r="J870" t="s">
        <v>1796</v>
      </c>
      <c r="K870" t="s">
        <v>1796</v>
      </c>
      <c r="L870" t="s">
        <v>1796</v>
      </c>
      <c r="M870">
        <v>0</v>
      </c>
      <c r="N870" t="s">
        <v>1796</v>
      </c>
      <c r="O870" t="str">
        <f>_xlfn.XLOOKUP(olist_closed_deals_dataset[[#This Row],[mql_id]], leads!A:A, leads!D:D, "Unknow" )</f>
        <v>Unknow</v>
      </c>
      <c r="P870" t="str">
        <f>IF(olist_closed_deals_dataset[[#This Row],[declared_monthly_revenue]] &gt;= 10000, "High Values ", IF(olist_closed_deals_dataset[[#This Row],[declared_monthly_revenue]] &gt; 0, "Stander ", "No Revenue " ))</f>
        <v xml:space="preserve">High Values </v>
      </c>
    </row>
    <row r="871" spans="1:16" x14ac:dyDescent="0.2">
      <c r="A871" t="s">
        <v>1796</v>
      </c>
      <c r="B871" t="s">
        <v>1796</v>
      </c>
      <c r="C871" t="s">
        <v>1796</v>
      </c>
      <c r="D871" t="s">
        <v>1796</v>
      </c>
      <c r="E871" s="1" t="s">
        <v>1796</v>
      </c>
      <c r="F871" t="s">
        <v>1796</v>
      </c>
      <c r="G871" t="s">
        <v>1796</v>
      </c>
      <c r="H871" t="s">
        <v>1796</v>
      </c>
      <c r="I871" t="s">
        <v>1796</v>
      </c>
      <c r="J871" t="s">
        <v>1796</v>
      </c>
      <c r="K871" t="s">
        <v>1796</v>
      </c>
      <c r="L871" t="s">
        <v>1796</v>
      </c>
      <c r="M871">
        <v>0</v>
      </c>
      <c r="N871" t="s">
        <v>1796</v>
      </c>
      <c r="O871" t="str">
        <f>_xlfn.XLOOKUP(olist_closed_deals_dataset[[#This Row],[mql_id]], leads!A:A, leads!D:D, "Unknow" )</f>
        <v>Unknow</v>
      </c>
      <c r="P871" t="str">
        <f>IF(olist_closed_deals_dataset[[#This Row],[declared_monthly_revenue]] &gt;= 10000, "High Values ", IF(olist_closed_deals_dataset[[#This Row],[declared_monthly_revenue]] &gt; 0, "Stander ", "No Revenue " ))</f>
        <v xml:space="preserve">High Values </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B984F-6F44-4B44-8DF8-207406763236}">
  <dimension ref="A1:G9"/>
  <sheetViews>
    <sheetView showGridLines="0" workbookViewId="0">
      <selection activeCell="K25" sqref="K25"/>
    </sheetView>
  </sheetViews>
  <sheetFormatPr defaultRowHeight="14.25" x14ac:dyDescent="0.2"/>
  <cols>
    <col min="1" max="1" width="16.875" customWidth="1"/>
    <col min="2" max="2" width="16.125" customWidth="1"/>
    <col min="3" max="3" width="17.875" customWidth="1"/>
    <col min="4" max="4" width="17.875" style="6" customWidth="1"/>
    <col min="5" max="5" width="21.875" style="4" customWidth="1"/>
    <col min="6" max="6" width="22.875" customWidth="1"/>
    <col min="7" max="7" width="18.625" customWidth="1"/>
  </cols>
  <sheetData>
    <row r="1" spans="1:7" x14ac:dyDescent="0.2">
      <c r="A1" t="s">
        <v>1801</v>
      </c>
      <c r="B1" t="s">
        <v>9464</v>
      </c>
      <c r="C1" t="s">
        <v>9465</v>
      </c>
      <c r="D1" s="6" t="s">
        <v>9466</v>
      </c>
      <c r="E1" s="4" t="s">
        <v>9468</v>
      </c>
      <c r="F1" t="s">
        <v>9469</v>
      </c>
      <c r="G1" t="s">
        <v>9470</v>
      </c>
    </row>
    <row r="2" spans="1:7" x14ac:dyDescent="0.2">
      <c r="A2" t="s">
        <v>1804</v>
      </c>
      <c r="B2">
        <f>COUNTIF(leads!D:D, A2)</f>
        <v>1350</v>
      </c>
      <c r="C2">
        <f>COUNTIF(deals!O:O, Table3[[#This Row],[origin]])</f>
        <v>75</v>
      </c>
      <c r="D2" s="6">
        <f>SUMIF(deals!O:O,Table3[[#This Row],[origin]],deals!N:N)</f>
        <v>501000</v>
      </c>
      <c r="E2" s="4">
        <f>Table3[[#This Row],[Total Deals]] / Table3[[#This Row],[Total Leads]]</f>
        <v>5.5555555555555552E-2</v>
      </c>
      <c r="F2" s="3">
        <f>COUNTIFS(deals!O:O,Table3[[#This Row],[origin]],deals!P:P, "High Values ")</f>
        <v>3</v>
      </c>
      <c r="G2" s="3">
        <f>COUNTIFS(deals!O:O,Table3[[#This Row],[origin]],deals!P:P,"Stander ")</f>
        <v>1</v>
      </c>
    </row>
    <row r="3" spans="1:7" x14ac:dyDescent="0.2">
      <c r="A3" t="s">
        <v>1807</v>
      </c>
      <c r="B3">
        <f>COUNTIF(leads!D:D, A3)</f>
        <v>1586</v>
      </c>
      <c r="C3">
        <f>COUNTIF(deals!O:O, Table3[[#This Row],[origin]])</f>
        <v>195</v>
      </c>
      <c r="D3" s="6">
        <f>SUMIF(deals!O:O,Table3[[#This Row],[origin]],deals!N:N)</f>
        <v>9169000</v>
      </c>
      <c r="E3" s="4">
        <f>Table3[[#This Row],[Total Deals]] / Table3[[#This Row],[Total Leads]]</f>
        <v>0.12295081967213115</v>
      </c>
      <c r="F3" s="3">
        <f>COUNTIFS(deals!O:O,Table3[[#This Row],[origin]],deals!P:P, "High Values ")</f>
        <v>14</v>
      </c>
      <c r="G3" s="3">
        <f>COUNTIFS(deals!O:O,Table3[[#This Row],[origin]],deals!P:P,"Stander ")</f>
        <v>1</v>
      </c>
    </row>
    <row r="4" spans="1:7" x14ac:dyDescent="0.2">
      <c r="A4" t="s">
        <v>1810</v>
      </c>
      <c r="B4">
        <f>COUNTIF(leads!D:D, A4)</f>
        <v>2296</v>
      </c>
      <c r="C4">
        <f>COUNTIF(deals!O:O, Table3[[#This Row],[origin]])</f>
        <v>271</v>
      </c>
      <c r="D4" s="6">
        <f>SUMIF(deals!O:O,Table3[[#This Row],[origin]],deals!N:N)</f>
        <v>51426000</v>
      </c>
      <c r="E4" s="4">
        <f>Table3[[#This Row],[Total Deals]] / Table3[[#This Row],[Total Leads]]</f>
        <v>0.11803135888501742</v>
      </c>
      <c r="F4" s="3">
        <f>COUNTIFS(deals!O:O,Table3[[#This Row],[origin]],deals!P:P, "High Values ")</f>
        <v>13</v>
      </c>
      <c r="G4" s="3">
        <f>COUNTIFS(deals!O:O,Table3[[#This Row],[origin]],deals!P:P,"Stander ")</f>
        <v>2</v>
      </c>
    </row>
    <row r="5" spans="1:7" x14ac:dyDescent="0.2">
      <c r="A5" t="s">
        <v>1840</v>
      </c>
      <c r="B5">
        <f>COUNTIF(leads!D:D, A5)</f>
        <v>499</v>
      </c>
      <c r="C5">
        <f>COUNTIF(deals!O:O, Table3[[#This Row],[origin]])</f>
        <v>56</v>
      </c>
      <c r="D5" s="6">
        <f>SUMIF(deals!O:O,Table3[[#This Row],[origin]],deals!N:N)</f>
        <v>60000</v>
      </c>
      <c r="E5" s="4">
        <f>Table3[[#This Row],[Total Deals]] / Table3[[#This Row],[Total Leads]]</f>
        <v>0.11222444889779559</v>
      </c>
      <c r="F5" s="3">
        <f>COUNTIFS(deals!O:O,Table3[[#This Row],[origin]],deals!P:P, "High Values ")</f>
        <v>1</v>
      </c>
      <c r="G5" s="3">
        <f>COUNTIFS(deals!O:O,Table3[[#This Row],[origin]],deals!P:P,"Stander ")</f>
        <v>0</v>
      </c>
    </row>
    <row r="6" spans="1:7" x14ac:dyDescent="0.2">
      <c r="A6" t="s">
        <v>1829</v>
      </c>
      <c r="B6">
        <f>COUNTIF(leads!D:D, A6)</f>
        <v>284</v>
      </c>
      <c r="C6">
        <f>COUNTIF(deals!O:O, Table3[[#This Row],[origin]])</f>
        <v>24</v>
      </c>
      <c r="D6" s="6">
        <f>SUMIF(deals!O:O,Table3[[#This Row],[origin]],deals!N:N)</f>
        <v>0</v>
      </c>
      <c r="E6" s="4">
        <f>Table3[[#This Row],[Total Deals]] / Table3[[#This Row],[Total Leads]]</f>
        <v>8.4507042253521125E-2</v>
      </c>
      <c r="F6" s="3">
        <f>COUNTIFS(deals!O:O,Table3[[#This Row],[origin]],deals!P:P, "High Values ")</f>
        <v>0</v>
      </c>
      <c r="G6" s="3">
        <f>COUNTIFS(deals!O:O,Table3[[#This Row],[origin]],deals!P:P,"Stander ")</f>
        <v>0</v>
      </c>
    </row>
    <row r="7" spans="1:7" x14ac:dyDescent="0.2">
      <c r="A7" t="s">
        <v>1813</v>
      </c>
      <c r="B7">
        <f>COUNTIF(leads!D:D, A7)</f>
        <v>493</v>
      </c>
      <c r="C7">
        <f>COUNTIF(deals!O:O, Table3[[#This Row],[origin]])</f>
        <v>15</v>
      </c>
      <c r="D7" s="6">
        <f>SUMIF(deals!O:O,Table3[[#This Row],[origin]],deals!N:N)</f>
        <v>15000</v>
      </c>
      <c r="E7" s="4">
        <f>Table3[[#This Row],[Total Deals]] / Table3[[#This Row],[Total Leads]]</f>
        <v>3.0425963488843813E-2</v>
      </c>
      <c r="F7" s="3">
        <f>COUNTIFS(deals!O:O,Table3[[#This Row],[origin]],deals!P:P, "High Values ")</f>
        <v>1</v>
      </c>
      <c r="G7" s="3">
        <f>COUNTIFS(deals!O:O,Table3[[#This Row],[origin]],deals!P:P,"Stander ")</f>
        <v>0</v>
      </c>
    </row>
    <row r="8" spans="1:7" x14ac:dyDescent="0.2">
      <c r="A8" t="s">
        <v>1797</v>
      </c>
      <c r="B8">
        <f>COUNTIF(leads!D:D, A8)</f>
        <v>60</v>
      </c>
      <c r="C8">
        <f>COUNTIF(deals!O:O, Table3[[#This Row],[origin]])</f>
        <v>42</v>
      </c>
      <c r="D8" s="6">
        <f>SUMIF(deals!O:O,Table3[[#This Row],[origin]],deals!N:N)</f>
        <v>150000</v>
      </c>
      <c r="E8" s="4">
        <f>Table3[[#This Row],[Total Deals]] / Table3[[#This Row],[Total Leads]]</f>
        <v>0.7</v>
      </c>
      <c r="F8" s="3">
        <f>COUNTIFS(deals!O:O,Table3[[#This Row],[origin]],deals!P:P, "High Values ")</f>
        <v>30</v>
      </c>
      <c r="G8" s="3">
        <f>COUNTIFS(deals!O:O,Table3[[#This Row],[origin]],deals!P:P,"Stander ")</f>
        <v>0</v>
      </c>
    </row>
    <row r="9" spans="1:7" x14ac:dyDescent="0.2">
      <c r="A9" t="s">
        <v>9467</v>
      </c>
      <c r="B9">
        <f>SUBTOTAL(109,Table3[Total Leads])</f>
        <v>6568</v>
      </c>
      <c r="C9">
        <f>SUBTOTAL(109,Table3[Total Deals])</f>
        <v>678</v>
      </c>
      <c r="D9" s="6">
        <f>SUBTOTAL(109,Table3[Total Revenue])</f>
        <v>61321000</v>
      </c>
      <c r="E9" s="5">
        <f>C9/B9</f>
        <v>0.10322777101096224</v>
      </c>
      <c r="F9">
        <f>SUBTOTAL(109,Table3[High Value Deals])</f>
        <v>62</v>
      </c>
      <c r="G9">
        <f>SUBTOTAL(109,Table3[Stander Deals])</f>
        <v>4</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E367D1-27E9-411F-BEF6-6E7C9CBAA6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leads</vt:lpstr>
      <vt:lpstr>Pivot Table</vt:lpstr>
      <vt:lpstr>deals</vt:lpstr>
      <vt:lpstr>Marketing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2026-07-26T09:34:46Z</dcterms:created>
  <dcterms:modified xsi:type="dcterms:W3CDTF">2026-07-29T14:18:16Z</dcterms:modified>
</cp:coreProperties>
</file>